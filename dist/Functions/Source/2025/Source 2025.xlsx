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BC3A1955-5112-47C4-BCA4-37255E3010AE}" xr6:coauthVersionLast="47" xr6:coauthVersionMax="47" xr10:uidLastSave="{00000000-0000-0000-0000-000000000000}"/>
  <bookViews>
    <workbookView xWindow="-120" yWindow="-120" windowWidth="29040" windowHeight="15810" tabRatio="923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</sheets>
  <externalReferences>
    <externalReference r:id="rId8"/>
  </externalReferences>
  <definedNames>
    <definedName name="_xlnm._FilterDatabase" localSheetId="5" hidden="1">CREANCES!$A$1:$L$210</definedName>
    <definedName name="_xlnm._FilterDatabase" localSheetId="6" hidden="1">'INFO CLIENTS'!$A$1:$AG$62</definedName>
    <definedName name="_xlnm._FilterDatabase" localSheetId="1" hidden="1">RECOUVREMENT!$A$1:$G$90</definedName>
    <definedName name="_xlnm._FilterDatabase" localSheetId="0" hidden="1">VENTES!$A$1:$AA$1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5" i="7" l="1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K178" i="8"/>
  <c r="L178" i="8" s="1"/>
  <c r="L177" i="8"/>
  <c r="L176" i="8"/>
  <c r="L175" i="8"/>
  <c r="L174" i="8"/>
  <c r="L173" i="8"/>
  <c r="L172" i="8"/>
  <c r="L171" i="8"/>
  <c r="F171" i="8"/>
  <c r="L170" i="8"/>
  <c r="F170" i="8"/>
  <c r="G170" i="8" s="1"/>
  <c r="L169" i="8"/>
  <c r="F169" i="8"/>
  <c r="G169" i="8" s="1"/>
  <c r="L168" i="8"/>
  <c r="F168" i="8"/>
  <c r="G168" i="8" s="1"/>
  <c r="L167" i="8"/>
  <c r="F167" i="8"/>
  <c r="G167" i="8" s="1"/>
  <c r="L166" i="8"/>
  <c r="G166" i="8"/>
  <c r="F166" i="8"/>
  <c r="L165" i="8"/>
  <c r="F165" i="8"/>
  <c r="G165" i="8" s="1"/>
  <c r="L164" i="8"/>
  <c r="F164" i="8"/>
  <c r="G164" i="8" s="1"/>
  <c r="L163" i="8"/>
  <c r="F163" i="8"/>
  <c r="G163" i="8" s="1"/>
  <c r="L162" i="8"/>
  <c r="F162" i="8"/>
  <c r="G162" i="8" s="1"/>
  <c r="L161" i="8"/>
  <c r="F161" i="8"/>
  <c r="G161" i="8" s="1"/>
  <c r="L160" i="8"/>
  <c r="F160" i="8"/>
  <c r="G160" i="8" s="1"/>
  <c r="L159" i="8"/>
  <c r="F159" i="8"/>
  <c r="G159" i="8" s="1"/>
  <c r="L158" i="8"/>
  <c r="G158" i="8"/>
  <c r="J157" i="8"/>
  <c r="L157" i="8" s="1"/>
  <c r="F157" i="8"/>
  <c r="G157" i="8" s="1"/>
  <c r="L156" i="8"/>
  <c r="F156" i="8"/>
  <c r="G156" i="8" s="1"/>
  <c r="L155" i="8"/>
  <c r="J155" i="8"/>
  <c r="F155" i="8"/>
  <c r="G155" i="8" s="1"/>
  <c r="J154" i="8"/>
  <c r="L154" i="8" s="1"/>
  <c r="F154" i="8"/>
  <c r="G154" i="8" s="1"/>
  <c r="L153" i="8"/>
  <c r="J153" i="8"/>
  <c r="F153" i="8"/>
  <c r="G153" i="8" s="1"/>
  <c r="J152" i="8"/>
  <c r="L152" i="8" s="1"/>
  <c r="F152" i="8"/>
  <c r="G152" i="8" s="1"/>
  <c r="L151" i="8"/>
  <c r="J151" i="8"/>
  <c r="F151" i="8"/>
  <c r="G151" i="8" s="1"/>
  <c r="J150" i="8"/>
  <c r="L150" i="8" s="1"/>
  <c r="F150" i="8"/>
  <c r="G150" i="8" s="1"/>
  <c r="L149" i="8"/>
  <c r="J149" i="8"/>
  <c r="F149" i="8"/>
  <c r="G149" i="8" s="1"/>
  <c r="J148" i="8"/>
  <c r="L148" i="8" s="1"/>
  <c r="F148" i="8"/>
  <c r="G148" i="8" s="1"/>
  <c r="L147" i="8"/>
  <c r="J147" i="8"/>
  <c r="F147" i="8"/>
  <c r="G147" i="8" s="1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F86" i="8"/>
  <c r="L85" i="8"/>
  <c r="F85" i="8"/>
  <c r="L84" i="8"/>
  <c r="F84" i="8"/>
  <c r="L83" i="8"/>
  <c r="F83" i="8"/>
  <c r="L82" i="8"/>
  <c r="F82" i="8"/>
  <c r="L81" i="8"/>
  <c r="F81" i="8"/>
  <c r="L80" i="8"/>
  <c r="L79" i="8"/>
  <c r="L78" i="8"/>
  <c r="F78" i="8"/>
  <c r="L77" i="8"/>
  <c r="F77" i="8"/>
  <c r="L76" i="8"/>
  <c r="F76" i="8"/>
  <c r="L75" i="8"/>
  <c r="F75" i="8"/>
  <c r="L74" i="8"/>
  <c r="F74" i="8"/>
  <c r="L73" i="8"/>
  <c r="F73" i="8"/>
  <c r="L72" i="8"/>
  <c r="F72" i="8"/>
  <c r="L71" i="8"/>
  <c r="F71" i="8"/>
  <c r="L70" i="8"/>
  <c r="F70" i="8"/>
  <c r="L69" i="8"/>
  <c r="F69" i="8"/>
  <c r="L68" i="8"/>
  <c r="F68" i="8"/>
  <c r="G68" i="8" s="1"/>
  <c r="L67" i="8"/>
  <c r="F67" i="8"/>
  <c r="G67" i="8" s="1"/>
  <c r="L66" i="8"/>
  <c r="F66" i="8"/>
  <c r="L65" i="8"/>
  <c r="F65" i="8"/>
  <c r="G65" i="8" s="1"/>
  <c r="L64" i="8"/>
  <c r="F64" i="8"/>
  <c r="G64" i="8" s="1"/>
  <c r="L63" i="8"/>
  <c r="F63" i="8"/>
  <c r="G63" i="8" s="1"/>
  <c r="L62" i="8"/>
  <c r="F62" i="8"/>
  <c r="L61" i="8"/>
  <c r="F61" i="8"/>
  <c r="G61" i="8" s="1"/>
  <c r="L60" i="8"/>
  <c r="F60" i="8"/>
  <c r="G60" i="8" s="1"/>
  <c r="L59" i="8"/>
  <c r="F59" i="8"/>
  <c r="L58" i="8"/>
  <c r="F58" i="8"/>
  <c r="G58" i="8" s="1"/>
  <c r="L57" i="8"/>
  <c r="F57" i="8"/>
  <c r="G57" i="8" s="1"/>
  <c r="L56" i="8"/>
  <c r="F56" i="8"/>
  <c r="G56" i="8" s="1"/>
  <c r="L55" i="8"/>
  <c r="F55" i="8"/>
  <c r="G55" i="8" s="1"/>
  <c r="L54" i="8"/>
  <c r="F54" i="8"/>
  <c r="G54" i="8" s="1"/>
  <c r="L53" i="8"/>
  <c r="F53" i="8"/>
  <c r="G53" i="8" s="1"/>
  <c r="L52" i="8"/>
  <c r="G52" i="8"/>
  <c r="F52" i="8"/>
  <c r="L51" i="8"/>
  <c r="F51" i="8"/>
  <c r="G51" i="8" s="1"/>
  <c r="L50" i="8"/>
  <c r="F50" i="8"/>
  <c r="G50" i="8" s="1"/>
  <c r="L49" i="8"/>
  <c r="F49" i="8"/>
  <c r="G49" i="8" s="1"/>
  <c r="L48" i="8"/>
  <c r="F48" i="8"/>
  <c r="G48" i="8" s="1"/>
  <c r="L47" i="8"/>
  <c r="F47" i="8"/>
  <c r="L46" i="8"/>
  <c r="F46" i="8"/>
  <c r="L45" i="8"/>
  <c r="F45" i="8"/>
  <c r="L44" i="8"/>
  <c r="F44" i="8"/>
  <c r="G44" i="8" s="1"/>
  <c r="L43" i="8"/>
  <c r="G43" i="8"/>
  <c r="F43" i="8"/>
  <c r="L42" i="8"/>
  <c r="F42" i="8"/>
  <c r="G42" i="8" s="1"/>
  <c r="L41" i="8"/>
  <c r="F41" i="8"/>
  <c r="G41" i="8" s="1"/>
  <c r="L40" i="8"/>
  <c r="F40" i="8"/>
  <c r="G40" i="8" s="1"/>
  <c r="L39" i="8"/>
  <c r="F39" i="8"/>
  <c r="G39" i="8" s="1"/>
  <c r="L38" i="8"/>
  <c r="F38" i="8"/>
  <c r="G38" i="8" s="1"/>
  <c r="L37" i="8"/>
  <c r="F37" i="8"/>
  <c r="G37" i="8" s="1"/>
  <c r="L36" i="8"/>
  <c r="F36" i="8"/>
  <c r="G36" i="8" s="1"/>
  <c r="L35" i="8"/>
  <c r="L34" i="8"/>
  <c r="F34" i="8"/>
  <c r="G34" i="8" s="1"/>
  <c r="L33" i="8"/>
  <c r="F33" i="8"/>
  <c r="G33" i="8" s="1"/>
  <c r="L32" i="8"/>
  <c r="F32" i="8"/>
  <c r="G32" i="8" s="1"/>
  <c r="L31" i="8"/>
  <c r="F31" i="8"/>
  <c r="G31" i="8" s="1"/>
  <c r="L30" i="8"/>
  <c r="F30" i="8"/>
  <c r="G30" i="8" s="1"/>
  <c r="L29" i="8"/>
  <c r="F29" i="8"/>
  <c r="G29" i="8" s="1"/>
  <c r="L28" i="8"/>
  <c r="F28" i="8"/>
  <c r="G28" i="8" s="1"/>
  <c r="L27" i="8"/>
  <c r="F27" i="8"/>
  <c r="G27" i="8" s="1"/>
  <c r="L26" i="8"/>
  <c r="F26" i="8"/>
  <c r="G26" i="8" s="1"/>
  <c r="L25" i="8"/>
  <c r="F25" i="8"/>
  <c r="G25" i="8" s="1"/>
  <c r="L24" i="8"/>
  <c r="F24" i="8"/>
  <c r="G24" i="8" s="1"/>
  <c r="L23" i="8"/>
  <c r="F23" i="8"/>
  <c r="G23" i="8" s="1"/>
  <c r="L22" i="8"/>
  <c r="F22" i="8"/>
  <c r="G22" i="8" s="1"/>
  <c r="L21" i="8"/>
  <c r="G21" i="8"/>
  <c r="F21" i="8"/>
  <c r="L20" i="8"/>
  <c r="F20" i="8"/>
  <c r="G20" i="8" s="1"/>
  <c r="L19" i="8"/>
  <c r="F19" i="8"/>
  <c r="G19" i="8" s="1"/>
  <c r="L18" i="8"/>
  <c r="F18" i="8"/>
  <c r="G18" i="8" s="1"/>
  <c r="L17" i="8"/>
  <c r="F17" i="8"/>
  <c r="G17" i="8" s="1"/>
  <c r="L16" i="8"/>
  <c r="F16" i="8"/>
  <c r="G16" i="8" s="1"/>
  <c r="L15" i="8"/>
  <c r="F15" i="8"/>
  <c r="G15" i="8" s="1"/>
  <c r="L14" i="8"/>
  <c r="F14" i="8"/>
  <c r="G14" i="8" s="1"/>
  <c r="L13" i="8"/>
  <c r="F13" i="8"/>
  <c r="G13" i="8" s="1"/>
  <c r="L12" i="8"/>
  <c r="F12" i="8"/>
  <c r="G12" i="8" s="1"/>
  <c r="L11" i="8"/>
  <c r="F11" i="8"/>
  <c r="G11" i="8" s="1"/>
  <c r="L10" i="8"/>
  <c r="F10" i="8"/>
  <c r="G10" i="8" s="1"/>
  <c r="L9" i="8"/>
  <c r="F9" i="8"/>
  <c r="G9" i="8" s="1"/>
  <c r="L8" i="8"/>
  <c r="F8" i="8"/>
  <c r="G8" i="8" s="1"/>
  <c r="L7" i="8"/>
  <c r="F7" i="8"/>
  <c r="G7" i="8" s="1"/>
  <c r="L6" i="8"/>
  <c r="F6" i="8"/>
  <c r="G6" i="8" s="1"/>
  <c r="L5" i="8"/>
  <c r="F5" i="8"/>
  <c r="G5" i="8" s="1"/>
  <c r="L4" i="8"/>
  <c r="F4" i="8"/>
  <c r="G4" i="8" s="1"/>
  <c r="L3" i="8"/>
  <c r="F3" i="8"/>
  <c r="G3" i="8" s="1"/>
  <c r="L2" i="8"/>
  <c r="F2" i="8"/>
  <c r="G2" i="8" s="1"/>
  <c r="D9" i="7" l="1"/>
  <c r="D3" i="3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Y3407" i="1" s="1"/>
  <c r="R3407" i="1"/>
  <c r="N3407" i="1"/>
  <c r="T3406" i="1"/>
  <c r="R3406" i="1"/>
  <c r="N3406" i="1"/>
  <c r="X3405" i="1"/>
  <c r="T3405" i="1"/>
  <c r="O3405" i="1"/>
  <c r="R3405" i="1" s="1"/>
  <c r="N3405" i="1"/>
  <c r="T3404" i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Y3397" i="1" s="1"/>
  <c r="R3397" i="1"/>
  <c r="N3397" i="1"/>
  <c r="T3396" i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R3389" i="1"/>
  <c r="N3389" i="1"/>
  <c r="X3388" i="1"/>
  <c r="T3388" i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R3381" i="1"/>
  <c r="O3381" i="1"/>
  <c r="N3381" i="1"/>
  <c r="T3380" i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R3364" i="1"/>
  <c r="N3364" i="1"/>
  <c r="X3363" i="1"/>
  <c r="T3363" i="1"/>
  <c r="O3363" i="1"/>
  <c r="R3363" i="1" s="1"/>
  <c r="N3363" i="1"/>
  <c r="T3362" i="1"/>
  <c r="R3362" i="1"/>
  <c r="N3362" i="1"/>
  <c r="T3361" i="1"/>
  <c r="R3361" i="1"/>
  <c r="N3361" i="1"/>
  <c r="T3360" i="1"/>
  <c r="R3360" i="1"/>
  <c r="N3360" i="1"/>
  <c r="T3359" i="1"/>
  <c r="Y3359" i="1" s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X3345" i="1"/>
  <c r="T3345" i="1"/>
  <c r="R3345" i="1"/>
  <c r="N3345" i="1"/>
  <c r="X3344" i="1"/>
  <c r="T3344" i="1"/>
  <c r="O3344" i="1"/>
  <c r="R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R3321" i="1"/>
  <c r="N3321" i="1"/>
  <c r="T3320" i="1"/>
  <c r="Y3320" i="1" s="1"/>
  <c r="R3320" i="1"/>
  <c r="N3320" i="1"/>
  <c r="T3319" i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R3281" i="1"/>
  <c r="N3281" i="1"/>
  <c r="T3280" i="1"/>
  <c r="Y3280" i="1" s="1"/>
  <c r="R3280" i="1"/>
  <c r="N3280" i="1"/>
  <c r="T3279" i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R3194" i="1"/>
  <c r="N3194" i="1"/>
  <c r="X3193" i="1"/>
  <c r="T3193" i="1"/>
  <c r="R3193" i="1"/>
  <c r="N3193" i="1"/>
  <c r="T3192" i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R3146" i="1"/>
  <c r="N3146" i="1"/>
  <c r="T3145" i="1"/>
  <c r="Y3145" i="1" s="1"/>
  <c r="R3145" i="1"/>
  <c r="N3145" i="1"/>
  <c r="T3144" i="1"/>
  <c r="Y3144" i="1" s="1"/>
  <c r="R3144" i="1"/>
  <c r="N3144" i="1"/>
  <c r="T3143" i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Y3060" i="1" s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R3036" i="1"/>
  <c r="N3036" i="1"/>
  <c r="T3035" i="1"/>
  <c r="Y3035" i="1" s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R3031" i="1"/>
  <c r="N3031" i="1"/>
  <c r="T3030" i="1"/>
  <c r="R3030" i="1"/>
  <c r="N3030" i="1"/>
  <c r="X3029" i="1"/>
  <c r="T3029" i="1"/>
  <c r="R3029" i="1"/>
  <c r="N3029" i="1"/>
  <c r="T3028" i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R2994" i="1"/>
  <c r="N2994" i="1"/>
  <c r="T2993" i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U2965" i="1" s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R2957" i="1"/>
  <c r="N2957" i="1"/>
  <c r="T2956" i="1"/>
  <c r="Y2956" i="1" s="1"/>
  <c r="R2956" i="1"/>
  <c r="N2956" i="1"/>
  <c r="T2955" i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R2918" i="1"/>
  <c r="N2918" i="1"/>
  <c r="X2917" i="1"/>
  <c r="T2917" i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R2893" i="1"/>
  <c r="N2893" i="1"/>
  <c r="T2892" i="1"/>
  <c r="Y2892" i="1" s="1"/>
  <c r="R2892" i="1"/>
  <c r="N2892" i="1"/>
  <c r="T2891" i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R2879" i="1"/>
  <c r="N2879" i="1"/>
  <c r="T2878" i="1"/>
  <c r="Y2878" i="1" s="1"/>
  <c r="R2878" i="1"/>
  <c r="N2878" i="1"/>
  <c r="T2877" i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R2840" i="1"/>
  <c r="N2840" i="1"/>
  <c r="T2839" i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R2831" i="1"/>
  <c r="N2831" i="1"/>
  <c r="T2830" i="1"/>
  <c r="Y2830" i="1" s="1"/>
  <c r="R2830" i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Y2662" i="1" s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U2583" i="1" s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U2541" i="1" s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U2521" i="1" s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U2514" i="1" s="1"/>
  <c r="N2514" i="1"/>
  <c r="T2513" i="1"/>
  <c r="Y2513" i="1" s="1"/>
  <c r="R2513" i="1"/>
  <c r="N2513" i="1"/>
  <c r="T2512" i="1"/>
  <c r="Y2512" i="1" s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Y2490" i="1" s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Y2379" i="1" s="1"/>
  <c r="R2379" i="1"/>
  <c r="U2379" i="1" s="1"/>
  <c r="V2379" i="1" s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U2371" i="1" s="1"/>
  <c r="V2371" i="1" s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Y2364" i="1" s="1"/>
  <c r="R2364" i="1"/>
  <c r="N2364" i="1"/>
  <c r="T2363" i="1"/>
  <c r="Y2363" i="1" s="1"/>
  <c r="R2363" i="1"/>
  <c r="U2363" i="1" s="1"/>
  <c r="V2363" i="1" s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Y2347" i="1" s="1"/>
  <c r="R2347" i="1"/>
  <c r="N2347" i="1"/>
  <c r="T2346" i="1"/>
  <c r="Y2346" i="1" s="1"/>
  <c r="R2346" i="1"/>
  <c r="N2346" i="1"/>
  <c r="T2345" i="1"/>
  <c r="Y2345" i="1" s="1"/>
  <c r="R2345" i="1"/>
  <c r="U2345" i="1" s="1"/>
  <c r="V2345" i="1" s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Y2339" i="1" s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U2313" i="1" s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Y2255" i="1" s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Y2239" i="1" s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Y2231" i="1" s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Y2192" i="1" s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R2170" i="1"/>
  <c r="N2170" i="1"/>
  <c r="X2169" i="1"/>
  <c r="T2169" i="1"/>
  <c r="R2169" i="1"/>
  <c r="N2169" i="1"/>
  <c r="T2168" i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2267" i="1" l="1"/>
  <c r="U2559" i="1"/>
  <c r="V2559" i="1" s="1"/>
  <c r="W2559" i="1" s="1"/>
  <c r="U2604" i="1"/>
  <c r="U2616" i="1"/>
  <c r="V2616" i="1" s="1"/>
  <c r="U2621" i="1"/>
  <c r="U2721" i="1"/>
  <c r="U2745" i="1"/>
  <c r="V2745" i="1" s="1"/>
  <c r="W2745" i="1" s="1"/>
  <c r="U2931" i="1"/>
  <c r="V2931" i="1" s="1"/>
  <c r="W2931" i="1" s="1"/>
  <c r="U2967" i="1"/>
  <c r="V2967" i="1" s="1"/>
  <c r="W2967" i="1" s="1"/>
  <c r="U3001" i="1"/>
  <c r="U3083" i="1"/>
  <c r="U3131" i="1"/>
  <c r="U3240" i="1"/>
  <c r="Y3324" i="1"/>
  <c r="U3387" i="1"/>
  <c r="U2686" i="1"/>
  <c r="V2686" i="1" s="1"/>
  <c r="W2686" i="1" s="1"/>
  <c r="U2696" i="1"/>
  <c r="U2704" i="1"/>
  <c r="V2704" i="1" s="1"/>
  <c r="W2704" i="1" s="1"/>
  <c r="U2252" i="1"/>
  <c r="V2252" i="1" s="1"/>
  <c r="U2260" i="1"/>
  <c r="U2265" i="1"/>
  <c r="V2265" i="1" s="1"/>
  <c r="W2265" i="1" s="1"/>
  <c r="U2308" i="1"/>
  <c r="U2358" i="1"/>
  <c r="V2358" i="1" s="1"/>
  <c r="W2358" i="1" s="1"/>
  <c r="U3415" i="1"/>
  <c r="V3415" i="1" s="1"/>
  <c r="W3415" i="1" s="1"/>
  <c r="U2231" i="1"/>
  <c r="V2231" i="1" s="1"/>
  <c r="W2231" i="1" s="1"/>
  <c r="U2239" i="1"/>
  <c r="V2239" i="1" s="1"/>
  <c r="W2239" i="1" s="1"/>
  <c r="U2414" i="1"/>
  <c r="V2414" i="1" s="1"/>
  <c r="W2414" i="1" s="1"/>
  <c r="U2617" i="1"/>
  <c r="V2617" i="1" s="1"/>
  <c r="W2617" i="1" s="1"/>
  <c r="U2722" i="1"/>
  <c r="V2722" i="1" s="1"/>
  <c r="W2722" i="1" s="1"/>
  <c r="U2799" i="1"/>
  <c r="V2799" i="1" s="1"/>
  <c r="W2799" i="1" s="1"/>
  <c r="U2801" i="1"/>
  <c r="V2801" i="1" s="1"/>
  <c r="W2801" i="1" s="1"/>
  <c r="U2870" i="1"/>
  <c r="V2870" i="1" s="1"/>
  <c r="W2870" i="1" s="1"/>
  <c r="U2932" i="1"/>
  <c r="V2932" i="1" s="1"/>
  <c r="W2932" i="1" s="1"/>
  <c r="U3227" i="1"/>
  <c r="V3227" i="1" s="1"/>
  <c r="W3227" i="1" s="1"/>
  <c r="U3366" i="1"/>
  <c r="U2255" i="1"/>
  <c r="V2255" i="1" s="1"/>
  <c r="W2255" i="1" s="1"/>
  <c r="U2885" i="1"/>
  <c r="V2885" i="1" s="1"/>
  <c r="W2885" i="1" s="1"/>
  <c r="U2954" i="1"/>
  <c r="V2954" i="1" s="1"/>
  <c r="W2954" i="1" s="1"/>
  <c r="U2607" i="1"/>
  <c r="V2607" i="1" s="1"/>
  <c r="W2607" i="1" s="1"/>
  <c r="U3078" i="1"/>
  <c r="V3078" i="1" s="1"/>
  <c r="W3078" i="1" s="1"/>
  <c r="U3335" i="1"/>
  <c r="V3335" i="1" s="1"/>
  <c r="W3335" i="1" s="1"/>
  <c r="Y3373" i="1"/>
  <c r="U2277" i="1"/>
  <c r="U2348" i="1"/>
  <c r="V2348" i="1" s="1"/>
  <c r="W2348" i="1" s="1"/>
  <c r="U2502" i="1"/>
  <c r="V2502" i="1" s="1"/>
  <c r="W2502" i="1" s="1"/>
  <c r="U2507" i="1"/>
  <c r="V2507" i="1" s="1"/>
  <c r="W2507" i="1" s="1"/>
  <c r="U2794" i="1"/>
  <c r="V2794" i="1" s="1"/>
  <c r="W2794" i="1" s="1"/>
  <c r="U2805" i="1"/>
  <c r="V2805" i="1" s="1"/>
  <c r="W2805" i="1" s="1"/>
  <c r="U2841" i="1"/>
  <c r="V2841" i="1" s="1"/>
  <c r="W2841" i="1" s="1"/>
  <c r="U2849" i="1"/>
  <c r="V2849" i="1" s="1"/>
  <c r="U2862" i="1"/>
  <c r="V2862" i="1" s="1"/>
  <c r="W2862" i="1" s="1"/>
  <c r="Y3111" i="1"/>
  <c r="U2445" i="1"/>
  <c r="V2445" i="1" s="1"/>
  <c r="W2445" i="1" s="1"/>
  <c r="Y2629" i="1"/>
  <c r="U2641" i="1"/>
  <c r="V2641" i="1" s="1"/>
  <c r="W2641" i="1" s="1"/>
  <c r="Y2872" i="1"/>
  <c r="U2828" i="1"/>
  <c r="V2828" i="1" s="1"/>
  <c r="W2828" i="1" s="1"/>
  <c r="U2926" i="1"/>
  <c r="V2926" i="1" s="1"/>
  <c r="W2926" i="1" s="1"/>
  <c r="U2539" i="1"/>
  <c r="V2539" i="1" s="1"/>
  <c r="W2539" i="1" s="1"/>
  <c r="U3377" i="1"/>
  <c r="V3377" i="1" s="1"/>
  <c r="W3377" i="1" s="1"/>
  <c r="U3394" i="1"/>
  <c r="V3394" i="1" s="1"/>
  <c r="W3394" i="1" s="1"/>
  <c r="U2572" i="1"/>
  <c r="V2572" i="1" s="1"/>
  <c r="W2572" i="1" s="1"/>
  <c r="U2609" i="1"/>
  <c r="V2609" i="1" s="1"/>
  <c r="W2609" i="1" s="1"/>
  <c r="U2726" i="1"/>
  <c r="V2726" i="1" s="1"/>
  <c r="W2726" i="1" s="1"/>
  <c r="U2936" i="1"/>
  <c r="V2936" i="1" s="1"/>
  <c r="W2936" i="1" s="1"/>
  <c r="U2946" i="1"/>
  <c r="V2946" i="1" s="1"/>
  <c r="U2951" i="1"/>
  <c r="V2951" i="1" s="1"/>
  <c r="U3187" i="1"/>
  <c r="V3187" i="1" s="1"/>
  <c r="U3242" i="1"/>
  <c r="V3242" i="1" s="1"/>
  <c r="W3242" i="1" s="1"/>
  <c r="U3058" i="1"/>
  <c r="V3058" i="1" s="1"/>
  <c r="U2275" i="1"/>
  <c r="V2275" i="1" s="1"/>
  <c r="W2275" i="1" s="1"/>
  <c r="U2429" i="1"/>
  <c r="V2429" i="1" s="1"/>
  <c r="W2429" i="1" s="1"/>
  <c r="U2678" i="1"/>
  <c r="V2678" i="1" s="1"/>
  <c r="W2678" i="1" s="1"/>
  <c r="Y2966" i="1"/>
  <c r="U2992" i="1"/>
  <c r="V2992" i="1" s="1"/>
  <c r="W2992" i="1" s="1"/>
  <c r="U3056" i="1"/>
  <c r="V3056" i="1" s="1"/>
  <c r="W3056" i="1" s="1"/>
  <c r="U3174" i="1"/>
  <c r="V3174" i="1" s="1"/>
  <c r="W3174" i="1" s="1"/>
  <c r="U3181" i="1"/>
  <c r="V3181" i="1" s="1"/>
  <c r="W3181" i="1" s="1"/>
  <c r="U2299" i="1"/>
  <c r="V2299" i="1" s="1"/>
  <c r="W2299" i="1" s="1"/>
  <c r="U2782" i="1"/>
  <c r="V2782" i="1" s="1"/>
  <c r="W2782" i="1" s="1"/>
  <c r="U2804" i="1"/>
  <c r="V2804" i="1" s="1"/>
  <c r="W2804" i="1" s="1"/>
  <c r="U2822" i="1"/>
  <c r="V2822" i="1" s="1"/>
  <c r="W2822" i="1" s="1"/>
  <c r="U2827" i="1"/>
  <c r="V2827" i="1" s="1"/>
  <c r="W2827" i="1" s="1"/>
  <c r="U2866" i="1"/>
  <c r="V2866" i="1" s="1"/>
  <c r="W2866" i="1" s="1"/>
  <c r="Y3156" i="1"/>
  <c r="U3172" i="1"/>
  <c r="V3172" i="1" s="1"/>
  <c r="W3172" i="1" s="1"/>
  <c r="U2852" i="1"/>
  <c r="V2852" i="1" s="1"/>
  <c r="W2852" i="1" s="1"/>
  <c r="U2940" i="1"/>
  <c r="V2940" i="1" s="1"/>
  <c r="W2940" i="1" s="1"/>
  <c r="U2247" i="1"/>
  <c r="V2247" i="1" s="1"/>
  <c r="W2247" i="1" s="1"/>
  <c r="Y2419" i="1"/>
  <c r="U2353" i="1"/>
  <c r="V2353" i="1" s="1"/>
  <c r="W2353" i="1" s="1"/>
  <c r="U2437" i="1"/>
  <c r="V2437" i="1" s="1"/>
  <c r="W2437" i="1" s="1"/>
  <c r="U2432" i="1"/>
  <c r="V2432" i="1" s="1"/>
  <c r="W2432" i="1" s="1"/>
  <c r="U2440" i="1"/>
  <c r="V2440" i="1" s="1"/>
  <c r="W2440" i="1" s="1"/>
  <c r="U2522" i="1"/>
  <c r="V2522" i="1" s="1"/>
  <c r="W2522" i="1" s="1"/>
  <c r="Y2287" i="1"/>
  <c r="U2417" i="1"/>
  <c r="V2417" i="1" s="1"/>
  <c r="W2417" i="1" s="1"/>
  <c r="U2422" i="1"/>
  <c r="V2422" i="1" s="1"/>
  <c r="W2422" i="1" s="1"/>
  <c r="U3291" i="1"/>
  <c r="V3291" i="1" s="1"/>
  <c r="W3291" i="1" s="1"/>
  <c r="U3341" i="1"/>
  <c r="V3341" i="1" s="1"/>
  <c r="W3341" i="1" s="1"/>
  <c r="U2553" i="1"/>
  <c r="V2553" i="1" s="1"/>
  <c r="W2553" i="1" s="1"/>
  <c r="Y2553" i="1"/>
  <c r="U2224" i="1"/>
  <c r="V2224" i="1" s="1"/>
  <c r="W2224" i="1" s="1"/>
  <c r="U2229" i="1"/>
  <c r="V2229" i="1" s="1"/>
  <c r="W2229" i="1" s="1"/>
  <c r="U2425" i="1"/>
  <c r="V2425" i="1" s="1"/>
  <c r="W2425" i="1" s="1"/>
  <c r="Y2427" i="1"/>
  <c r="U2680" i="1"/>
  <c r="V2680" i="1" s="1"/>
  <c r="W2680" i="1" s="1"/>
  <c r="U2687" i="1"/>
  <c r="V2687" i="1" s="1"/>
  <c r="W2687" i="1" s="1"/>
  <c r="U2697" i="1"/>
  <c r="V2697" i="1" s="1"/>
  <c r="W2697" i="1" s="1"/>
  <c r="U2705" i="1"/>
  <c r="V2705" i="1" s="1"/>
  <c r="W2705" i="1" s="1"/>
  <c r="U2813" i="1"/>
  <c r="V2813" i="1" s="1"/>
  <c r="W2813" i="1" s="1"/>
  <c r="U2901" i="1"/>
  <c r="V2901" i="1" s="1"/>
  <c r="W2901" i="1" s="1"/>
  <c r="U2937" i="1"/>
  <c r="V2937" i="1" s="1"/>
  <c r="W2937" i="1" s="1"/>
  <c r="U2391" i="1"/>
  <c r="V2391" i="1" s="1"/>
  <c r="W2391" i="1" s="1"/>
  <c r="U2174" i="1"/>
  <c r="V2174" i="1" s="1"/>
  <c r="W2174" i="1" s="1"/>
  <c r="U2289" i="1"/>
  <c r="V2289" i="1" s="1"/>
  <c r="W2289" i="1" s="1"/>
  <c r="U2307" i="1"/>
  <c r="V2307" i="1" s="1"/>
  <c r="W2307" i="1" s="1"/>
  <c r="U2315" i="1"/>
  <c r="V2315" i="1" s="1"/>
  <c r="U2326" i="1"/>
  <c r="V2326" i="1" s="1"/>
  <c r="W2326" i="1" s="1"/>
  <c r="U2357" i="1"/>
  <c r="V2357" i="1" s="1"/>
  <c r="W2357" i="1" s="1"/>
  <c r="U2365" i="1"/>
  <c r="V2365" i="1" s="1"/>
  <c r="W2365" i="1" s="1"/>
  <c r="U2373" i="1"/>
  <c r="V2373" i="1" s="1"/>
  <c r="W2373" i="1" s="1"/>
  <c r="U2381" i="1"/>
  <c r="V2381" i="1" s="1"/>
  <c r="W2381" i="1" s="1"/>
  <c r="U2386" i="1"/>
  <c r="V2386" i="1" s="1"/>
  <c r="W2386" i="1" s="1"/>
  <c r="U2394" i="1"/>
  <c r="V2394" i="1" s="1"/>
  <c r="W2394" i="1" s="1"/>
  <c r="U2402" i="1"/>
  <c r="V2402" i="1" s="1"/>
  <c r="W2402" i="1" s="1"/>
  <c r="U2410" i="1"/>
  <c r="V2410" i="1" s="1"/>
  <c r="W2410" i="1" s="1"/>
  <c r="U2625" i="1"/>
  <c r="V2625" i="1" s="1"/>
  <c r="W2625" i="1" s="1"/>
  <c r="U2671" i="1"/>
  <c r="V2671" i="1" s="1"/>
  <c r="W2671" i="1" s="1"/>
  <c r="U2762" i="1"/>
  <c r="V2762" i="1" s="1"/>
  <c r="W2762" i="1" s="1"/>
  <c r="U2806" i="1"/>
  <c r="V2806" i="1" s="1"/>
  <c r="W2806" i="1" s="1"/>
  <c r="U2837" i="1"/>
  <c r="V2837" i="1" s="1"/>
  <c r="W2837" i="1" s="1"/>
  <c r="U2842" i="1"/>
  <c r="V2842" i="1" s="1"/>
  <c r="W2842" i="1" s="1"/>
  <c r="U2850" i="1"/>
  <c r="V2850" i="1" s="1"/>
  <c r="W2850" i="1" s="1"/>
  <c r="U2875" i="1"/>
  <c r="V2875" i="1" s="1"/>
  <c r="U2915" i="1"/>
  <c r="V2915" i="1" s="1"/>
  <c r="W2915" i="1" s="1"/>
  <c r="U2920" i="1"/>
  <c r="V2920" i="1" s="1"/>
  <c r="W2920" i="1" s="1"/>
  <c r="U2925" i="1"/>
  <c r="V2925" i="1" s="1"/>
  <c r="W2925" i="1" s="1"/>
  <c r="U3002" i="1"/>
  <c r="V3002" i="1" s="1"/>
  <c r="W3002" i="1" s="1"/>
  <c r="U3018" i="1"/>
  <c r="V3018" i="1" s="1"/>
  <c r="U3045" i="1"/>
  <c r="V3045" i="1" s="1"/>
  <c r="W3045" i="1" s="1"/>
  <c r="U3053" i="1"/>
  <c r="V3053" i="1" s="1"/>
  <c r="W3053" i="1" s="1"/>
  <c r="U3061" i="1"/>
  <c r="V3061" i="1" s="1"/>
  <c r="W3061" i="1" s="1"/>
  <c r="U3069" i="1"/>
  <c r="V3069" i="1" s="1"/>
  <c r="W3069" i="1" s="1"/>
  <c r="U3074" i="1"/>
  <c r="V3074" i="1" s="1"/>
  <c r="W3074" i="1" s="1"/>
  <c r="U3191" i="1"/>
  <c r="V3191" i="1" s="1"/>
  <c r="W3191" i="1" s="1"/>
  <c r="U3196" i="1"/>
  <c r="V3196" i="1" s="1"/>
  <c r="W3196" i="1" s="1"/>
  <c r="U3222" i="1"/>
  <c r="V3222" i="1" s="1"/>
  <c r="U3230" i="1"/>
  <c r="V3230" i="1" s="1"/>
  <c r="W3230" i="1" s="1"/>
  <c r="U3286" i="1"/>
  <c r="V3286" i="1" s="1"/>
  <c r="W3286" i="1" s="1"/>
  <c r="U3308" i="1"/>
  <c r="V3308" i="1" s="1"/>
  <c r="W3308" i="1" s="1"/>
  <c r="Y3323" i="1"/>
  <c r="U3328" i="1"/>
  <c r="V3328" i="1" s="1"/>
  <c r="W3328" i="1" s="1"/>
  <c r="U3336" i="1"/>
  <c r="V3336" i="1" s="1"/>
  <c r="W3336" i="1" s="1"/>
  <c r="Y2525" i="1"/>
  <c r="U2677" i="1"/>
  <c r="V2677" i="1" s="1"/>
  <c r="W2677" i="1" s="1"/>
  <c r="Y2679" i="1"/>
  <c r="U2814" i="1"/>
  <c r="V2814" i="1" s="1"/>
  <c r="W2814" i="1" s="1"/>
  <c r="Y3294" i="1"/>
  <c r="U2235" i="1"/>
  <c r="V2235" i="1" s="1"/>
  <c r="W2235" i="1" s="1"/>
  <c r="U3372" i="1"/>
  <c r="V3372" i="1" s="1"/>
  <c r="W3372" i="1" s="1"/>
  <c r="U2179" i="1"/>
  <c r="V2179" i="1" s="1"/>
  <c r="W2179" i="1" s="1"/>
  <c r="U2199" i="1"/>
  <c r="V2199" i="1" s="1"/>
  <c r="W2199" i="1" s="1"/>
  <c r="U2209" i="1"/>
  <c r="V2209" i="1" s="1"/>
  <c r="U2389" i="1"/>
  <c r="V2389" i="1" s="1"/>
  <c r="W2389" i="1" s="1"/>
  <c r="U2397" i="1"/>
  <c r="V2397" i="1" s="1"/>
  <c r="W2397" i="1" s="1"/>
  <c r="U2622" i="1"/>
  <c r="V2622" i="1" s="1"/>
  <c r="W2622" i="1" s="1"/>
  <c r="U2639" i="1"/>
  <c r="V2639" i="1" s="1"/>
  <c r="W2639" i="1" s="1"/>
  <c r="U2675" i="1"/>
  <c r="V2675" i="1" s="1"/>
  <c r="Y2691" i="1"/>
  <c r="U2777" i="1"/>
  <c r="V2777" i="1" s="1"/>
  <c r="W2777" i="1" s="1"/>
  <c r="U2484" i="1"/>
  <c r="V2484" i="1" s="1"/>
  <c r="W2484" i="1" s="1"/>
  <c r="U2494" i="1"/>
  <c r="V2494" i="1" s="1"/>
  <c r="W2494" i="1" s="1"/>
  <c r="U2533" i="1"/>
  <c r="V2533" i="1" s="1"/>
  <c r="W2533" i="1" s="1"/>
  <c r="U2569" i="1"/>
  <c r="V2569" i="1" s="1"/>
  <c r="W2569" i="1" s="1"/>
  <c r="U2574" i="1"/>
  <c r="V2574" i="1" s="1"/>
  <c r="W2574" i="1" s="1"/>
  <c r="U2634" i="1"/>
  <c r="V2634" i="1" s="1"/>
  <c r="W2634" i="1" s="1"/>
  <c r="U2693" i="1"/>
  <c r="V2693" i="1" s="1"/>
  <c r="W2693" i="1" s="1"/>
  <c r="U2701" i="1"/>
  <c r="V2701" i="1" s="1"/>
  <c r="U2706" i="1"/>
  <c r="V2706" i="1" s="1"/>
  <c r="W2706" i="1" s="1"/>
  <c r="Y2718" i="1"/>
  <c r="U2751" i="1"/>
  <c r="V2751" i="1" s="1"/>
  <c r="W2751" i="1" s="1"/>
  <c r="U2763" i="1"/>
  <c r="V2763" i="1" s="1"/>
  <c r="W2763" i="1" s="1"/>
  <c r="U2791" i="1"/>
  <c r="V2791" i="1" s="1"/>
  <c r="U2796" i="1"/>
  <c r="V2796" i="1" s="1"/>
  <c r="W2796" i="1" s="1"/>
  <c r="U2807" i="1"/>
  <c r="V2807" i="1" s="1"/>
  <c r="W2807" i="1" s="1"/>
  <c r="U2833" i="1"/>
  <c r="V2833" i="1" s="1"/>
  <c r="W2833" i="1" s="1"/>
  <c r="Y2838" i="1"/>
  <c r="U2846" i="1"/>
  <c r="V2846" i="1" s="1"/>
  <c r="W2846" i="1" s="1"/>
  <c r="U2854" i="1"/>
  <c r="V2854" i="1" s="1"/>
  <c r="W2854" i="1" s="1"/>
  <c r="U2867" i="1"/>
  <c r="V2867" i="1" s="1"/>
  <c r="W2867" i="1" s="1"/>
  <c r="U2874" i="1"/>
  <c r="V2874" i="1" s="1"/>
  <c r="W2874" i="1" s="1"/>
  <c r="U2887" i="1"/>
  <c r="V2887" i="1" s="1"/>
  <c r="W2887" i="1" s="1"/>
  <c r="U2908" i="1"/>
  <c r="V2908" i="1" s="1"/>
  <c r="W2908" i="1" s="1"/>
  <c r="U3015" i="1"/>
  <c r="V3015" i="1" s="1"/>
  <c r="W3015" i="1" s="1"/>
  <c r="U3063" i="1"/>
  <c r="V3063" i="1" s="1"/>
  <c r="W3063" i="1" s="1"/>
  <c r="U3085" i="1"/>
  <c r="V3085" i="1" s="1"/>
  <c r="U3098" i="1"/>
  <c r="V3098" i="1" s="1"/>
  <c r="W3098" i="1" s="1"/>
  <c r="U3108" i="1"/>
  <c r="V3108" i="1" s="1"/>
  <c r="W3108" i="1" s="1"/>
  <c r="U3122" i="1"/>
  <c r="V3122" i="1" s="1"/>
  <c r="W3122" i="1" s="1"/>
  <c r="Y2499" i="1"/>
  <c r="U2461" i="1"/>
  <c r="V2461" i="1" s="1"/>
  <c r="W2461" i="1" s="1"/>
  <c r="Y2502" i="1"/>
  <c r="U2544" i="1"/>
  <c r="V2544" i="1" s="1"/>
  <c r="W2544" i="1" s="1"/>
  <c r="U2554" i="1"/>
  <c r="V2554" i="1" s="1"/>
  <c r="W2554" i="1" s="1"/>
  <c r="U2575" i="1"/>
  <c r="V2575" i="1" s="1"/>
  <c r="W2575" i="1" s="1"/>
  <c r="U2620" i="1"/>
  <c r="V2620" i="1" s="1"/>
  <c r="W2620" i="1" s="1"/>
  <c r="U2747" i="1"/>
  <c r="V2747" i="1" s="1"/>
  <c r="W2747" i="1" s="1"/>
  <c r="Y2756" i="1"/>
  <c r="U2759" i="1"/>
  <c r="V2759" i="1" s="1"/>
  <c r="W2759" i="1" s="1"/>
  <c r="Y2771" i="1"/>
  <c r="U2797" i="1"/>
  <c r="V2797" i="1" s="1"/>
  <c r="W2797" i="1" s="1"/>
  <c r="U2808" i="1"/>
  <c r="V2808" i="1" s="1"/>
  <c r="W2808" i="1" s="1"/>
  <c r="U2834" i="1"/>
  <c r="V2834" i="1" s="1"/>
  <c r="U2860" i="1"/>
  <c r="V2860" i="1" s="1"/>
  <c r="W2860" i="1" s="1"/>
  <c r="U2868" i="1"/>
  <c r="V2868" i="1" s="1"/>
  <c r="W2868" i="1" s="1"/>
  <c r="U2880" i="1"/>
  <c r="V2880" i="1" s="1"/>
  <c r="W2880" i="1" s="1"/>
  <c r="U2888" i="1"/>
  <c r="V2888" i="1" s="1"/>
  <c r="W2888" i="1" s="1"/>
  <c r="U2896" i="1"/>
  <c r="V2896" i="1" s="1"/>
  <c r="U3008" i="1"/>
  <c r="V3008" i="1" s="1"/>
  <c r="W3008" i="1" s="1"/>
  <c r="U3208" i="1"/>
  <c r="V3208" i="1" s="1"/>
  <c r="W3208" i="1" s="1"/>
  <c r="U3224" i="1"/>
  <c r="V3224" i="1" s="1"/>
  <c r="W3224" i="1" s="1"/>
  <c r="U3250" i="1"/>
  <c r="V3250" i="1" s="1"/>
  <c r="W3250" i="1" s="1"/>
  <c r="U3260" i="1"/>
  <c r="V3260" i="1" s="1"/>
  <c r="W3260" i="1" s="1"/>
  <c r="U3375" i="1"/>
  <c r="V3375" i="1" s="1"/>
  <c r="W3375" i="1" s="1"/>
  <c r="U3397" i="1"/>
  <c r="V3397" i="1" s="1"/>
  <c r="W3397" i="1" s="1"/>
  <c r="U3418" i="1"/>
  <c r="V3418" i="1" s="1"/>
  <c r="W3418" i="1" s="1"/>
  <c r="U2387" i="1"/>
  <c r="V2387" i="1" s="1"/>
  <c r="W2387" i="1" s="1"/>
  <c r="U2393" i="1"/>
  <c r="V2393" i="1" s="1"/>
  <c r="W2393" i="1" s="1"/>
  <c r="U3258" i="1"/>
  <c r="V3258" i="1" s="1"/>
  <c r="W3258" i="1" s="1"/>
  <c r="U2172" i="1"/>
  <c r="V2172" i="1" s="1"/>
  <c r="W2172" i="1" s="1"/>
  <c r="U2177" i="1"/>
  <c r="V2177" i="1" s="1"/>
  <c r="U2190" i="1"/>
  <c r="V2190" i="1" s="1"/>
  <c r="W2190" i="1" s="1"/>
  <c r="U2195" i="1"/>
  <c r="V2195" i="1" s="1"/>
  <c r="W2195" i="1" s="1"/>
  <c r="Y2197" i="1"/>
  <c r="U2202" i="1"/>
  <c r="V2202" i="1" s="1"/>
  <c r="W2202" i="1" s="1"/>
  <c r="U2222" i="1"/>
  <c r="V2222" i="1" s="1"/>
  <c r="W2222" i="1" s="1"/>
  <c r="U2330" i="1"/>
  <c r="V2330" i="1" s="1"/>
  <c r="W2330" i="1" s="1"/>
  <c r="U2338" i="1"/>
  <c r="V2338" i="1" s="1"/>
  <c r="W2338" i="1" s="1"/>
  <c r="Y2356" i="1"/>
  <c r="U2364" i="1"/>
  <c r="V2364" i="1" s="1"/>
  <c r="W2364" i="1" s="1"/>
  <c r="U2372" i="1"/>
  <c r="V2372" i="1" s="1"/>
  <c r="U2390" i="1"/>
  <c r="V2390" i="1" s="1"/>
  <c r="W2390" i="1" s="1"/>
  <c r="U2395" i="1"/>
  <c r="V2395" i="1" s="1"/>
  <c r="U2571" i="1"/>
  <c r="V2571" i="1" s="1"/>
  <c r="W2571" i="1" s="1"/>
  <c r="U2765" i="1"/>
  <c r="V2765" i="1" s="1"/>
  <c r="W2765" i="1" s="1"/>
  <c r="U2902" i="1"/>
  <c r="V2902" i="1" s="1"/>
  <c r="W2902" i="1" s="1"/>
  <c r="U2910" i="1"/>
  <c r="V2910" i="1" s="1"/>
  <c r="W2910" i="1" s="1"/>
  <c r="U2923" i="1"/>
  <c r="V2923" i="1" s="1"/>
  <c r="W2923" i="1" s="1"/>
  <c r="U2950" i="1"/>
  <c r="V2950" i="1" s="1"/>
  <c r="W2950" i="1" s="1"/>
  <c r="U3017" i="1"/>
  <c r="V3017" i="1" s="1"/>
  <c r="W3017" i="1" s="1"/>
  <c r="U3057" i="1"/>
  <c r="V3057" i="1" s="1"/>
  <c r="W3057" i="1" s="1"/>
  <c r="U3129" i="1"/>
  <c r="V3129" i="1" s="1"/>
  <c r="W3129" i="1" s="1"/>
  <c r="U3152" i="1"/>
  <c r="V3152" i="1" s="1"/>
  <c r="W3152" i="1" s="1"/>
  <c r="U3162" i="1"/>
  <c r="V3162" i="1" s="1"/>
  <c r="U3217" i="1"/>
  <c r="V3217" i="1" s="1"/>
  <c r="W3217" i="1" s="1"/>
  <c r="U3225" i="1"/>
  <c r="V3225" i="1" s="1"/>
  <c r="W3225" i="1" s="1"/>
  <c r="U3311" i="1"/>
  <c r="V3311" i="1" s="1"/>
  <c r="W3311" i="1" s="1"/>
  <c r="U3351" i="1"/>
  <c r="V3351" i="1" s="1"/>
  <c r="W3351" i="1" s="1"/>
  <c r="U3411" i="1"/>
  <c r="V3411" i="1" s="1"/>
  <c r="W3411" i="1" s="1"/>
  <c r="U2185" i="1"/>
  <c r="V2185" i="1" s="1"/>
  <c r="W2185" i="1" s="1"/>
  <c r="U2246" i="1"/>
  <c r="V2246" i="1" s="1"/>
  <c r="U2266" i="1"/>
  <c r="V2266" i="1" s="1"/>
  <c r="W2266" i="1" s="1"/>
  <c r="Y2271" i="1"/>
  <c r="Y2273" i="1"/>
  <c r="U2278" i="1"/>
  <c r="V2278" i="1" s="1"/>
  <c r="W2278" i="1" s="1"/>
  <c r="U2419" i="1"/>
  <c r="V2419" i="1" s="1"/>
  <c r="W2419" i="1" s="1"/>
  <c r="U2457" i="1"/>
  <c r="V2457" i="1" s="1"/>
  <c r="W2457" i="1" s="1"/>
  <c r="U2465" i="1"/>
  <c r="V2465" i="1" s="1"/>
  <c r="W2465" i="1" s="1"/>
  <c r="U2473" i="1"/>
  <c r="V2473" i="1" s="1"/>
  <c r="W2473" i="1" s="1"/>
  <c r="U2481" i="1"/>
  <c r="V2481" i="1" s="1"/>
  <c r="W2481" i="1" s="1"/>
  <c r="U2540" i="1"/>
  <c r="V2540" i="1" s="1"/>
  <c r="W2540" i="1" s="1"/>
  <c r="U2566" i="1"/>
  <c r="V2566" i="1" s="1"/>
  <c r="W2566" i="1" s="1"/>
  <c r="U2579" i="1"/>
  <c r="V2579" i="1" s="1"/>
  <c r="U2584" i="1"/>
  <c r="V2584" i="1" s="1"/>
  <c r="W2584" i="1" s="1"/>
  <c r="U2592" i="1"/>
  <c r="V2592" i="1" s="1"/>
  <c r="Y2621" i="1"/>
  <c r="U2708" i="1"/>
  <c r="V2708" i="1" s="1"/>
  <c r="W2708" i="1" s="1"/>
  <c r="U2713" i="1"/>
  <c r="V2713" i="1" s="1"/>
  <c r="Y2765" i="1"/>
  <c r="U2770" i="1"/>
  <c r="V2770" i="1" s="1"/>
  <c r="W2770" i="1" s="1"/>
  <c r="U2775" i="1"/>
  <c r="V2775" i="1" s="1"/>
  <c r="U2876" i="1"/>
  <c r="V2876" i="1" s="1"/>
  <c r="W2876" i="1" s="1"/>
  <c r="U2900" i="1"/>
  <c r="V2900" i="1" s="1"/>
  <c r="W2900" i="1" s="1"/>
  <c r="U2913" i="1"/>
  <c r="V2913" i="1" s="1"/>
  <c r="W2913" i="1" s="1"/>
  <c r="U3142" i="1"/>
  <c r="V3142" i="1" s="1"/>
  <c r="W3142" i="1" s="1"/>
  <c r="U3150" i="1"/>
  <c r="V3150" i="1" s="1"/>
  <c r="W3150" i="1" s="1"/>
  <c r="U3293" i="1"/>
  <c r="V3293" i="1" s="1"/>
  <c r="W3293" i="1" s="1"/>
  <c r="U3302" i="1"/>
  <c r="V3302" i="1" s="1"/>
  <c r="W3302" i="1" s="1"/>
  <c r="U3334" i="1"/>
  <c r="V3334" i="1" s="1"/>
  <c r="U3349" i="1"/>
  <c r="V3349" i="1" s="1"/>
  <c r="W3349" i="1" s="1"/>
  <c r="U2454" i="1"/>
  <c r="V2454" i="1" s="1"/>
  <c r="W2454" i="1" s="1"/>
  <c r="U2462" i="1"/>
  <c r="V2462" i="1" s="1"/>
  <c r="W2462" i="1" s="1"/>
  <c r="U2470" i="1"/>
  <c r="V2470" i="1" s="1"/>
  <c r="W2470" i="1" s="1"/>
  <c r="U2486" i="1"/>
  <c r="V2486" i="1" s="1"/>
  <c r="W2486" i="1" s="1"/>
  <c r="U2503" i="1"/>
  <c r="V2503" i="1" s="1"/>
  <c r="W2503" i="1" s="1"/>
  <c r="U2508" i="1"/>
  <c r="V2508" i="1" s="1"/>
  <c r="W2508" i="1" s="1"/>
  <c r="U2599" i="1"/>
  <c r="V2599" i="1" s="1"/>
  <c r="W2599" i="1" s="1"/>
  <c r="U2944" i="1"/>
  <c r="V2944" i="1" s="1"/>
  <c r="W2944" i="1" s="1"/>
  <c r="U2959" i="1"/>
  <c r="V2959" i="1" s="1"/>
  <c r="W2959" i="1" s="1"/>
  <c r="U2977" i="1"/>
  <c r="V2977" i="1" s="1"/>
  <c r="U2293" i="1"/>
  <c r="V2293" i="1" s="1"/>
  <c r="W2293" i="1" s="1"/>
  <c r="U2331" i="1"/>
  <c r="V2331" i="1" s="1"/>
  <c r="W2331" i="1" s="1"/>
  <c r="U2396" i="1"/>
  <c r="V2396" i="1" s="1"/>
  <c r="W2396" i="1" s="1"/>
  <c r="U2404" i="1"/>
  <c r="V2404" i="1" s="1"/>
  <c r="W2404" i="1" s="1"/>
  <c r="U2561" i="1"/>
  <c r="V2561" i="1" s="1"/>
  <c r="U2869" i="1"/>
  <c r="V2869" i="1" s="1"/>
  <c r="W2869" i="1" s="1"/>
  <c r="U2871" i="1"/>
  <c r="V2871" i="1" s="1"/>
  <c r="W2871" i="1" s="1"/>
  <c r="U3087" i="1"/>
  <c r="V3087" i="1" s="1"/>
  <c r="W3087" i="1" s="1"/>
  <c r="U3095" i="1"/>
  <c r="V3095" i="1" s="1"/>
  <c r="W3095" i="1" s="1"/>
  <c r="U3100" i="1"/>
  <c r="V3100" i="1" s="1"/>
  <c r="W3100" i="1" s="1"/>
  <c r="U3105" i="1"/>
  <c r="V3105" i="1" s="1"/>
  <c r="W3105" i="1" s="1"/>
  <c r="U2221" i="1"/>
  <c r="V2221" i="1" s="1"/>
  <c r="U2284" i="1"/>
  <c r="V2284" i="1" s="1"/>
  <c r="W2284" i="1" s="1"/>
  <c r="U2291" i="1"/>
  <c r="V2291" i="1" s="1"/>
  <c r="U2296" i="1"/>
  <c r="V2296" i="1" s="1"/>
  <c r="W2296" i="1" s="1"/>
  <c r="U2301" i="1"/>
  <c r="V2301" i="1" s="1"/>
  <c r="W2301" i="1" s="1"/>
  <c r="U2306" i="1"/>
  <c r="V2306" i="1" s="1"/>
  <c r="W2306" i="1" s="1"/>
  <c r="U2310" i="1"/>
  <c r="V2310" i="1" s="1"/>
  <c r="W2310" i="1" s="1"/>
  <c r="U2318" i="1"/>
  <c r="V2318" i="1" s="1"/>
  <c r="W2318" i="1" s="1"/>
  <c r="U2355" i="1"/>
  <c r="V2355" i="1" s="1"/>
  <c r="W2355" i="1" s="1"/>
  <c r="Y2381" i="1"/>
  <c r="U2399" i="1"/>
  <c r="V2399" i="1" s="1"/>
  <c r="W2399" i="1" s="1"/>
  <c r="U2412" i="1"/>
  <c r="V2412" i="1" s="1"/>
  <c r="U2556" i="1"/>
  <c r="V2556" i="1" s="1"/>
  <c r="W2556" i="1" s="1"/>
  <c r="U2564" i="1"/>
  <c r="V2564" i="1" s="1"/>
  <c r="W2564" i="1" s="1"/>
  <c r="U2636" i="1"/>
  <c r="V2636" i="1" s="1"/>
  <c r="W2636" i="1" s="1"/>
  <c r="U2643" i="1"/>
  <c r="V2643" i="1" s="1"/>
  <c r="W2643" i="1" s="1"/>
  <c r="U2648" i="1"/>
  <c r="V2648" i="1" s="1"/>
  <c r="W2648" i="1" s="1"/>
  <c r="U2698" i="1"/>
  <c r="V2698" i="1" s="1"/>
  <c r="W2698" i="1" s="1"/>
  <c r="U2812" i="1"/>
  <c r="V2812" i="1" s="1"/>
  <c r="U2820" i="1"/>
  <c r="V2820" i="1" s="1"/>
  <c r="W2820" i="1" s="1"/>
  <c r="U2851" i="1"/>
  <c r="V2851" i="1" s="1"/>
  <c r="W2851" i="1" s="1"/>
  <c r="U2864" i="1"/>
  <c r="V2864" i="1" s="1"/>
  <c r="W2864" i="1" s="1"/>
  <c r="U3075" i="1"/>
  <c r="V3075" i="1" s="1"/>
  <c r="W3075" i="1" s="1"/>
  <c r="U3304" i="1"/>
  <c r="V3304" i="1" s="1"/>
  <c r="W3304" i="1" s="1"/>
  <c r="U2167" i="1"/>
  <c r="V2167" i="1" s="1"/>
  <c r="W2167" i="1" s="1"/>
  <c r="U2192" i="1"/>
  <c r="V2192" i="1" s="1"/>
  <c r="W2192" i="1" s="1"/>
  <c r="U2204" i="1"/>
  <c r="V2204" i="1" s="1"/>
  <c r="W2204" i="1" s="1"/>
  <c r="U2214" i="1"/>
  <c r="V2214" i="1" s="1"/>
  <c r="W2214" i="1" s="1"/>
  <c r="U2219" i="1"/>
  <c r="V2219" i="1" s="1"/>
  <c r="W2219" i="1" s="1"/>
  <c r="U3249" i="1"/>
  <c r="V3249" i="1" s="1"/>
  <c r="W3249" i="1" s="1"/>
  <c r="U3259" i="1"/>
  <c r="V3259" i="1" s="1"/>
  <c r="W3259" i="1" s="1"/>
  <c r="U2475" i="1"/>
  <c r="V2475" i="1" s="1"/>
  <c r="W2475" i="1" s="1"/>
  <c r="U2488" i="1"/>
  <c r="V2488" i="1" s="1"/>
  <c r="W2488" i="1" s="1"/>
  <c r="U2493" i="1"/>
  <c r="V2493" i="1" s="1"/>
  <c r="W2493" i="1" s="1"/>
  <c r="U2498" i="1"/>
  <c r="V2498" i="1" s="1"/>
  <c r="Y2510" i="1"/>
  <c r="U3232" i="1"/>
  <c r="V3232" i="1" s="1"/>
  <c r="W3232" i="1" s="1"/>
  <c r="U2282" i="1"/>
  <c r="V2282" i="1" s="1"/>
  <c r="W2282" i="1" s="1"/>
  <c r="Y2677" i="1"/>
  <c r="U2879" i="1"/>
  <c r="V2879" i="1" s="1"/>
  <c r="W2879" i="1" s="1"/>
  <c r="U2882" i="1"/>
  <c r="V2882" i="1" s="1"/>
  <c r="W2882" i="1" s="1"/>
  <c r="U2960" i="1"/>
  <c r="V2960" i="1" s="1"/>
  <c r="U3051" i="1"/>
  <c r="V3051" i="1" s="1"/>
  <c r="W3051" i="1" s="1"/>
  <c r="Y3298" i="1"/>
  <c r="U3405" i="1"/>
  <c r="V3405" i="1" s="1"/>
  <c r="W3405" i="1" s="1"/>
  <c r="U3184" i="1"/>
  <c r="V3184" i="1" s="1"/>
  <c r="W3184" i="1" s="1"/>
  <c r="U2248" i="1"/>
  <c r="V2248" i="1" s="1"/>
  <c r="W2248" i="1" s="1"/>
  <c r="U2253" i="1"/>
  <c r="V2253" i="1" s="1"/>
  <c r="U2263" i="1"/>
  <c r="V2263" i="1" s="1"/>
  <c r="W2263" i="1" s="1"/>
  <c r="U2271" i="1"/>
  <c r="V2271" i="1" s="1"/>
  <c r="W2271" i="1" s="1"/>
  <c r="U2280" i="1"/>
  <c r="V2280" i="1" s="1"/>
  <c r="W2280" i="1" s="1"/>
  <c r="U2311" i="1"/>
  <c r="V2311" i="1" s="1"/>
  <c r="W2311" i="1" s="1"/>
  <c r="U2335" i="1"/>
  <c r="V2335" i="1" s="1"/>
  <c r="W2335" i="1" s="1"/>
  <c r="U2343" i="1"/>
  <c r="V2343" i="1" s="1"/>
  <c r="W2343" i="1" s="1"/>
  <c r="U2351" i="1"/>
  <c r="V2351" i="1" s="1"/>
  <c r="W2351" i="1" s="1"/>
  <c r="U2356" i="1"/>
  <c r="V2356" i="1" s="1"/>
  <c r="W2356" i="1" s="1"/>
  <c r="U2361" i="1"/>
  <c r="V2361" i="1" s="1"/>
  <c r="W2361" i="1" s="1"/>
  <c r="U2369" i="1"/>
  <c r="V2369" i="1" s="1"/>
  <c r="W2369" i="1" s="1"/>
  <c r="U2377" i="1"/>
  <c r="V2377" i="1" s="1"/>
  <c r="W2377" i="1" s="1"/>
  <c r="U2479" i="1"/>
  <c r="V2479" i="1" s="1"/>
  <c r="U2487" i="1"/>
  <c r="V2487" i="1" s="1"/>
  <c r="W2487" i="1" s="1"/>
  <c r="U2552" i="1"/>
  <c r="V2552" i="1" s="1"/>
  <c r="W2552" i="1" s="1"/>
  <c r="U2577" i="1"/>
  <c r="V2577" i="1" s="1"/>
  <c r="W2577" i="1" s="1"/>
  <c r="U2587" i="1"/>
  <c r="U2612" i="1"/>
  <c r="V2612" i="1" s="1"/>
  <c r="W2612" i="1" s="1"/>
  <c r="U2628" i="1"/>
  <c r="V2628" i="1" s="1"/>
  <c r="W2628" i="1" s="1"/>
  <c r="U2633" i="1"/>
  <c r="V2633" i="1" s="1"/>
  <c r="W2633" i="1" s="1"/>
  <c r="U2637" i="1"/>
  <c r="V2637" i="1" s="1"/>
  <c r="Y2639" i="1"/>
  <c r="U2652" i="1"/>
  <c r="V2652" i="1" s="1"/>
  <c r="W2652" i="1" s="1"/>
  <c r="U2660" i="1"/>
  <c r="V2660" i="1" s="1"/>
  <c r="W2660" i="1" s="1"/>
  <c r="U2772" i="1"/>
  <c r="V2772" i="1" s="1"/>
  <c r="W2772" i="1" s="1"/>
  <c r="U2847" i="1"/>
  <c r="V2847" i="1" s="1"/>
  <c r="W2847" i="1" s="1"/>
  <c r="U2988" i="1"/>
  <c r="V2988" i="1" s="1"/>
  <c r="W2988" i="1" s="1"/>
  <c r="U3021" i="1"/>
  <c r="V3021" i="1" s="1"/>
  <c r="W3021" i="1" s="1"/>
  <c r="U3054" i="1"/>
  <c r="V3054" i="1" s="1"/>
  <c r="U3091" i="1"/>
  <c r="V3091" i="1" s="1"/>
  <c r="W3091" i="1" s="1"/>
  <c r="Y3110" i="1"/>
  <c r="U3117" i="1"/>
  <c r="V3117" i="1" s="1"/>
  <c r="W3117" i="1" s="1"/>
  <c r="U3135" i="1"/>
  <c r="V3135" i="1" s="1"/>
  <c r="U3168" i="1"/>
  <c r="V3168" i="1" s="1"/>
  <c r="W3168" i="1" s="1"/>
  <c r="U3173" i="1"/>
  <c r="V3173" i="1" s="1"/>
  <c r="U3197" i="1"/>
  <c r="V3197" i="1" s="1"/>
  <c r="U3202" i="1"/>
  <c r="V3202" i="1" s="1"/>
  <c r="W3202" i="1" s="1"/>
  <c r="U3220" i="1"/>
  <c r="V3220" i="1" s="1"/>
  <c r="W3220" i="1" s="1"/>
  <c r="Y3232" i="1"/>
  <c r="U3284" i="1"/>
  <c r="V3284" i="1" s="1"/>
  <c r="W3284" i="1" s="1"/>
  <c r="U3303" i="1"/>
  <c r="V3303" i="1" s="1"/>
  <c r="W3303" i="1" s="1"/>
  <c r="U3305" i="1"/>
  <c r="U3314" i="1"/>
  <c r="V3314" i="1" s="1"/>
  <c r="W3314" i="1" s="1"/>
  <c r="U3342" i="1"/>
  <c r="V3342" i="1" s="1"/>
  <c r="W3342" i="1" s="1"/>
  <c r="Y3349" i="1"/>
  <c r="U3359" i="1"/>
  <c r="V3359" i="1" s="1"/>
  <c r="W3359" i="1" s="1"/>
  <c r="U3378" i="1"/>
  <c r="V3378" i="1" s="1"/>
  <c r="W3378" i="1" s="1"/>
  <c r="U3400" i="1"/>
  <c r="V3400" i="1" s="1"/>
  <c r="W3400" i="1" s="1"/>
  <c r="U3413" i="1"/>
  <c r="V3413" i="1" s="1"/>
  <c r="W3413" i="1" s="1"/>
  <c r="U2829" i="1"/>
  <c r="V2829" i="1" s="1"/>
  <c r="W2829" i="1" s="1"/>
  <c r="U2986" i="1"/>
  <c r="V2986" i="1" s="1"/>
  <c r="U2996" i="1"/>
  <c r="V2996" i="1" s="1"/>
  <c r="W2996" i="1" s="1"/>
  <c r="U3019" i="1"/>
  <c r="V3019" i="1" s="1"/>
  <c r="W3019" i="1" s="1"/>
  <c r="U3041" i="1"/>
  <c r="V3041" i="1" s="1"/>
  <c r="W3041" i="1" s="1"/>
  <c r="U3049" i="1"/>
  <c r="V3049" i="1" s="1"/>
  <c r="W3049" i="1" s="1"/>
  <c r="U3104" i="1"/>
  <c r="V3104" i="1" s="1"/>
  <c r="W3104" i="1" s="1"/>
  <c r="U3215" i="1"/>
  <c r="U3274" i="1"/>
  <c r="V3274" i="1" s="1"/>
  <c r="U3347" i="1"/>
  <c r="V3347" i="1" s="1"/>
  <c r="U3357" i="1"/>
  <c r="V3357" i="1" s="1"/>
  <c r="U3376" i="1"/>
  <c r="V3376" i="1" s="1"/>
  <c r="U3383" i="1"/>
  <c r="V3383" i="1" s="1"/>
  <c r="U3390" i="1"/>
  <c r="V3390" i="1" s="1"/>
  <c r="W3390" i="1" s="1"/>
  <c r="U3398" i="1"/>
  <c r="V3398" i="1" s="1"/>
  <c r="W3398" i="1" s="1"/>
  <c r="U3408" i="1"/>
  <c r="V3408" i="1" s="1"/>
  <c r="W3408" i="1" s="1"/>
  <c r="U3416" i="1"/>
  <c r="V3416" i="1" s="1"/>
  <c r="W3416" i="1" s="1"/>
  <c r="U2166" i="1"/>
  <c r="V2166" i="1" s="1"/>
  <c r="W2166" i="1" s="1"/>
  <c r="U2171" i="1"/>
  <c r="V2171" i="1" s="1"/>
  <c r="W2171" i="1" s="1"/>
  <c r="U2173" i="1"/>
  <c r="V2173" i="1" s="1"/>
  <c r="W2173" i="1" s="1"/>
  <c r="U2181" i="1"/>
  <c r="V2181" i="1" s="1"/>
  <c r="W2181" i="1" s="1"/>
  <c r="U2186" i="1"/>
  <c r="V2186" i="1" s="1"/>
  <c r="W2186" i="1" s="1"/>
  <c r="U2208" i="1"/>
  <c r="V2208" i="1" s="1"/>
  <c r="W2208" i="1" s="1"/>
  <c r="Y2213" i="1"/>
  <c r="U2223" i="1"/>
  <c r="V2223" i="1" s="1"/>
  <c r="W2223" i="1" s="1"/>
  <c r="U2228" i="1"/>
  <c r="V2228" i="1" s="1"/>
  <c r="W2228" i="1" s="1"/>
  <c r="U2233" i="1"/>
  <c r="V2233" i="1" s="1"/>
  <c r="W2233" i="1" s="1"/>
  <c r="U2241" i="1"/>
  <c r="V2241" i="1" s="1"/>
  <c r="W2241" i="1" s="1"/>
  <c r="U2256" i="1"/>
  <c r="V2256" i="1" s="1"/>
  <c r="W2256" i="1" s="1"/>
  <c r="U2261" i="1"/>
  <c r="V2261" i="1" s="1"/>
  <c r="U2276" i="1"/>
  <c r="V2276" i="1" s="1"/>
  <c r="W2276" i="1" s="1"/>
  <c r="U2283" i="1"/>
  <c r="V2283" i="1" s="1"/>
  <c r="W2283" i="1" s="1"/>
  <c r="U2288" i="1"/>
  <c r="V2288" i="1" s="1"/>
  <c r="W2288" i="1" s="1"/>
  <c r="U2305" i="1"/>
  <c r="V2305" i="1" s="1"/>
  <c r="W2305" i="1" s="1"/>
  <c r="U2317" i="1"/>
  <c r="V2317" i="1" s="1"/>
  <c r="U2453" i="1"/>
  <c r="V2453" i="1" s="1"/>
  <c r="U2469" i="1"/>
  <c r="V2469" i="1" s="1"/>
  <c r="W2469" i="1" s="1"/>
  <c r="U2526" i="1"/>
  <c r="V2526" i="1" s="1"/>
  <c r="W2526" i="1" s="1"/>
  <c r="Y2637" i="1"/>
  <c r="U2924" i="1"/>
  <c r="V2924" i="1" s="1"/>
  <c r="W2924" i="1" s="1"/>
  <c r="U2961" i="1"/>
  <c r="V2961" i="1" s="1"/>
  <c r="W2961" i="1" s="1"/>
  <c r="U3029" i="1"/>
  <c r="U3089" i="1"/>
  <c r="V3089" i="1" s="1"/>
  <c r="U3113" i="1"/>
  <c r="V3113" i="1" s="1"/>
  <c r="W3113" i="1" s="1"/>
  <c r="U3115" i="1"/>
  <c r="V3115" i="1" s="1"/>
  <c r="W3115" i="1" s="1"/>
  <c r="U3133" i="1"/>
  <c r="V3133" i="1" s="1"/>
  <c r="U3138" i="1"/>
  <c r="V3138" i="1" s="1"/>
  <c r="W3138" i="1" s="1"/>
  <c r="U3158" i="1"/>
  <c r="V3158" i="1" s="1"/>
  <c r="W3158" i="1" s="1"/>
  <c r="U3190" i="1"/>
  <c r="V3190" i="1" s="1"/>
  <c r="W3190" i="1" s="1"/>
  <c r="U3195" i="1"/>
  <c r="V3195" i="1" s="1"/>
  <c r="W3195" i="1" s="1"/>
  <c r="U3218" i="1"/>
  <c r="V3218" i="1" s="1"/>
  <c r="W3218" i="1" s="1"/>
  <c r="Y3239" i="1"/>
  <c r="U3241" i="1"/>
  <c r="V3241" i="1" s="1"/>
  <c r="W3241" i="1" s="1"/>
  <c r="U3290" i="1"/>
  <c r="V3290" i="1" s="1"/>
  <c r="W3290" i="1" s="1"/>
  <c r="U3310" i="1"/>
  <c r="V3310" i="1" s="1"/>
  <c r="W3310" i="1" s="1"/>
  <c r="U3312" i="1"/>
  <c r="V3312" i="1" s="1"/>
  <c r="U3345" i="1"/>
  <c r="V3345" i="1" s="1"/>
  <c r="W3345" i="1" s="1"/>
  <c r="U3352" i="1"/>
  <c r="V3352" i="1" s="1"/>
  <c r="W3352" i="1" s="1"/>
  <c r="U2169" i="1"/>
  <c r="V2169" i="1" s="1"/>
  <c r="W2169" i="1" s="1"/>
  <c r="U2206" i="1"/>
  <c r="V2206" i="1" s="1"/>
  <c r="W2206" i="1" s="1"/>
  <c r="U2211" i="1"/>
  <c r="V2211" i="1" s="1"/>
  <c r="W2211" i="1" s="1"/>
  <c r="U2216" i="1"/>
  <c r="V2216" i="1" s="1"/>
  <c r="W2216" i="1" s="1"/>
  <c r="U2236" i="1"/>
  <c r="V2236" i="1" s="1"/>
  <c r="W2236" i="1" s="1"/>
  <c r="U2254" i="1"/>
  <c r="V2254" i="1" s="1"/>
  <c r="W2254" i="1" s="1"/>
  <c r="Y2276" i="1"/>
  <c r="U2298" i="1"/>
  <c r="V2298" i="1" s="1"/>
  <c r="U2303" i="1"/>
  <c r="V2303" i="1" s="1"/>
  <c r="W2303" i="1" s="1"/>
  <c r="U2312" i="1"/>
  <c r="V2312" i="1" s="1"/>
  <c r="U2320" i="1"/>
  <c r="V2320" i="1" s="1"/>
  <c r="W2320" i="1" s="1"/>
  <c r="U2323" i="1"/>
  <c r="V2323" i="1" s="1"/>
  <c r="W2323" i="1" s="1"/>
  <c r="U2328" i="1"/>
  <c r="V2328" i="1" s="1"/>
  <c r="W2328" i="1" s="1"/>
  <c r="U2336" i="1"/>
  <c r="V2336" i="1" s="1"/>
  <c r="W2336" i="1" s="1"/>
  <c r="U2409" i="1"/>
  <c r="V2409" i="1" s="1"/>
  <c r="W2409" i="1" s="1"/>
  <c r="U2421" i="1"/>
  <c r="V2421" i="1" s="1"/>
  <c r="U2426" i="1"/>
  <c r="V2426" i="1" s="1"/>
  <c r="W2426" i="1" s="1"/>
  <c r="U2431" i="1"/>
  <c r="V2431" i="1" s="1"/>
  <c r="U2441" i="1"/>
  <c r="V2441" i="1" s="1"/>
  <c r="W2441" i="1" s="1"/>
  <c r="U2448" i="1"/>
  <c r="V2448" i="1" s="1"/>
  <c r="W2448" i="1" s="1"/>
  <c r="U2456" i="1"/>
  <c r="V2456" i="1" s="1"/>
  <c r="W2456" i="1" s="1"/>
  <c r="U2464" i="1"/>
  <c r="V2464" i="1" s="1"/>
  <c r="W2464" i="1" s="1"/>
  <c r="U2472" i="1"/>
  <c r="V2472" i="1" s="1"/>
  <c r="W2472" i="1" s="1"/>
  <c r="U2500" i="1"/>
  <c r="V2500" i="1" s="1"/>
  <c r="W2500" i="1" s="1"/>
  <c r="U2519" i="1"/>
  <c r="V2519" i="1" s="1"/>
  <c r="W2519" i="1" s="1"/>
  <c r="U2531" i="1"/>
  <c r="V2531" i="1" s="1"/>
  <c r="U2548" i="1"/>
  <c r="V2548" i="1" s="1"/>
  <c r="W2548" i="1" s="1"/>
  <c r="U2573" i="1"/>
  <c r="V2573" i="1" s="1"/>
  <c r="W2573" i="1" s="1"/>
  <c r="U2606" i="1"/>
  <c r="V2606" i="1" s="1"/>
  <c r="U2640" i="1"/>
  <c r="V2640" i="1" s="1"/>
  <c r="U2653" i="1"/>
  <c r="V2653" i="1" s="1"/>
  <c r="W2653" i="1" s="1"/>
  <c r="U2661" i="1"/>
  <c r="V2661" i="1" s="1"/>
  <c r="W2661" i="1" s="1"/>
  <c r="U2669" i="1"/>
  <c r="V2669" i="1" s="1"/>
  <c r="W2669" i="1" s="1"/>
  <c r="Y2685" i="1"/>
  <c r="U2690" i="1"/>
  <c r="V2690" i="1" s="1"/>
  <c r="U2695" i="1"/>
  <c r="V2695" i="1" s="1"/>
  <c r="W2695" i="1" s="1"/>
  <c r="U2703" i="1"/>
  <c r="V2703" i="1" s="1"/>
  <c r="U2712" i="1"/>
  <c r="U2717" i="1"/>
  <c r="V2717" i="1" s="1"/>
  <c r="W2717" i="1" s="1"/>
  <c r="U2719" i="1"/>
  <c r="V2719" i="1" s="1"/>
  <c r="W2719" i="1" s="1"/>
  <c r="U2734" i="1"/>
  <c r="V2734" i="1" s="1"/>
  <c r="W2734" i="1" s="1"/>
  <c r="U2817" i="1"/>
  <c r="V2817" i="1" s="1"/>
  <c r="W2817" i="1" s="1"/>
  <c r="U2825" i="1"/>
  <c r="V2825" i="1" s="1"/>
  <c r="W2825" i="1" s="1"/>
  <c r="U2878" i="1"/>
  <c r="V2878" i="1" s="1"/>
  <c r="W2878" i="1" s="1"/>
  <c r="U2917" i="1"/>
  <c r="V2917" i="1" s="1"/>
  <c r="W2917" i="1" s="1"/>
  <c r="U2922" i="1"/>
  <c r="V2922" i="1" s="1"/>
  <c r="W2922" i="1" s="1"/>
  <c r="U2939" i="1"/>
  <c r="V2939" i="1" s="1"/>
  <c r="U2964" i="1"/>
  <c r="V2964" i="1" s="1"/>
  <c r="W2964" i="1" s="1"/>
  <c r="U2974" i="1"/>
  <c r="V2974" i="1" s="1"/>
  <c r="W2974" i="1" s="1"/>
  <c r="U3012" i="1"/>
  <c r="V3012" i="1" s="1"/>
  <c r="W3012" i="1" s="1"/>
  <c r="U3039" i="1"/>
  <c r="V3039" i="1" s="1"/>
  <c r="W3039" i="1" s="1"/>
  <c r="U3055" i="1"/>
  <c r="V3055" i="1" s="1"/>
  <c r="W3055" i="1" s="1"/>
  <c r="Y3070" i="1"/>
  <c r="U3077" i="1"/>
  <c r="V3077" i="1" s="1"/>
  <c r="W3077" i="1" s="1"/>
  <c r="U3079" i="1"/>
  <c r="V3079" i="1" s="1"/>
  <c r="W3079" i="1" s="1"/>
  <c r="U3092" i="1"/>
  <c r="V3092" i="1" s="1"/>
  <c r="W3092" i="1" s="1"/>
  <c r="U3097" i="1"/>
  <c r="V3097" i="1" s="1"/>
  <c r="W3097" i="1" s="1"/>
  <c r="U3102" i="1"/>
  <c r="V3102" i="1" s="1"/>
  <c r="U3107" i="1"/>
  <c r="V3107" i="1" s="1"/>
  <c r="W3107" i="1" s="1"/>
  <c r="U3111" i="1"/>
  <c r="V3111" i="1" s="1"/>
  <c r="U3123" i="1"/>
  <c r="V3123" i="1" s="1"/>
  <c r="W3123" i="1" s="1"/>
  <c r="U3156" i="1"/>
  <c r="V3156" i="1" s="1"/>
  <c r="W3156" i="1" s="1"/>
  <c r="U3161" i="1"/>
  <c r="V3161" i="1" s="1"/>
  <c r="W3161" i="1" s="1"/>
  <c r="U3176" i="1"/>
  <c r="V3176" i="1" s="1"/>
  <c r="W3176" i="1" s="1"/>
  <c r="U3193" i="1"/>
  <c r="V3193" i="1" s="1"/>
  <c r="W3193" i="1" s="1"/>
  <c r="U3198" i="1"/>
  <c r="V3198" i="1" s="1"/>
  <c r="W3198" i="1" s="1"/>
  <c r="Y3235" i="1"/>
  <c r="Y3237" i="1"/>
  <c r="U3254" i="1"/>
  <c r="V3254" i="1" s="1"/>
  <c r="W3254" i="1" s="1"/>
  <c r="U3264" i="1"/>
  <c r="V3264" i="1" s="1"/>
  <c r="W3264" i="1" s="1"/>
  <c r="U3295" i="1"/>
  <c r="V3295" i="1" s="1"/>
  <c r="W3295" i="1" s="1"/>
  <c r="U3297" i="1"/>
  <c r="V3297" i="1" s="1"/>
  <c r="W3297" i="1" s="1"/>
  <c r="U3330" i="1"/>
  <c r="V3330" i="1" s="1"/>
  <c r="W3330" i="1" s="1"/>
  <c r="U3343" i="1"/>
  <c r="V3343" i="1" s="1"/>
  <c r="Y3381" i="1"/>
  <c r="U3386" i="1"/>
  <c r="V3386" i="1" s="1"/>
  <c r="W3386" i="1" s="1"/>
  <c r="U3157" i="1"/>
  <c r="V3157" i="1" s="1"/>
  <c r="W3157" i="1" s="1"/>
  <c r="V3215" i="1"/>
  <c r="Y3321" i="1"/>
  <c r="U3321" i="1"/>
  <c r="V3321" i="1" s="1"/>
  <c r="W3321" i="1" s="1"/>
  <c r="U3031" i="1"/>
  <c r="V3031" i="1" s="1"/>
  <c r="W3031" i="1" s="1"/>
  <c r="U2170" i="1"/>
  <c r="V2170" i="1" s="1"/>
  <c r="W2170" i="1" s="1"/>
  <c r="U2175" i="1"/>
  <c r="V2175" i="1" s="1"/>
  <c r="W2175" i="1" s="1"/>
  <c r="U2193" i="1"/>
  <c r="V2193" i="1" s="1"/>
  <c r="W2193" i="1" s="1"/>
  <c r="U2200" i="1"/>
  <c r="V2200" i="1" s="1"/>
  <c r="U2207" i="1"/>
  <c r="V2207" i="1" s="1"/>
  <c r="W2207" i="1" s="1"/>
  <c r="U2234" i="1"/>
  <c r="V2234" i="1" s="1"/>
  <c r="U2244" i="1"/>
  <c r="V2244" i="1" s="1"/>
  <c r="U2558" i="1"/>
  <c r="V2558" i="1" s="1"/>
  <c r="U2563" i="1"/>
  <c r="V2563" i="1" s="1"/>
  <c r="W2563" i="1" s="1"/>
  <c r="Y2647" i="1"/>
  <c r="U2655" i="1"/>
  <c r="V2655" i="1" s="1"/>
  <c r="W2655" i="1" s="1"/>
  <c r="U2663" i="1"/>
  <c r="V2663" i="1" s="1"/>
  <c r="U2668" i="1"/>
  <c r="V2668" i="1" s="1"/>
  <c r="W2668" i="1" s="1"/>
  <c r="U2670" i="1"/>
  <c r="V2670" i="1" s="1"/>
  <c r="U2673" i="1"/>
  <c r="V2673" i="1" s="1"/>
  <c r="W2673" i="1" s="1"/>
  <c r="U2682" i="1"/>
  <c r="V2682" i="1" s="1"/>
  <c r="U2684" i="1"/>
  <c r="U2824" i="1"/>
  <c r="U2844" i="1"/>
  <c r="V2844" i="1" s="1"/>
  <c r="W2844" i="1" s="1"/>
  <c r="U3067" i="1"/>
  <c r="V3067" i="1" s="1"/>
  <c r="U3081" i="1"/>
  <c r="V3081" i="1" s="1"/>
  <c r="W3081" i="1" s="1"/>
  <c r="Y2352" i="1"/>
  <c r="U2401" i="1"/>
  <c r="V2401" i="1" s="1"/>
  <c r="W2401" i="1" s="1"/>
  <c r="U2537" i="1"/>
  <c r="V2537" i="1" s="1"/>
  <c r="W2537" i="1" s="1"/>
  <c r="U2551" i="1"/>
  <c r="V2551" i="1" s="1"/>
  <c r="W2551" i="1" s="1"/>
  <c r="Y2754" i="1"/>
  <c r="U2976" i="1"/>
  <c r="V2976" i="1" s="1"/>
  <c r="U3373" i="1"/>
  <c r="V3373" i="1" s="1"/>
  <c r="W3373" i="1" s="1"/>
  <c r="Y3389" i="1"/>
  <c r="U3389" i="1"/>
  <c r="V3389" i="1" s="1"/>
  <c r="W3389" i="1" s="1"/>
  <c r="U2735" i="1"/>
  <c r="V2735" i="1" s="1"/>
  <c r="W2735" i="1" s="1"/>
  <c r="U2774" i="1"/>
  <c r="V2774" i="1" s="1"/>
  <c r="W2774" i="1" s="1"/>
  <c r="U2781" i="1"/>
  <c r="V2781" i="1" s="1"/>
  <c r="W2781" i="1" s="1"/>
  <c r="Y2879" i="1"/>
  <c r="Y2260" i="1"/>
  <c r="Y2774" i="1"/>
  <c r="Y2781" i="1"/>
  <c r="Y3095" i="1"/>
  <c r="U3130" i="1"/>
  <c r="V3130" i="1" s="1"/>
  <c r="W3130" i="1" s="1"/>
  <c r="Y3130" i="1"/>
  <c r="U2478" i="1"/>
  <c r="V2478" i="1" s="1"/>
  <c r="W2478" i="1" s="1"/>
  <c r="Y2478" i="1"/>
  <c r="U2602" i="1"/>
  <c r="V2602" i="1" s="1"/>
  <c r="W2602" i="1" s="1"/>
  <c r="U2295" i="1"/>
  <c r="V2295" i="1" s="1"/>
  <c r="U2322" i="1"/>
  <c r="V2322" i="1" s="1"/>
  <c r="W2322" i="1" s="1"/>
  <c r="U2332" i="1"/>
  <c r="V2332" i="1" s="1"/>
  <c r="W2332" i="1" s="1"/>
  <c r="U2337" i="1"/>
  <c r="U2352" i="1"/>
  <c r="V2352" i="1" s="1"/>
  <c r="W2352" i="1" s="1"/>
  <c r="U2362" i="1"/>
  <c r="V2362" i="1" s="1"/>
  <c r="W2362" i="1" s="1"/>
  <c r="U2370" i="1"/>
  <c r="V2370" i="1" s="1"/>
  <c r="W2370" i="1" s="1"/>
  <c r="U2383" i="1"/>
  <c r="V2383" i="1" s="1"/>
  <c r="W2383" i="1" s="1"/>
  <c r="U2406" i="1"/>
  <c r="V2406" i="1" s="1"/>
  <c r="W2406" i="1" s="1"/>
  <c r="U2433" i="1"/>
  <c r="V2433" i="1" s="1"/>
  <c r="W2433" i="1" s="1"/>
  <c r="U2443" i="1"/>
  <c r="V2443" i="1" s="1"/>
  <c r="W2443" i="1" s="1"/>
  <c r="U2523" i="1"/>
  <c r="V2523" i="1" s="1"/>
  <c r="W2523" i="1" s="1"/>
  <c r="U2546" i="1"/>
  <c r="V2546" i="1" s="1"/>
  <c r="W2546" i="1" s="1"/>
  <c r="U2568" i="1"/>
  <c r="V2568" i="1" s="1"/>
  <c r="U2615" i="1"/>
  <c r="V2615" i="1" s="1"/>
  <c r="U2626" i="1"/>
  <c r="V2626" i="1" s="1"/>
  <c r="W2626" i="1" s="1"/>
  <c r="U2631" i="1"/>
  <c r="V2631" i="1" s="1"/>
  <c r="W2631" i="1" s="1"/>
  <c r="U2645" i="1"/>
  <c r="V2645" i="1" s="1"/>
  <c r="W2645" i="1" s="1"/>
  <c r="U2754" i="1"/>
  <c r="V2754" i="1" s="1"/>
  <c r="U3065" i="1"/>
  <c r="V3065" i="1" s="1"/>
  <c r="W3065" i="1" s="1"/>
  <c r="U3084" i="1"/>
  <c r="V3084" i="1" s="1"/>
  <c r="W3084" i="1" s="1"/>
  <c r="U3256" i="1"/>
  <c r="V3256" i="1" s="1"/>
  <c r="W3256" i="1" s="1"/>
  <c r="U3266" i="1"/>
  <c r="V3266" i="1" s="1"/>
  <c r="W3266" i="1" s="1"/>
  <c r="U3346" i="1"/>
  <c r="V3346" i="1" s="1"/>
  <c r="W3346" i="1" s="1"/>
  <c r="U3368" i="1"/>
  <c r="V3368" i="1" s="1"/>
  <c r="W3368" i="1" s="1"/>
  <c r="U2178" i="1"/>
  <c r="V2178" i="1" s="1"/>
  <c r="W2178" i="1" s="1"/>
  <c r="U2191" i="1"/>
  <c r="V2191" i="1" s="1"/>
  <c r="W2191" i="1" s="1"/>
  <c r="U2196" i="1"/>
  <c r="V2196" i="1" s="1"/>
  <c r="W2196" i="1" s="1"/>
  <c r="U2205" i="1"/>
  <c r="V2205" i="1" s="1"/>
  <c r="W2205" i="1" s="1"/>
  <c r="U2215" i="1"/>
  <c r="V2215" i="1" s="1"/>
  <c r="W2215" i="1" s="1"/>
  <c r="U2232" i="1"/>
  <c r="V2232" i="1" s="1"/>
  <c r="W2232" i="1" s="1"/>
  <c r="U2242" i="1"/>
  <c r="U2259" i="1"/>
  <c r="V2259" i="1" s="1"/>
  <c r="W2259" i="1" s="1"/>
  <c r="U2272" i="1"/>
  <c r="V2272" i="1" s="1"/>
  <c r="W2272" i="1" s="1"/>
  <c r="U2274" i="1"/>
  <c r="V2274" i="1" s="1"/>
  <c r="W2274" i="1" s="1"/>
  <c r="U2302" i="1"/>
  <c r="V2302" i="1" s="1"/>
  <c r="W2302" i="1" s="1"/>
  <c r="U2324" i="1"/>
  <c r="V2324" i="1" s="1"/>
  <c r="W2324" i="1" s="1"/>
  <c r="U2341" i="1"/>
  <c r="V2341" i="1" s="1"/>
  <c r="U2346" i="1"/>
  <c r="V2346" i="1" s="1"/>
  <c r="W2346" i="1" s="1"/>
  <c r="U2385" i="1"/>
  <c r="V2385" i="1" s="1"/>
  <c r="W2385" i="1" s="1"/>
  <c r="U2418" i="1"/>
  <c r="V2418" i="1" s="1"/>
  <c r="W2418" i="1" s="1"/>
  <c r="U2435" i="1"/>
  <c r="V2435" i="1" s="1"/>
  <c r="W2435" i="1" s="1"/>
  <c r="U2524" i="1"/>
  <c r="V2524" i="1" s="1"/>
  <c r="W2524" i="1" s="1"/>
  <c r="Y2524" i="1"/>
  <c r="Y2615" i="1"/>
  <c r="U2803" i="1"/>
  <c r="V2803" i="1" s="1"/>
  <c r="W2803" i="1" s="1"/>
  <c r="U2184" i="1"/>
  <c r="V2184" i="1" s="1"/>
  <c r="W2184" i="1" s="1"/>
  <c r="U2189" i="1"/>
  <c r="V2189" i="1" s="1"/>
  <c r="W2189" i="1" s="1"/>
  <c r="U2194" i="1"/>
  <c r="V2194" i="1" s="1"/>
  <c r="W2194" i="1" s="1"/>
  <c r="U2201" i="1"/>
  <c r="V2201" i="1" s="1"/>
  <c r="W2201" i="1" s="1"/>
  <c r="U2203" i="1"/>
  <c r="V2203" i="1" s="1"/>
  <c r="W2203" i="1" s="1"/>
  <c r="U2213" i="1"/>
  <c r="V2213" i="1" s="1"/>
  <c r="W2213" i="1" s="1"/>
  <c r="U2220" i="1"/>
  <c r="V2220" i="1" s="1"/>
  <c r="W2220" i="1" s="1"/>
  <c r="U2230" i="1"/>
  <c r="V2230" i="1" s="1"/>
  <c r="W2230" i="1" s="1"/>
  <c r="U2237" i="1"/>
  <c r="V2237" i="1" s="1"/>
  <c r="W2237" i="1" s="1"/>
  <c r="U2250" i="1"/>
  <c r="V2250" i="1" s="1"/>
  <c r="W2250" i="1" s="1"/>
  <c r="U2257" i="1"/>
  <c r="V2257" i="1" s="1"/>
  <c r="W2257" i="1" s="1"/>
  <c r="Y2272" i="1"/>
  <c r="U2290" i="1"/>
  <c r="V2290" i="1" s="1"/>
  <c r="U2300" i="1"/>
  <c r="V2300" i="1" s="1"/>
  <c r="U2309" i="1"/>
  <c r="V2309" i="1" s="1"/>
  <c r="U2316" i="1"/>
  <c r="V2316" i="1" s="1"/>
  <c r="W2316" i="1" s="1"/>
  <c r="U2327" i="1"/>
  <c r="V2327" i="1" s="1"/>
  <c r="W2327" i="1" s="1"/>
  <c r="U2329" i="1"/>
  <c r="V2329" i="1" s="1"/>
  <c r="U2344" i="1"/>
  <c r="V2344" i="1" s="1"/>
  <c r="W2344" i="1" s="1"/>
  <c r="U2349" i="1"/>
  <c r="V2349" i="1" s="1"/>
  <c r="U2354" i="1"/>
  <c r="V2354" i="1" s="1"/>
  <c r="U2359" i="1"/>
  <c r="V2359" i="1" s="1"/>
  <c r="W2359" i="1" s="1"/>
  <c r="U2367" i="1"/>
  <c r="V2367" i="1" s="1"/>
  <c r="W2367" i="1" s="1"/>
  <c r="U2388" i="1"/>
  <c r="V2388" i="1" s="1"/>
  <c r="U2398" i="1"/>
  <c r="V2398" i="1" s="1"/>
  <c r="W2398" i="1" s="1"/>
  <c r="U2411" i="1"/>
  <c r="V2411" i="1" s="1"/>
  <c r="U2438" i="1"/>
  <c r="V2438" i="1" s="1"/>
  <c r="W2438" i="1" s="1"/>
  <c r="U2455" i="1"/>
  <c r="V2455" i="1" s="1"/>
  <c r="U2463" i="1"/>
  <c r="V2463" i="1" s="1"/>
  <c r="U2471" i="1"/>
  <c r="V2471" i="1" s="1"/>
  <c r="U2567" i="1"/>
  <c r="V2567" i="1" s="1"/>
  <c r="W2567" i="1" s="1"/>
  <c r="U2594" i="1"/>
  <c r="V2594" i="1" s="1"/>
  <c r="W2594" i="1" s="1"/>
  <c r="Y2609" i="1"/>
  <c r="U2618" i="1"/>
  <c r="V2618" i="1" s="1"/>
  <c r="W2618" i="1" s="1"/>
  <c r="U2646" i="1"/>
  <c r="V2646" i="1" s="1"/>
  <c r="W2646" i="1" s="1"/>
  <c r="Y2707" i="1"/>
  <c r="U2723" i="1"/>
  <c r="V2723" i="1" s="1"/>
  <c r="W2723" i="1" s="1"/>
  <c r="U2756" i="1"/>
  <c r="V2756" i="1" s="1"/>
  <c r="W2756" i="1" s="1"/>
  <c r="U2773" i="1"/>
  <c r="V2773" i="1" s="1"/>
  <c r="W2773" i="1" s="1"/>
  <c r="U2795" i="1"/>
  <c r="V2795" i="1" s="1"/>
  <c r="W2795" i="1" s="1"/>
  <c r="U2810" i="1"/>
  <c r="V2810" i="1" s="1"/>
  <c r="W2810" i="1" s="1"/>
  <c r="U2919" i="1"/>
  <c r="V2919" i="1" s="1"/>
  <c r="W2919" i="1" s="1"/>
  <c r="U2933" i="1"/>
  <c r="V2933" i="1" s="1"/>
  <c r="W2933" i="1" s="1"/>
  <c r="U2943" i="1"/>
  <c r="U2966" i="1"/>
  <c r="V2966" i="1" s="1"/>
  <c r="W2966" i="1" s="1"/>
  <c r="U2968" i="1"/>
  <c r="V2968" i="1" s="1"/>
  <c r="Y2973" i="1"/>
  <c r="U2978" i="1"/>
  <c r="V2978" i="1" s="1"/>
  <c r="U2990" i="1"/>
  <c r="V2990" i="1" s="1"/>
  <c r="W2990" i="1" s="1"/>
  <c r="U2995" i="1"/>
  <c r="V2995" i="1" s="1"/>
  <c r="U3010" i="1"/>
  <c r="V3010" i="1" s="1"/>
  <c r="W3010" i="1" s="1"/>
  <c r="U3064" i="1"/>
  <c r="V3064" i="1" s="1"/>
  <c r="U3121" i="1"/>
  <c r="V3121" i="1" s="1"/>
  <c r="W3121" i="1" s="1"/>
  <c r="Y3138" i="1"/>
  <c r="U3199" i="1"/>
  <c r="V3199" i="1" s="1"/>
  <c r="W3199" i="1" s="1"/>
  <c r="U3206" i="1"/>
  <c r="V3206" i="1" s="1"/>
  <c r="W3206" i="1" s="1"/>
  <c r="U3211" i="1"/>
  <c r="V3211" i="1" s="1"/>
  <c r="W3211" i="1" s="1"/>
  <c r="Y3296" i="1"/>
  <c r="U3363" i="1"/>
  <c r="V3363" i="1" s="1"/>
  <c r="W3363" i="1" s="1"/>
  <c r="U3370" i="1"/>
  <c r="V3370" i="1" s="1"/>
  <c r="W3370" i="1" s="1"/>
  <c r="Y3374" i="1"/>
  <c r="U3388" i="1"/>
  <c r="V3388" i="1" s="1"/>
  <c r="W3388" i="1" s="1"/>
  <c r="U3407" i="1"/>
  <c r="V3407" i="1" s="1"/>
  <c r="U2614" i="1"/>
  <c r="V2614" i="1" s="1"/>
  <c r="Y2634" i="1"/>
  <c r="Y2673" i="1"/>
  <c r="Y2682" i="1"/>
  <c r="U2689" i="1"/>
  <c r="V2689" i="1" s="1"/>
  <c r="U2718" i="1"/>
  <c r="V2718" i="1" s="1"/>
  <c r="W2718" i="1" s="1"/>
  <c r="U2750" i="1"/>
  <c r="V2750" i="1" s="1"/>
  <c r="W2750" i="1" s="1"/>
  <c r="U2780" i="1"/>
  <c r="V2780" i="1" s="1"/>
  <c r="U2948" i="1"/>
  <c r="V2948" i="1" s="1"/>
  <c r="U3011" i="1"/>
  <c r="V3011" i="1" s="1"/>
  <c r="W3011" i="1" s="1"/>
  <c r="U3020" i="1"/>
  <c r="V3020" i="1" s="1"/>
  <c r="W3020" i="1" s="1"/>
  <c r="Y3174" i="1"/>
  <c r="U3179" i="1"/>
  <c r="V3179" i="1" s="1"/>
  <c r="W3179" i="1" s="1"/>
  <c r="Y3199" i="1"/>
  <c r="U3246" i="1"/>
  <c r="V3246" i="1" s="1"/>
  <c r="U3269" i="1"/>
  <c r="V3269" i="1" s="1"/>
  <c r="W3269" i="1" s="1"/>
  <c r="U3339" i="1"/>
  <c r="V3339" i="1" s="1"/>
  <c r="W3339" i="1" s="1"/>
  <c r="U2405" i="1"/>
  <c r="V2405" i="1" s="1"/>
  <c r="W2405" i="1" s="1"/>
  <c r="U2415" i="1"/>
  <c r="V2415" i="1" s="1"/>
  <c r="W2415" i="1" s="1"/>
  <c r="U2424" i="1"/>
  <c r="V2424" i="1" s="1"/>
  <c r="W2424" i="1" s="1"/>
  <c r="U2439" i="1"/>
  <c r="V2439" i="1" s="1"/>
  <c r="U2446" i="1"/>
  <c r="V2446" i="1" s="1"/>
  <c r="W2446" i="1" s="1"/>
  <c r="U2451" i="1"/>
  <c r="V2451" i="1" s="1"/>
  <c r="W2451" i="1" s="1"/>
  <c r="U2459" i="1"/>
  <c r="V2459" i="1" s="1"/>
  <c r="W2459" i="1" s="1"/>
  <c r="U2477" i="1"/>
  <c r="V2477" i="1" s="1"/>
  <c r="W2477" i="1" s="1"/>
  <c r="U2492" i="1"/>
  <c r="V2492" i="1" s="1"/>
  <c r="U2499" i="1"/>
  <c r="V2499" i="1" s="1"/>
  <c r="U2580" i="1"/>
  <c r="V2580" i="1" s="1"/>
  <c r="U2593" i="1"/>
  <c r="V2593" i="1" s="1"/>
  <c r="W2593" i="1" s="1"/>
  <c r="U2598" i="1"/>
  <c r="V2598" i="1" s="1"/>
  <c r="W2598" i="1" s="1"/>
  <c r="U2605" i="1"/>
  <c r="V2605" i="1" s="1"/>
  <c r="W2605" i="1" s="1"/>
  <c r="U2662" i="1"/>
  <c r="V2662" i="1" s="1"/>
  <c r="W2662" i="1" s="1"/>
  <c r="U2716" i="1"/>
  <c r="V2716" i="1" s="1"/>
  <c r="W2716" i="1" s="1"/>
  <c r="U2727" i="1"/>
  <c r="V2727" i="1" s="1"/>
  <c r="W2727" i="1" s="1"/>
  <c r="U2741" i="1"/>
  <c r="U2755" i="1"/>
  <c r="V2755" i="1" s="1"/>
  <c r="U2787" i="1"/>
  <c r="V2787" i="1" s="1"/>
  <c r="W2787" i="1" s="1"/>
  <c r="U2823" i="1"/>
  <c r="V2823" i="1" s="1"/>
  <c r="W2823" i="1" s="1"/>
  <c r="U2835" i="1"/>
  <c r="V2835" i="1" s="1"/>
  <c r="W2835" i="1" s="1"/>
  <c r="U2894" i="1"/>
  <c r="V2894" i="1" s="1"/>
  <c r="W2894" i="1" s="1"/>
  <c r="U2911" i="1"/>
  <c r="V2911" i="1" s="1"/>
  <c r="U2930" i="1"/>
  <c r="Y2987" i="1"/>
  <c r="U2994" i="1"/>
  <c r="V2994" i="1" s="1"/>
  <c r="W2994" i="1" s="1"/>
  <c r="Y3001" i="1"/>
  <c r="Y3113" i="1"/>
  <c r="U3120" i="1"/>
  <c r="V3120" i="1" s="1"/>
  <c r="W3120" i="1" s="1"/>
  <c r="U3137" i="1"/>
  <c r="V3137" i="1" s="1"/>
  <c r="U3144" i="1"/>
  <c r="V3144" i="1" s="1"/>
  <c r="W3144" i="1" s="1"/>
  <c r="U3166" i="1"/>
  <c r="V3166" i="1" s="1"/>
  <c r="W3166" i="1" s="1"/>
  <c r="Y3202" i="1"/>
  <c r="U3207" i="1"/>
  <c r="V3207" i="1" s="1"/>
  <c r="W3207" i="1" s="1"/>
  <c r="U3267" i="1"/>
  <c r="V3267" i="1" s="1"/>
  <c r="W3267" i="1" s="1"/>
  <c r="U3272" i="1"/>
  <c r="V3272" i="1" s="1"/>
  <c r="U3277" i="1"/>
  <c r="V3277" i="1" s="1"/>
  <c r="W3277" i="1" s="1"/>
  <c r="U3332" i="1"/>
  <c r="V3332" i="1" s="1"/>
  <c r="W3332" i="1" s="1"/>
  <c r="Y3345" i="1"/>
  <c r="U3350" i="1"/>
  <c r="V3350" i="1" s="1"/>
  <c r="W3350" i="1" s="1"/>
  <c r="U3403" i="1"/>
  <c r="V3403" i="1" s="1"/>
  <c r="W3403" i="1" s="1"/>
  <c r="U3419" i="1"/>
  <c r="V3419" i="1" s="1"/>
  <c r="W3419" i="1" s="1"/>
  <c r="Y2492" i="1"/>
  <c r="U2497" i="1"/>
  <c r="V2497" i="1" s="1"/>
  <c r="W2497" i="1" s="1"/>
  <c r="U2504" i="1"/>
  <c r="V2504" i="1" s="1"/>
  <c r="W2504" i="1" s="1"/>
  <c r="U2529" i="1"/>
  <c r="V2529" i="1" s="1"/>
  <c r="W2529" i="1" s="1"/>
  <c r="U2534" i="1"/>
  <c r="V2534" i="1" s="1"/>
  <c r="W2534" i="1" s="1"/>
  <c r="Y2538" i="1"/>
  <c r="U2550" i="1"/>
  <c r="V2550" i="1" s="1"/>
  <c r="W2550" i="1" s="1"/>
  <c r="Y2580" i="1"/>
  <c r="U2588" i="1"/>
  <c r="V2588" i="1" s="1"/>
  <c r="W2588" i="1" s="1"/>
  <c r="U2603" i="1"/>
  <c r="V2603" i="1" s="1"/>
  <c r="U2608" i="1"/>
  <c r="V2608" i="1" s="1"/>
  <c r="U2635" i="1"/>
  <c r="V2635" i="1" s="1"/>
  <c r="W2635" i="1" s="1"/>
  <c r="U2649" i="1"/>
  <c r="V2649" i="1" s="1"/>
  <c r="W2649" i="1" s="1"/>
  <c r="U2657" i="1"/>
  <c r="U2667" i="1"/>
  <c r="V2667" i="1" s="1"/>
  <c r="W2667" i="1" s="1"/>
  <c r="U2681" i="1"/>
  <c r="V2681" i="1" s="1"/>
  <c r="W2681" i="1" s="1"/>
  <c r="U2683" i="1"/>
  <c r="V2683" i="1" s="1"/>
  <c r="U2692" i="1"/>
  <c r="V2692" i="1" s="1"/>
  <c r="W2692" i="1" s="1"/>
  <c r="U2709" i="1"/>
  <c r="V2709" i="1" s="1"/>
  <c r="W2709" i="1" s="1"/>
  <c r="U2725" i="1"/>
  <c r="V2725" i="1" s="1"/>
  <c r="W2725" i="1" s="1"/>
  <c r="U2730" i="1"/>
  <c r="V2730" i="1" s="1"/>
  <c r="W2730" i="1" s="1"/>
  <c r="U2739" i="1"/>
  <c r="V2739" i="1" s="1"/>
  <c r="W2739" i="1" s="1"/>
  <c r="U2746" i="1"/>
  <c r="V2746" i="1" s="1"/>
  <c r="W2746" i="1" s="1"/>
  <c r="U2767" i="1"/>
  <c r="V2767" i="1" s="1"/>
  <c r="W2767" i="1" s="1"/>
  <c r="U2790" i="1"/>
  <c r="V2790" i="1" s="1"/>
  <c r="W2790" i="1" s="1"/>
  <c r="U2809" i="1"/>
  <c r="V2809" i="1" s="1"/>
  <c r="U2838" i="1"/>
  <c r="V2838" i="1" s="1"/>
  <c r="W2838" i="1" s="1"/>
  <c r="U2843" i="1"/>
  <c r="V2843" i="1" s="1"/>
  <c r="U2853" i="1"/>
  <c r="V2853" i="1" s="1"/>
  <c r="W2853" i="1" s="1"/>
  <c r="Y2874" i="1"/>
  <c r="U2921" i="1"/>
  <c r="V2921" i="1" s="1"/>
  <c r="Y2923" i="1"/>
  <c r="U2935" i="1"/>
  <c r="V2935" i="1" s="1"/>
  <c r="W2935" i="1" s="1"/>
  <c r="U2942" i="1"/>
  <c r="V2942" i="1" s="1"/>
  <c r="W2942" i="1" s="1"/>
  <c r="Y2946" i="1"/>
  <c r="U2956" i="1"/>
  <c r="V2956" i="1" s="1"/>
  <c r="U2983" i="1"/>
  <c r="V2983" i="1" s="1"/>
  <c r="W2983" i="1" s="1"/>
  <c r="U2997" i="1"/>
  <c r="V2997" i="1" s="1"/>
  <c r="W2997" i="1" s="1"/>
  <c r="Y3011" i="1"/>
  <c r="Y3018" i="1"/>
  <c r="U3040" i="1"/>
  <c r="U3047" i="1"/>
  <c r="V3047" i="1" s="1"/>
  <c r="W3047" i="1" s="1"/>
  <c r="U3071" i="1"/>
  <c r="V3071" i="1" s="1"/>
  <c r="W3071" i="1" s="1"/>
  <c r="U3147" i="1"/>
  <c r="V3147" i="1" s="1"/>
  <c r="U3153" i="1"/>
  <c r="U3159" i="1"/>
  <c r="V3159" i="1" s="1"/>
  <c r="W3159" i="1" s="1"/>
  <c r="U3189" i="1"/>
  <c r="V3189" i="1" s="1"/>
  <c r="W3189" i="1" s="1"/>
  <c r="U3212" i="1"/>
  <c r="U3214" i="1"/>
  <c r="V3214" i="1" s="1"/>
  <c r="W3214" i="1" s="1"/>
  <c r="U3219" i="1"/>
  <c r="V3219" i="1" s="1"/>
  <c r="W3219" i="1" s="1"/>
  <c r="U3221" i="1"/>
  <c r="V3221" i="1" s="1"/>
  <c r="W3221" i="1" s="1"/>
  <c r="U3226" i="1"/>
  <c r="V3226" i="1" s="1"/>
  <c r="W3226" i="1" s="1"/>
  <c r="U3228" i="1"/>
  <c r="V3228" i="1" s="1"/>
  <c r="W3228" i="1" s="1"/>
  <c r="U3280" i="1"/>
  <c r="V3280" i="1" s="1"/>
  <c r="W3280" i="1" s="1"/>
  <c r="U3287" i="1"/>
  <c r="V3287" i="1" s="1"/>
  <c r="W3287" i="1" s="1"/>
  <c r="U3313" i="1"/>
  <c r="V3313" i="1" s="1"/>
  <c r="U3340" i="1"/>
  <c r="V3340" i="1" s="1"/>
  <c r="W3340" i="1" s="1"/>
  <c r="U3344" i="1"/>
  <c r="V3344" i="1" s="1"/>
  <c r="W3344" i="1" s="1"/>
  <c r="U3348" i="1"/>
  <c r="V3348" i="1" s="1"/>
  <c r="W3348" i="1" s="1"/>
  <c r="U3355" i="1"/>
  <c r="V3355" i="1" s="1"/>
  <c r="W3355" i="1" s="1"/>
  <c r="U3365" i="1"/>
  <c r="V3365" i="1" s="1"/>
  <c r="U3410" i="1"/>
  <c r="V3410" i="1" s="1"/>
  <c r="W3410" i="1" s="1"/>
  <c r="Y3273" i="1"/>
  <c r="U3273" i="1"/>
  <c r="V3273" i="1" s="1"/>
  <c r="W3273" i="1" s="1"/>
  <c r="U2168" i="1"/>
  <c r="V2168" i="1" s="1"/>
  <c r="W2168" i="1" s="1"/>
  <c r="U2366" i="1"/>
  <c r="V2366" i="1" s="1"/>
  <c r="W2366" i="1" s="1"/>
  <c r="U2623" i="1"/>
  <c r="Y2623" i="1"/>
  <c r="U2859" i="1"/>
  <c r="Y2859" i="1"/>
  <c r="Y2172" i="1"/>
  <c r="U2269" i="1"/>
  <c r="V2269" i="1" s="1"/>
  <c r="W2269" i="1" s="1"/>
  <c r="Y2775" i="1"/>
  <c r="Y2976" i="1"/>
  <c r="U3090" i="1"/>
  <c r="V3090" i="1" s="1"/>
  <c r="W3090" i="1" s="1"/>
  <c r="Y3090" i="1"/>
  <c r="U3244" i="1"/>
  <c r="V3244" i="1" s="1"/>
  <c r="Y3244" i="1"/>
  <c r="U2198" i="1"/>
  <c r="V2198" i="1" s="1"/>
  <c r="W2198" i="1" s="1"/>
  <c r="Y2327" i="1"/>
  <c r="Y3194" i="1"/>
  <c r="U3194" i="1"/>
  <c r="V3194" i="1" s="1"/>
  <c r="W3194" i="1" s="1"/>
  <c r="U3289" i="1"/>
  <c r="Y3289" i="1"/>
  <c r="U2374" i="1"/>
  <c r="V2374" i="1" s="1"/>
  <c r="W2374" i="1" s="1"/>
  <c r="Y2487" i="1"/>
  <c r="U2505" i="1"/>
  <c r="U2517" i="1"/>
  <c r="V2517" i="1" s="1"/>
  <c r="W2517" i="1" s="1"/>
  <c r="Y2614" i="1"/>
  <c r="U2830" i="1"/>
  <c r="U2832" i="1"/>
  <c r="V2832" i="1" s="1"/>
  <c r="W2832" i="1" s="1"/>
  <c r="U3201" i="1"/>
  <c r="V3201" i="1" s="1"/>
  <c r="Y3380" i="1"/>
  <c r="U3380" i="1"/>
  <c r="V3380" i="1" s="1"/>
  <c r="W3380" i="1" s="1"/>
  <c r="Y2170" i="1"/>
  <c r="U2319" i="1"/>
  <c r="V2319" i="1" s="1"/>
  <c r="W2319" i="1" s="1"/>
  <c r="V2514" i="1"/>
  <c r="W2514" i="1" s="1"/>
  <c r="Y3404" i="1"/>
  <c r="U3404" i="1"/>
  <c r="V3404" i="1" s="1"/>
  <c r="W3404" i="1" s="1"/>
  <c r="U2586" i="1"/>
  <c r="V2586" i="1" s="1"/>
  <c r="U2758" i="1"/>
  <c r="V2758" i="1" s="1"/>
  <c r="W2758" i="1" s="1"/>
  <c r="Y2202" i="1"/>
  <c r="U2589" i="1"/>
  <c r="V2589" i="1" s="1"/>
  <c r="W2589" i="1" s="1"/>
  <c r="U2610" i="1"/>
  <c r="V2610" i="1" s="1"/>
  <c r="W2610" i="1" s="1"/>
  <c r="U2761" i="1"/>
  <c r="V2761" i="1" s="1"/>
  <c r="W2761" i="1" s="1"/>
  <c r="Y2761" i="1"/>
  <c r="Y3362" i="1"/>
  <c r="U3362" i="1"/>
  <c r="V3362" i="1" s="1"/>
  <c r="W3362" i="1" s="1"/>
  <c r="U2226" i="1"/>
  <c r="V2226" i="1" s="1"/>
  <c r="W2226" i="1" s="1"/>
  <c r="U2509" i="1"/>
  <c r="V2509" i="1" s="1"/>
  <c r="U2542" i="1"/>
  <c r="V2542" i="1" s="1"/>
  <c r="W2542" i="1" s="1"/>
  <c r="U2802" i="1"/>
  <c r="V2802" i="1" s="1"/>
  <c r="W2802" i="1" s="1"/>
  <c r="Y2802" i="1"/>
  <c r="U2886" i="1"/>
  <c r="V2886" i="1" s="1"/>
  <c r="W2886" i="1" s="1"/>
  <c r="U2947" i="1"/>
  <c r="Y3031" i="1"/>
  <c r="U2530" i="1"/>
  <c r="V2530" i="1" s="1"/>
  <c r="W2530" i="1" s="1"/>
  <c r="U2543" i="1"/>
  <c r="V2543" i="1" s="1"/>
  <c r="W2543" i="1" s="1"/>
  <c r="U2857" i="1"/>
  <c r="V2857" i="1" s="1"/>
  <c r="W2857" i="1" s="1"/>
  <c r="U2430" i="1"/>
  <c r="V2430" i="1" s="1"/>
  <c r="W2430" i="1" s="1"/>
  <c r="U2694" i="1"/>
  <c r="V2694" i="1" s="1"/>
  <c r="W2694" i="1" s="1"/>
  <c r="U2972" i="1"/>
  <c r="V2972" i="1" s="1"/>
  <c r="U3070" i="1"/>
  <c r="V3070" i="1" s="1"/>
  <c r="W3070" i="1" s="1"/>
  <c r="U3364" i="1"/>
  <c r="V3364" i="1" s="1"/>
  <c r="Y3364" i="1"/>
  <c r="Y2430" i="1"/>
  <c r="Y2636" i="1"/>
  <c r="U3042" i="1"/>
  <c r="V3042" i="1" s="1"/>
  <c r="W3042" i="1" s="1"/>
  <c r="Y3042" i="1"/>
  <c r="U3183" i="1"/>
  <c r="V3183" i="1" s="1"/>
  <c r="W3183" i="1" s="1"/>
  <c r="U2165" i="1"/>
  <c r="V2165" i="1" s="1"/>
  <c r="W2165" i="1" s="1"/>
  <c r="U2176" i="1"/>
  <c r="V2176" i="1" s="1"/>
  <c r="W2176" i="1" s="1"/>
  <c r="U2183" i="1"/>
  <c r="V2183" i="1" s="1"/>
  <c r="W2183" i="1" s="1"/>
  <c r="U2188" i="1"/>
  <c r="V2188" i="1" s="1"/>
  <c r="Y2217" i="1"/>
  <c r="U2245" i="1"/>
  <c r="V2245" i="1" s="1"/>
  <c r="W2245" i="1" s="1"/>
  <c r="U2286" i="1"/>
  <c r="V2286" i="1" s="1"/>
  <c r="W2286" i="1" s="1"/>
  <c r="U2340" i="1"/>
  <c r="V2340" i="1" s="1"/>
  <c r="W2340" i="1" s="1"/>
  <c r="U2375" i="1"/>
  <c r="V2375" i="1" s="1"/>
  <c r="W2375" i="1" s="1"/>
  <c r="U2420" i="1"/>
  <c r="U2501" i="1"/>
  <c r="V2501" i="1" s="1"/>
  <c r="W2501" i="1" s="1"/>
  <c r="Y2507" i="1"/>
  <c r="U2532" i="1"/>
  <c r="V2532" i="1" s="1"/>
  <c r="W2532" i="1" s="1"/>
  <c r="U2536" i="1"/>
  <c r="V2536" i="1" s="1"/>
  <c r="W2536" i="1" s="1"/>
  <c r="Y2549" i="1"/>
  <c r="U2555" i="1"/>
  <c r="V2555" i="1" s="1"/>
  <c r="W2555" i="1" s="1"/>
  <c r="U2570" i="1"/>
  <c r="V2570" i="1" s="1"/>
  <c r="W2570" i="1" s="1"/>
  <c r="U2576" i="1"/>
  <c r="U2600" i="1"/>
  <c r="V2600" i="1" s="1"/>
  <c r="U2632" i="1"/>
  <c r="V2632" i="1" s="1"/>
  <c r="W2632" i="1" s="1"/>
  <c r="U2642" i="1"/>
  <c r="V2642" i="1" s="1"/>
  <c r="W2642" i="1" s="1"/>
  <c r="U2658" i="1"/>
  <c r="V2658" i="1" s="1"/>
  <c r="W2658" i="1" s="1"/>
  <c r="U2753" i="1"/>
  <c r="V2753" i="1" s="1"/>
  <c r="W2753" i="1" s="1"/>
  <c r="U2766" i="1"/>
  <c r="U2779" i="1"/>
  <c r="V2779" i="1" s="1"/>
  <c r="W2779" i="1" s="1"/>
  <c r="U2783" i="1"/>
  <c r="U2785" i="1"/>
  <c r="V2785" i="1" s="1"/>
  <c r="W2785" i="1" s="1"/>
  <c r="U3016" i="1"/>
  <c r="V3016" i="1" s="1"/>
  <c r="Y3020" i="1"/>
  <c r="U3114" i="1"/>
  <c r="V3114" i="1" s="1"/>
  <c r="W3114" i="1" s="1"/>
  <c r="U3252" i="1"/>
  <c r="U3257" i="1"/>
  <c r="V3257" i="1" s="1"/>
  <c r="Y2291" i="1"/>
  <c r="Y2526" i="1"/>
  <c r="Y2534" i="1"/>
  <c r="U2624" i="1"/>
  <c r="Y2190" i="1"/>
  <c r="U2218" i="1"/>
  <c r="V2218" i="1" s="1"/>
  <c r="W2218" i="1" s="1"/>
  <c r="U2251" i="1"/>
  <c r="V2251" i="1" s="1"/>
  <c r="Y2306" i="1"/>
  <c r="Y2425" i="1"/>
  <c r="U2506" i="1"/>
  <c r="V2506" i="1" s="1"/>
  <c r="U2601" i="1"/>
  <c r="V2601" i="1" s="1"/>
  <c r="W2601" i="1" s="1"/>
  <c r="Y2681" i="1"/>
  <c r="Y2795" i="1"/>
  <c r="U2821" i="1"/>
  <c r="V2821" i="1" s="1"/>
  <c r="Y2827" i="1"/>
  <c r="U2840" i="1"/>
  <c r="V2840" i="1" s="1"/>
  <c r="W2840" i="1" s="1"/>
  <c r="Y2840" i="1"/>
  <c r="Y2955" i="1"/>
  <c r="U2955" i="1"/>
  <c r="V2955" i="1" s="1"/>
  <c r="W2955" i="1" s="1"/>
  <c r="Y2993" i="1"/>
  <c r="U2993" i="1"/>
  <c r="V2993" i="1" s="1"/>
  <c r="W2993" i="1" s="1"/>
  <c r="Y3028" i="1"/>
  <c r="U3028" i="1"/>
  <c r="V3028" i="1" s="1"/>
  <c r="W3028" i="1" s="1"/>
  <c r="U3000" i="1"/>
  <c r="V3000" i="1" s="1"/>
  <c r="W3000" i="1" s="1"/>
  <c r="Y3000" i="1"/>
  <c r="U3082" i="1"/>
  <c r="V3082" i="1" s="1"/>
  <c r="W3082" i="1" s="1"/>
  <c r="Y3082" i="1"/>
  <c r="U2903" i="1"/>
  <c r="V2903" i="1" s="1"/>
  <c r="W2903" i="1" s="1"/>
  <c r="Y2903" i="1"/>
  <c r="U3030" i="1"/>
  <c r="V3030" i="1" s="1"/>
  <c r="W3030" i="1" s="1"/>
  <c r="Y3030" i="1"/>
  <c r="Y2169" i="1"/>
  <c r="U2180" i="1"/>
  <c r="V2180" i="1" s="1"/>
  <c r="W2180" i="1" s="1"/>
  <c r="U2182" i="1"/>
  <c r="V2182" i="1" s="1"/>
  <c r="W2182" i="1" s="1"/>
  <c r="Y2184" i="1"/>
  <c r="Y2195" i="1"/>
  <c r="Y2199" i="1"/>
  <c r="U2210" i="1"/>
  <c r="V2210" i="1" s="1"/>
  <c r="W2210" i="1" s="1"/>
  <c r="U2212" i="1"/>
  <c r="V2212" i="1" s="1"/>
  <c r="W2212" i="1" s="1"/>
  <c r="U2225" i="1"/>
  <c r="V2225" i="1" s="1"/>
  <c r="U2238" i="1"/>
  <c r="U2240" i="1"/>
  <c r="V2240" i="1" s="1"/>
  <c r="W2240" i="1" s="1"/>
  <c r="U2249" i="1"/>
  <c r="V2249" i="1" s="1"/>
  <c r="W2249" i="1" s="1"/>
  <c r="U2258" i="1"/>
  <c r="V2258" i="1" s="1"/>
  <c r="W2258" i="1" s="1"/>
  <c r="U2262" i="1"/>
  <c r="V2262" i="1" s="1"/>
  <c r="W2262" i="1" s="1"/>
  <c r="U2264" i="1"/>
  <c r="V2264" i="1" s="1"/>
  <c r="W2264" i="1" s="1"/>
  <c r="U2279" i="1"/>
  <c r="V2279" i="1" s="1"/>
  <c r="W2279" i="1" s="1"/>
  <c r="U2281" i="1"/>
  <c r="V2281" i="1" s="1"/>
  <c r="U2285" i="1"/>
  <c r="V2285" i="1" s="1"/>
  <c r="U2292" i="1"/>
  <c r="V2292" i="1" s="1"/>
  <c r="U2294" i="1"/>
  <c r="V2294" i="1" s="1"/>
  <c r="W2294" i="1" s="1"/>
  <c r="U2333" i="1"/>
  <c r="V2333" i="1" s="1"/>
  <c r="W2333" i="1" s="1"/>
  <c r="W2345" i="1"/>
  <c r="U2378" i="1"/>
  <c r="U2380" i="1"/>
  <c r="V2380" i="1" s="1"/>
  <c r="W2380" i="1" s="1"/>
  <c r="U2382" i="1"/>
  <c r="V2382" i="1" s="1"/>
  <c r="W2382" i="1" s="1"/>
  <c r="U2403" i="1"/>
  <c r="V2403" i="1" s="1"/>
  <c r="U2407" i="1"/>
  <c r="V2407" i="1" s="1"/>
  <c r="W2407" i="1" s="1"/>
  <c r="U2413" i="1"/>
  <c r="V2413" i="1" s="1"/>
  <c r="W2413" i="1" s="1"/>
  <c r="U2447" i="1"/>
  <c r="V2447" i="1" s="1"/>
  <c r="U2449" i="1"/>
  <c r="V2449" i="1" s="1"/>
  <c r="U2467" i="1"/>
  <c r="V2467" i="1" s="1"/>
  <c r="W2467" i="1" s="1"/>
  <c r="U2480" i="1"/>
  <c r="V2480" i="1" s="1"/>
  <c r="W2480" i="1" s="1"/>
  <c r="Y2495" i="1"/>
  <c r="Y2506" i="1"/>
  <c r="U2510" i="1"/>
  <c r="V2510" i="1" s="1"/>
  <c r="U2512" i="1"/>
  <c r="V2512" i="1" s="1"/>
  <c r="W2512" i="1" s="1"/>
  <c r="Y2514" i="1"/>
  <c r="U2516" i="1"/>
  <c r="V2516" i="1" s="1"/>
  <c r="W2516" i="1" s="1"/>
  <c r="U2527" i="1"/>
  <c r="V2527" i="1" s="1"/>
  <c r="W2527" i="1" s="1"/>
  <c r="U2535" i="1"/>
  <c r="V2535" i="1" s="1"/>
  <c r="U2549" i="1"/>
  <c r="V2549" i="1" s="1"/>
  <c r="W2549" i="1" s="1"/>
  <c r="U2560" i="1"/>
  <c r="U2562" i="1"/>
  <c r="V2562" i="1" s="1"/>
  <c r="W2562" i="1" s="1"/>
  <c r="U2581" i="1"/>
  <c r="V2581" i="1" s="1"/>
  <c r="W2581" i="1" s="1"/>
  <c r="U2597" i="1"/>
  <c r="V2597" i="1" s="1"/>
  <c r="W2597" i="1" s="1"/>
  <c r="Y2601" i="1"/>
  <c r="U2685" i="1"/>
  <c r="V2685" i="1" s="1"/>
  <c r="W2685" i="1" s="1"/>
  <c r="U2700" i="1"/>
  <c r="V2700" i="1" s="1"/>
  <c r="Y2708" i="1"/>
  <c r="U2731" i="1"/>
  <c r="V2731" i="1" s="1"/>
  <c r="W2731" i="1" s="1"/>
  <c r="U2743" i="1"/>
  <c r="V2743" i="1" s="1"/>
  <c r="W2743" i="1" s="1"/>
  <c r="U2752" i="1"/>
  <c r="Y2797" i="1"/>
  <c r="Y2804" i="1"/>
  <c r="Y2806" i="1"/>
  <c r="U2811" i="1"/>
  <c r="V2811" i="1" s="1"/>
  <c r="W2811" i="1" s="1"/>
  <c r="U2815" i="1"/>
  <c r="V2815" i="1" s="1"/>
  <c r="W2815" i="1" s="1"/>
  <c r="U2819" i="1"/>
  <c r="V2819" i="1" s="1"/>
  <c r="W2819" i="1" s="1"/>
  <c r="Y2821" i="1"/>
  <c r="U2845" i="1"/>
  <c r="V2845" i="1" s="1"/>
  <c r="W2845" i="1" s="1"/>
  <c r="U2858" i="1"/>
  <c r="V2858" i="1" s="1"/>
  <c r="W2858" i="1" s="1"/>
  <c r="U2897" i="1"/>
  <c r="V2897" i="1" s="1"/>
  <c r="W2897" i="1" s="1"/>
  <c r="U2984" i="1"/>
  <c r="V2984" i="1" s="1"/>
  <c r="W2984" i="1" s="1"/>
  <c r="U3003" i="1"/>
  <c r="V3003" i="1" s="1"/>
  <c r="W3003" i="1" s="1"/>
  <c r="Y3112" i="1"/>
  <c r="U3112" i="1"/>
  <c r="U3185" i="1"/>
  <c r="V3185" i="1" s="1"/>
  <c r="U3229" i="1"/>
  <c r="U3245" i="1"/>
  <c r="U3265" i="1"/>
  <c r="V3265" i="1" s="1"/>
  <c r="W3265" i="1" s="1"/>
  <c r="U3282" i="1"/>
  <c r="V3282" i="1" s="1"/>
  <c r="U3320" i="1"/>
  <c r="V3320" i="1" s="1"/>
  <c r="W3320" i="1" s="1"/>
  <c r="U3322" i="1"/>
  <c r="V3322" i="1" s="1"/>
  <c r="W3322" i="1" s="1"/>
  <c r="U2963" i="1"/>
  <c r="V2963" i="1" s="1"/>
  <c r="W2963" i="1" s="1"/>
  <c r="U3050" i="1"/>
  <c r="U3124" i="1"/>
  <c r="V3124" i="1" s="1"/>
  <c r="V3131" i="1"/>
  <c r="W3131" i="1" s="1"/>
  <c r="U3160" i="1"/>
  <c r="V3160" i="1" s="1"/>
  <c r="W3160" i="1" s="1"/>
  <c r="U3164" i="1"/>
  <c r="V3164" i="1" s="1"/>
  <c r="U3175" i="1"/>
  <c r="U3298" i="1"/>
  <c r="U3318" i="1"/>
  <c r="V3318" i="1" s="1"/>
  <c r="W3318" i="1" s="1"/>
  <c r="U3331" i="1"/>
  <c r="V3331" i="1" s="1"/>
  <c r="Y3331" i="1"/>
  <c r="Y3341" i="1"/>
  <c r="U2591" i="1"/>
  <c r="V2591" i="1" s="1"/>
  <c r="W2591" i="1" s="1"/>
  <c r="U2611" i="1"/>
  <c r="V2611" i="1" s="1"/>
  <c r="W2611" i="1" s="1"/>
  <c r="U2627" i="1"/>
  <c r="V2627" i="1" s="1"/>
  <c r="W2627" i="1" s="1"/>
  <c r="U2650" i="1"/>
  <c r="V2650" i="1" s="1"/>
  <c r="W2650" i="1" s="1"/>
  <c r="U2656" i="1"/>
  <c r="V2656" i="1" s="1"/>
  <c r="W2656" i="1" s="1"/>
  <c r="U2664" i="1"/>
  <c r="V2664" i="1" s="1"/>
  <c r="W2664" i="1" s="1"/>
  <c r="U2666" i="1"/>
  <c r="V2666" i="1" s="1"/>
  <c r="W2666" i="1" s="1"/>
  <c r="U2672" i="1"/>
  <c r="V2672" i="1" s="1"/>
  <c r="W2672" i="1" s="1"/>
  <c r="U2676" i="1"/>
  <c r="V2676" i="1" s="1"/>
  <c r="W2676" i="1" s="1"/>
  <c r="U2711" i="1"/>
  <c r="V2711" i="1" s="1"/>
  <c r="W2711" i="1" s="1"/>
  <c r="U2724" i="1"/>
  <c r="V2724" i="1" s="1"/>
  <c r="W2724" i="1" s="1"/>
  <c r="U2732" i="1"/>
  <c r="V2732" i="1" s="1"/>
  <c r="W2732" i="1" s="1"/>
  <c r="U2736" i="1"/>
  <c r="V2736" i="1" s="1"/>
  <c r="W2736" i="1" s="1"/>
  <c r="U2744" i="1"/>
  <c r="V2744" i="1" s="1"/>
  <c r="W2744" i="1" s="1"/>
  <c r="U2748" i="1"/>
  <c r="V2748" i="1" s="1"/>
  <c r="W2748" i="1" s="1"/>
  <c r="Y2870" i="1"/>
  <c r="Y2940" i="1"/>
  <c r="Y2942" i="1"/>
  <c r="Y3172" i="1"/>
  <c r="U2688" i="1"/>
  <c r="V2688" i="1" s="1"/>
  <c r="U2714" i="1"/>
  <c r="V2714" i="1" s="1"/>
  <c r="W2714" i="1" s="1"/>
  <c r="Y2716" i="1"/>
  <c r="U2720" i="1"/>
  <c r="V2720" i="1" s="1"/>
  <c r="U2728" i="1"/>
  <c r="V2728" i="1" s="1"/>
  <c r="U2742" i="1"/>
  <c r="V2742" i="1" s="1"/>
  <c r="W2742" i="1" s="1"/>
  <c r="U2764" i="1"/>
  <c r="Y2768" i="1"/>
  <c r="U2776" i="1"/>
  <c r="U2778" i="1"/>
  <c r="V2778" i="1" s="1"/>
  <c r="W2778" i="1" s="1"/>
  <c r="U2784" i="1"/>
  <c r="U2792" i="1"/>
  <c r="V2792" i="1" s="1"/>
  <c r="Y2803" i="1"/>
  <c r="U2816" i="1"/>
  <c r="U2818" i="1"/>
  <c r="V2818" i="1" s="1"/>
  <c r="W2818" i="1" s="1"/>
  <c r="Y2826" i="1"/>
  <c r="U2881" i="1"/>
  <c r="V2881" i="1" s="1"/>
  <c r="W2881" i="1" s="1"/>
  <c r="U2892" i="1"/>
  <c r="V2892" i="1" s="1"/>
  <c r="W2892" i="1" s="1"/>
  <c r="U2918" i="1"/>
  <c r="V2918" i="1" s="1"/>
  <c r="W2918" i="1" s="1"/>
  <c r="Y2918" i="1"/>
  <c r="U2958" i="1"/>
  <c r="V2958" i="1" s="1"/>
  <c r="W2958" i="1" s="1"/>
  <c r="U3022" i="1"/>
  <c r="U3072" i="1"/>
  <c r="V3072" i="1" s="1"/>
  <c r="U3140" i="1"/>
  <c r="V3140" i="1" s="1"/>
  <c r="W3140" i="1" s="1"/>
  <c r="U3275" i="1"/>
  <c r="U3283" i="1"/>
  <c r="V3283" i="1" s="1"/>
  <c r="W3283" i="1" s="1"/>
  <c r="U3333" i="1"/>
  <c r="V3333" i="1" s="1"/>
  <c r="W3333" i="1" s="1"/>
  <c r="Y3360" i="1"/>
  <c r="U3360" i="1"/>
  <c r="V3360" i="1" s="1"/>
  <c r="U2890" i="1"/>
  <c r="V2890" i="1" s="1"/>
  <c r="U2916" i="1"/>
  <c r="V2916" i="1" s="1"/>
  <c r="W2916" i="1" s="1"/>
  <c r="U2941" i="1"/>
  <c r="U2952" i="1"/>
  <c r="V2952" i="1" s="1"/>
  <c r="W2952" i="1" s="1"/>
  <c r="U2962" i="1"/>
  <c r="V2962" i="1" s="1"/>
  <c r="W2962" i="1" s="1"/>
  <c r="U2969" i="1"/>
  <c r="V2969" i="1" s="1"/>
  <c r="U2971" i="1"/>
  <c r="V2971" i="1" s="1"/>
  <c r="W2971" i="1" s="1"/>
  <c r="U2973" i="1"/>
  <c r="V2973" i="1" s="1"/>
  <c r="W2973" i="1" s="1"/>
  <c r="U2985" i="1"/>
  <c r="V2985" i="1" s="1"/>
  <c r="W2985" i="1" s="1"/>
  <c r="U2989" i="1"/>
  <c r="V2989" i="1" s="1"/>
  <c r="W2989" i="1" s="1"/>
  <c r="U3033" i="1"/>
  <c r="Y3033" i="1"/>
  <c r="Y3037" i="1"/>
  <c r="U3046" i="1"/>
  <c r="V3046" i="1" s="1"/>
  <c r="W3046" i="1" s="1"/>
  <c r="U3086" i="1"/>
  <c r="V3086" i="1" s="1"/>
  <c r="W3086" i="1" s="1"/>
  <c r="U3088" i="1"/>
  <c r="V3088" i="1" s="1"/>
  <c r="W3088" i="1" s="1"/>
  <c r="U3094" i="1"/>
  <c r="V3094" i="1" s="1"/>
  <c r="W3094" i="1" s="1"/>
  <c r="U3096" i="1"/>
  <c r="V3096" i="1" s="1"/>
  <c r="W3096" i="1" s="1"/>
  <c r="U3170" i="1"/>
  <c r="V3170" i="1" s="1"/>
  <c r="U3200" i="1"/>
  <c r="V3200" i="1" s="1"/>
  <c r="W3200" i="1" s="1"/>
  <c r="U3223" i="1"/>
  <c r="V3223" i="1" s="1"/>
  <c r="W3223" i="1" s="1"/>
  <c r="U3276" i="1"/>
  <c r="V3276" i="1" s="1"/>
  <c r="Y3310" i="1"/>
  <c r="U3316" i="1"/>
  <c r="U3323" i="1"/>
  <c r="V3323" i="1" s="1"/>
  <c r="W3323" i="1" s="1"/>
  <c r="U3329" i="1"/>
  <c r="V3329" i="1" s="1"/>
  <c r="W3329" i="1" s="1"/>
  <c r="U3338" i="1"/>
  <c r="U3406" i="1"/>
  <c r="U3412" i="1"/>
  <c r="V3412" i="1" s="1"/>
  <c r="W3412" i="1" s="1"/>
  <c r="U2883" i="1"/>
  <c r="V2883" i="1" s="1"/>
  <c r="W2883" i="1" s="1"/>
  <c r="U2895" i="1"/>
  <c r="U2899" i="1"/>
  <c r="V2899" i="1" s="1"/>
  <c r="W2899" i="1" s="1"/>
  <c r="U2904" i="1"/>
  <c r="U2906" i="1"/>
  <c r="V2906" i="1" s="1"/>
  <c r="W2906" i="1" s="1"/>
  <c r="U2912" i="1"/>
  <c r="U2945" i="1"/>
  <c r="V2945" i="1" s="1"/>
  <c r="W2945" i="1" s="1"/>
  <c r="U3013" i="1"/>
  <c r="V3013" i="1" s="1"/>
  <c r="W3013" i="1" s="1"/>
  <c r="U3059" i="1"/>
  <c r="U3076" i="1"/>
  <c r="U3132" i="1"/>
  <c r="V3132" i="1" s="1"/>
  <c r="Y3193" i="1"/>
  <c r="U3213" i="1"/>
  <c r="Y3234" i="1"/>
  <c r="U3236" i="1"/>
  <c r="V3236" i="1" s="1"/>
  <c r="W3236" i="1" s="1"/>
  <c r="Y3240" i="1"/>
  <c r="U3296" i="1"/>
  <c r="V3296" i="1" s="1"/>
  <c r="W3296" i="1" s="1"/>
  <c r="U3306" i="1"/>
  <c r="V3306" i="1" s="1"/>
  <c r="W3306" i="1" s="1"/>
  <c r="U3325" i="1"/>
  <c r="V3325" i="1" s="1"/>
  <c r="U3327" i="1"/>
  <c r="V3327" i="1" s="1"/>
  <c r="W3327" i="1" s="1"/>
  <c r="Y3344" i="1"/>
  <c r="U3391" i="1"/>
  <c r="V3391" i="1" s="1"/>
  <c r="Y3406" i="1"/>
  <c r="U3356" i="1"/>
  <c r="V3356" i="1" s="1"/>
  <c r="W3356" i="1" s="1"/>
  <c r="U3358" i="1"/>
  <c r="V3358" i="1" s="1"/>
  <c r="W3358" i="1" s="1"/>
  <c r="Y3386" i="1"/>
  <c r="U3393" i="1"/>
  <c r="V3393" i="1" s="1"/>
  <c r="W3393" i="1" s="1"/>
  <c r="U3032" i="1"/>
  <c r="V3032" i="1" s="1"/>
  <c r="W3032" i="1" s="1"/>
  <c r="U3043" i="1"/>
  <c r="U3116" i="1"/>
  <c r="U3141" i="1"/>
  <c r="V3141" i="1" s="1"/>
  <c r="U3145" i="1"/>
  <c r="V3145" i="1" s="1"/>
  <c r="W3145" i="1" s="1"/>
  <c r="U3151" i="1"/>
  <c r="V3151" i="1" s="1"/>
  <c r="W3151" i="1" s="1"/>
  <c r="U3178" i="1"/>
  <c r="Y3179" i="1"/>
  <c r="Y3187" i="1"/>
  <c r="U3235" i="1"/>
  <c r="V3235" i="1" s="1"/>
  <c r="W3235" i="1" s="1"/>
  <c r="U3237" i="1"/>
  <c r="V3237" i="1" s="1"/>
  <c r="W3237" i="1" s="1"/>
  <c r="U3253" i="1"/>
  <c r="V3253" i="1" s="1"/>
  <c r="W3253" i="1" s="1"/>
  <c r="Y3295" i="1"/>
  <c r="U3324" i="1"/>
  <c r="V3324" i="1" s="1"/>
  <c r="W3324" i="1" s="1"/>
  <c r="U3354" i="1"/>
  <c r="U3371" i="1"/>
  <c r="U3381" i="1"/>
  <c r="V3381" i="1" s="1"/>
  <c r="W3381" i="1" s="1"/>
  <c r="Y3388" i="1"/>
  <c r="U2999" i="1"/>
  <c r="V2999" i="1" s="1"/>
  <c r="W2999" i="1" s="1"/>
  <c r="U3006" i="1"/>
  <c r="V3006" i="1" s="1"/>
  <c r="W3006" i="1" s="1"/>
  <c r="U3025" i="1"/>
  <c r="V3025" i="1" s="1"/>
  <c r="W3025" i="1" s="1"/>
  <c r="U3062" i="1"/>
  <c r="V3062" i="1" s="1"/>
  <c r="Y3114" i="1"/>
  <c r="U3127" i="1"/>
  <c r="V3127" i="1" s="1"/>
  <c r="W3127" i="1" s="1"/>
  <c r="Y3307" i="1"/>
  <c r="Y3311" i="1"/>
  <c r="Y2994" i="1"/>
  <c r="U3004" i="1"/>
  <c r="V3004" i="1" s="1"/>
  <c r="U3023" i="1"/>
  <c r="V3023" i="1" s="1"/>
  <c r="W3023" i="1" s="1"/>
  <c r="Y3025" i="1"/>
  <c r="Y3032" i="1"/>
  <c r="U3034" i="1"/>
  <c r="U3066" i="1"/>
  <c r="Y3077" i="1"/>
  <c r="U3093" i="1"/>
  <c r="V3093" i="1" s="1"/>
  <c r="W3093" i="1" s="1"/>
  <c r="U3101" i="1"/>
  <c r="U3125" i="1"/>
  <c r="V3125" i="1" s="1"/>
  <c r="U3143" i="1"/>
  <c r="V3143" i="1" s="1"/>
  <c r="W3143" i="1" s="1"/>
  <c r="Y3155" i="1"/>
  <c r="U3169" i="1"/>
  <c r="V3169" i="1" s="1"/>
  <c r="W3169" i="1" s="1"/>
  <c r="U3171" i="1"/>
  <c r="V3171" i="1" s="1"/>
  <c r="Y3176" i="1"/>
  <c r="U3180" i="1"/>
  <c r="V3180" i="1" s="1"/>
  <c r="W3180" i="1" s="1"/>
  <c r="U3186" i="1"/>
  <c r="V3186" i="1" s="1"/>
  <c r="W3186" i="1" s="1"/>
  <c r="U3188" i="1"/>
  <c r="V3188" i="1" s="1"/>
  <c r="U3192" i="1"/>
  <c r="V3192" i="1" s="1"/>
  <c r="W3192" i="1" s="1"/>
  <c r="U3205" i="1"/>
  <c r="V3205" i="1" s="1"/>
  <c r="W3205" i="1" s="1"/>
  <c r="U3248" i="1"/>
  <c r="V3248" i="1" s="1"/>
  <c r="W3248" i="1" s="1"/>
  <c r="U3263" i="1"/>
  <c r="V3263" i="1" s="1"/>
  <c r="U3268" i="1"/>
  <c r="U3278" i="1"/>
  <c r="V3278" i="1" s="1"/>
  <c r="W3278" i="1" s="1"/>
  <c r="U3292" i="1"/>
  <c r="V3292" i="1" s="1"/>
  <c r="U3294" i="1"/>
  <c r="V3294" i="1" s="1"/>
  <c r="W3294" i="1" s="1"/>
  <c r="U3315" i="1"/>
  <c r="V3315" i="1" s="1"/>
  <c r="W3315" i="1" s="1"/>
  <c r="U3326" i="1"/>
  <c r="V3326" i="1" s="1"/>
  <c r="W3326" i="1" s="1"/>
  <c r="U3367" i="1"/>
  <c r="U3395" i="1"/>
  <c r="V3395" i="1" s="1"/>
  <c r="U3399" i="1"/>
  <c r="U3409" i="1"/>
  <c r="U3417" i="1"/>
  <c r="V3417" i="1" s="1"/>
  <c r="V2277" i="1"/>
  <c r="W2277" i="1" s="1"/>
  <c r="V2313" i="1"/>
  <c r="W2313" i="1" s="1"/>
  <c r="V2267" i="1"/>
  <c r="W2267" i="1" s="1"/>
  <c r="U2187" i="1"/>
  <c r="U2217" i="1"/>
  <c r="U2227" i="1"/>
  <c r="U2243" i="1"/>
  <c r="U2268" i="1"/>
  <c r="U2287" i="1"/>
  <c r="U2400" i="1"/>
  <c r="U2416" i="1"/>
  <c r="U2474" i="1"/>
  <c r="U2482" i="1"/>
  <c r="V2696" i="1"/>
  <c r="W2696" i="1" s="1"/>
  <c r="W2252" i="1"/>
  <c r="U2325" i="1"/>
  <c r="U2491" i="1"/>
  <c r="U2547" i="1"/>
  <c r="V2621" i="1"/>
  <c r="W2621" i="1" s="1"/>
  <c r="U2314" i="1"/>
  <c r="U2596" i="1"/>
  <c r="V2965" i="1"/>
  <c r="W2965" i="1" s="1"/>
  <c r="V3366" i="1"/>
  <c r="W3366" i="1" s="1"/>
  <c r="Y2168" i="1"/>
  <c r="Y2178" i="1"/>
  <c r="Y2198" i="1"/>
  <c r="Y2208" i="1"/>
  <c r="Y2218" i="1"/>
  <c r="Y2235" i="1"/>
  <c r="Y2251" i="1"/>
  <c r="Y2259" i="1"/>
  <c r="W2363" i="1"/>
  <c r="W2371" i="1"/>
  <c r="W2379" i="1"/>
  <c r="Y2501" i="1"/>
  <c r="U2582" i="1"/>
  <c r="U2749" i="1"/>
  <c r="U2786" i="1"/>
  <c r="U2788" i="1"/>
  <c r="Y3385" i="1"/>
  <c r="U3385" i="1"/>
  <c r="U2197" i="1"/>
  <c r="U2368" i="1"/>
  <c r="U2384" i="1"/>
  <c r="U2392" i="1"/>
  <c r="U2450" i="1"/>
  <c r="U2466" i="1"/>
  <c r="U2496" i="1"/>
  <c r="V2604" i="1"/>
  <c r="W2604" i="1" s="1"/>
  <c r="Y2877" i="1"/>
  <c r="U2877" i="1"/>
  <c r="U2428" i="1"/>
  <c r="U3099" i="1"/>
  <c r="Y2839" i="1"/>
  <c r="U2839" i="1"/>
  <c r="Y2226" i="1"/>
  <c r="U2270" i="1"/>
  <c r="U2273" i="1"/>
  <c r="V2308" i="1"/>
  <c r="W2308" i="1" s="1"/>
  <c r="U2334" i="1"/>
  <c r="U2342" i="1"/>
  <c r="U2350" i="1"/>
  <c r="U2490" i="1"/>
  <c r="V2521" i="1"/>
  <c r="W2521" i="1" s="1"/>
  <c r="V2541" i="1"/>
  <c r="W2541" i="1" s="1"/>
  <c r="U2578" i="1"/>
  <c r="Y2589" i="1"/>
  <c r="U2595" i="1"/>
  <c r="Y2610" i="1"/>
  <c r="U2665" i="1"/>
  <c r="U2691" i="1"/>
  <c r="U2707" i="1"/>
  <c r="U2826" i="1"/>
  <c r="U2831" i="1"/>
  <c r="Y2831" i="1"/>
  <c r="U2855" i="1"/>
  <c r="U2982" i="1"/>
  <c r="U2991" i="1"/>
  <c r="U3204" i="1"/>
  <c r="V2260" i="1"/>
  <c r="W2260" i="1" s="1"/>
  <c r="U2304" i="1"/>
  <c r="U2557" i="1"/>
  <c r="Y2674" i="1"/>
  <c r="U2674" i="1"/>
  <c r="U2468" i="1"/>
  <c r="U2297" i="1"/>
  <c r="U2427" i="1"/>
  <c r="U2495" i="1"/>
  <c r="U2644" i="1"/>
  <c r="U2654" i="1"/>
  <c r="Y2654" i="1"/>
  <c r="V2721" i="1"/>
  <c r="W2721" i="1" s="1"/>
  <c r="Y2485" i="1"/>
  <c r="U2485" i="1"/>
  <c r="Y2517" i="1"/>
  <c r="V2583" i="1"/>
  <c r="W2583" i="1" s="1"/>
  <c r="Y2699" i="1"/>
  <c r="U2699" i="1"/>
  <c r="Y2729" i="1"/>
  <c r="U2729" i="1"/>
  <c r="Y3192" i="1"/>
  <c r="U2360" i="1"/>
  <c r="U2376" i="1"/>
  <c r="U2408" i="1"/>
  <c r="U2434" i="1"/>
  <c r="U2442" i="1"/>
  <c r="U2458" i="1"/>
  <c r="U2513" i="1"/>
  <c r="Y2518" i="1"/>
  <c r="U2518" i="1"/>
  <c r="U2436" i="1"/>
  <c r="U2444" i="1"/>
  <c r="U2452" i="1"/>
  <c r="U2460" i="1"/>
  <c r="U2476" i="1"/>
  <c r="U2651" i="1"/>
  <c r="U2710" i="1"/>
  <c r="U2768" i="1"/>
  <c r="Y2938" i="1"/>
  <c r="U2938" i="1"/>
  <c r="Y3106" i="1"/>
  <c r="U3106" i="1"/>
  <c r="U2339" i="1"/>
  <c r="U2347" i="1"/>
  <c r="U2423" i="1"/>
  <c r="U2585" i="1"/>
  <c r="U2613" i="1"/>
  <c r="U2679" i="1"/>
  <c r="U2715" i="1"/>
  <c r="U2733" i="1"/>
  <c r="U2793" i="1"/>
  <c r="U2798" i="1"/>
  <c r="U2848" i="1"/>
  <c r="Y2619" i="1"/>
  <c r="Y2898" i="1"/>
  <c r="U2898" i="1"/>
  <c r="Y2909" i="1"/>
  <c r="U2909" i="1"/>
  <c r="U2957" i="1"/>
  <c r="Y2957" i="1"/>
  <c r="Y3027" i="1"/>
  <c r="U3027" i="1"/>
  <c r="U2489" i="1"/>
  <c r="U2619" i="1"/>
  <c r="U2630" i="1"/>
  <c r="U2659" i="1"/>
  <c r="Y2687" i="1"/>
  <c r="U2702" i="1"/>
  <c r="U2738" i="1"/>
  <c r="U2740" i="1"/>
  <c r="U2789" i="1"/>
  <c r="U2865" i="1"/>
  <c r="U2872" i="1"/>
  <c r="Y3149" i="1"/>
  <c r="U3149" i="1"/>
  <c r="W2616" i="1"/>
  <c r="U2483" i="1"/>
  <c r="U2511" i="1"/>
  <c r="U2515" i="1"/>
  <c r="U2520" i="1"/>
  <c r="U2528" i="1"/>
  <c r="U2538" i="1"/>
  <c r="U2545" i="1"/>
  <c r="U2565" i="1"/>
  <c r="U2590" i="1"/>
  <c r="Y2624" i="1"/>
  <c r="U2629" i="1"/>
  <c r="U2638" i="1"/>
  <c r="Y2670" i="1"/>
  <c r="U2737" i="1"/>
  <c r="U2757" i="1"/>
  <c r="U2771" i="1"/>
  <c r="U2836" i="1"/>
  <c r="U2884" i="1"/>
  <c r="Y2891" i="1"/>
  <c r="U2891" i="1"/>
  <c r="Y3036" i="1"/>
  <c r="U3036" i="1"/>
  <c r="U3210" i="1"/>
  <c r="V3240" i="1"/>
  <c r="W3240" i="1" s="1"/>
  <c r="Y2752" i="1"/>
  <c r="V3001" i="1"/>
  <c r="W3001" i="1" s="1"/>
  <c r="Y3048" i="1"/>
  <c r="U3048" i="1"/>
  <c r="U2525" i="1"/>
  <c r="Y2800" i="1"/>
  <c r="Y2893" i="1"/>
  <c r="U2893" i="1"/>
  <c r="U3110" i="1"/>
  <c r="Y3300" i="1"/>
  <c r="U3300" i="1"/>
  <c r="U2647" i="1"/>
  <c r="U2760" i="1"/>
  <c r="U2769" i="1"/>
  <c r="Y2799" i="1"/>
  <c r="U2800" i="1"/>
  <c r="Y2869" i="1"/>
  <c r="U2907" i="1"/>
  <c r="U2914" i="1"/>
  <c r="U2928" i="1"/>
  <c r="Y2949" i="1"/>
  <c r="U2949" i="1"/>
  <c r="U2953" i="1"/>
  <c r="U2979" i="1"/>
  <c r="U2998" i="1"/>
  <c r="U3038" i="1"/>
  <c r="U3052" i="1"/>
  <c r="U3118" i="1"/>
  <c r="U3177" i="1"/>
  <c r="U3243" i="1"/>
  <c r="Y3243" i="1"/>
  <c r="U3288" i="1"/>
  <c r="U3337" i="1"/>
  <c r="Y3134" i="1"/>
  <c r="U3134" i="1"/>
  <c r="U3233" i="1"/>
  <c r="Y3233" i="1"/>
  <c r="Y2801" i="1"/>
  <c r="U2861" i="1"/>
  <c r="U2970" i="1"/>
  <c r="U2975" i="1"/>
  <c r="U2980" i="1"/>
  <c r="V3083" i="1"/>
  <c r="W3083" i="1" s="1"/>
  <c r="U3139" i="1"/>
  <c r="Y3146" i="1"/>
  <c r="U3146" i="1"/>
  <c r="U3165" i="1"/>
  <c r="U3167" i="1"/>
  <c r="U3203" i="1"/>
  <c r="U3239" i="1"/>
  <c r="Y3281" i="1"/>
  <c r="U3281" i="1"/>
  <c r="Y3319" i="1"/>
  <c r="U3319" i="1"/>
  <c r="Y2856" i="1"/>
  <c r="U3037" i="1"/>
  <c r="U3103" i="1"/>
  <c r="Y3109" i="1"/>
  <c r="U3109" i="1"/>
  <c r="Y3361" i="1"/>
  <c r="U3361" i="1"/>
  <c r="U2856" i="1"/>
  <c r="U2863" i="1"/>
  <c r="U2873" i="1"/>
  <c r="U2889" i="1"/>
  <c r="U2905" i="1"/>
  <c r="Y2917" i="1"/>
  <c r="U2927" i="1"/>
  <c r="U2981" i="1"/>
  <c r="U3009" i="1"/>
  <c r="U3024" i="1"/>
  <c r="U3026" i="1"/>
  <c r="U3035" i="1"/>
  <c r="U3068" i="1"/>
  <c r="U3073" i="1"/>
  <c r="U3080" i="1"/>
  <c r="U3155" i="1"/>
  <c r="U3182" i="1"/>
  <c r="U3255" i="1"/>
  <c r="Y3279" i="1"/>
  <c r="U3279" i="1"/>
  <c r="U3307" i="1"/>
  <c r="U3309" i="1"/>
  <c r="U3374" i="1"/>
  <c r="U2934" i="1"/>
  <c r="U3005" i="1"/>
  <c r="Y3029" i="1"/>
  <c r="U3044" i="1"/>
  <c r="U3060" i="1"/>
  <c r="Y3108" i="1"/>
  <c r="U3126" i="1"/>
  <c r="Y3339" i="1"/>
  <c r="Y2929" i="1"/>
  <c r="U3148" i="1"/>
  <c r="U3238" i="1"/>
  <c r="Y3299" i="1"/>
  <c r="U3299" i="1"/>
  <c r="U3301" i="1"/>
  <c r="U3353" i="1"/>
  <c r="V3387" i="1"/>
  <c r="W3387" i="1" s="1"/>
  <c r="U2929" i="1"/>
  <c r="U2987" i="1"/>
  <c r="U3007" i="1"/>
  <c r="U3014" i="1"/>
  <c r="U3119" i="1"/>
  <c r="U3128" i="1"/>
  <c r="Y3143" i="1"/>
  <c r="U3154" i="1"/>
  <c r="U3209" i="1"/>
  <c r="U3231" i="1"/>
  <c r="U3382" i="1"/>
  <c r="U3402" i="1"/>
  <c r="U3136" i="1"/>
  <c r="U3216" i="1"/>
  <c r="U3261" i="1"/>
  <c r="Y3401" i="1"/>
  <c r="U3401" i="1"/>
  <c r="U3163" i="1"/>
  <c r="U3234" i="1"/>
  <c r="U3270" i="1"/>
  <c r="U3384" i="1"/>
  <c r="Y3396" i="1"/>
  <c r="U3396" i="1"/>
  <c r="U3414" i="1"/>
  <c r="U3247" i="1"/>
  <c r="U3271" i="1"/>
  <c r="U3285" i="1"/>
  <c r="U3369" i="1"/>
  <c r="U3251" i="1"/>
  <c r="U3262" i="1"/>
  <c r="U3317" i="1"/>
  <c r="Y3363" i="1"/>
  <c r="U3379" i="1"/>
  <c r="Y3405" i="1"/>
  <c r="U3392" i="1"/>
  <c r="W2849" i="1" l="1"/>
  <c r="W3187" i="1"/>
  <c r="W3058" i="1"/>
  <c r="W2946" i="1"/>
  <c r="W2951" i="1"/>
  <c r="W2614" i="1"/>
  <c r="W3124" i="1"/>
  <c r="W3215" i="1"/>
  <c r="W2453" i="1"/>
  <c r="W2209" i="1"/>
  <c r="W3331" i="1"/>
  <c r="W3343" i="1"/>
  <c r="W2637" i="1"/>
  <c r="W2875" i="1"/>
  <c r="W2780" i="1"/>
  <c r="W2309" i="1"/>
  <c r="W2388" i="1"/>
  <c r="W2606" i="1"/>
  <c r="W2298" i="1"/>
  <c r="W2843" i="1"/>
  <c r="W3147" i="1"/>
  <c r="W3018" i="1"/>
  <c r="W3111" i="1"/>
  <c r="W2315" i="1"/>
  <c r="W2812" i="1"/>
  <c r="W3257" i="1"/>
  <c r="W2395" i="1"/>
  <c r="W2479" i="1"/>
  <c r="W3222" i="1"/>
  <c r="W2531" i="1"/>
  <c r="V2930" i="1"/>
  <c r="W2930" i="1" s="1"/>
  <c r="W3054" i="1"/>
  <c r="W3085" i="1"/>
  <c r="W2911" i="1"/>
  <c r="W3407" i="1"/>
  <c r="W2791" i="1"/>
  <c r="W2977" i="1"/>
  <c r="W2412" i="1"/>
  <c r="W2431" i="1"/>
  <c r="W3102" i="1"/>
  <c r="W2670" i="1"/>
  <c r="W3365" i="1"/>
  <c r="W3376" i="1"/>
  <c r="W2592" i="1"/>
  <c r="W2312" i="1"/>
  <c r="W2755" i="1"/>
  <c r="W2675" i="1"/>
  <c r="W2295" i="1"/>
  <c r="W3383" i="1"/>
  <c r="W2720" i="1"/>
  <c r="V2242" i="1"/>
  <c r="W2242" i="1" s="1"/>
  <c r="V2657" i="1"/>
  <c r="W2657" i="1" s="1"/>
  <c r="V2587" i="1"/>
  <c r="W2587" i="1" s="1"/>
  <c r="W2177" i="1"/>
  <c r="W3137" i="1"/>
  <c r="W2948" i="1"/>
  <c r="W2834" i="1"/>
  <c r="W2492" i="1"/>
  <c r="W2703" i="1"/>
  <c r="W2690" i="1"/>
  <c r="W2978" i="1"/>
  <c r="W2261" i="1"/>
  <c r="W3162" i="1"/>
  <c r="W2713" i="1"/>
  <c r="W2701" i="1"/>
  <c r="W2372" i="1"/>
  <c r="W3347" i="1"/>
  <c r="W2421" i="1"/>
  <c r="W3173" i="1"/>
  <c r="W2775" i="1"/>
  <c r="W2896" i="1"/>
  <c r="W2561" i="1"/>
  <c r="W3334" i="1"/>
  <c r="W3135" i="1"/>
  <c r="W2986" i="1"/>
  <c r="W2246" i="1"/>
  <c r="W2956" i="1"/>
  <c r="W2579" i="1"/>
  <c r="W3246" i="1"/>
  <c r="W2972" i="1"/>
  <c r="W3133" i="1"/>
  <c r="W2253" i="1"/>
  <c r="V2712" i="1"/>
  <c r="W2712" i="1" s="1"/>
  <c r="W3312" i="1"/>
  <c r="V3305" i="1"/>
  <c r="W3305" i="1" s="1"/>
  <c r="W2221" i="1"/>
  <c r="V3029" i="1"/>
  <c r="W3029" i="1" s="1"/>
  <c r="W3357" i="1"/>
  <c r="W3188" i="1"/>
  <c r="W3062" i="1"/>
  <c r="W3067" i="1"/>
  <c r="W2317" i="1"/>
  <c r="W3197" i="1"/>
  <c r="W2689" i="1"/>
  <c r="W3395" i="1"/>
  <c r="W3274" i="1"/>
  <c r="W2225" i="1"/>
  <c r="W2682" i="1"/>
  <c r="W3089" i="1"/>
  <c r="W2292" i="1"/>
  <c r="W2640" i="1"/>
  <c r="W3276" i="1"/>
  <c r="W2754" i="1"/>
  <c r="W2960" i="1"/>
  <c r="W3125" i="1"/>
  <c r="W2939" i="1"/>
  <c r="W3064" i="1"/>
  <c r="W2291" i="1"/>
  <c r="W2921" i="1"/>
  <c r="W2403" i="1"/>
  <c r="W2234" i="1"/>
  <c r="W2580" i="1"/>
  <c r="W2663" i="1"/>
  <c r="W2498" i="1"/>
  <c r="W2809" i="1"/>
  <c r="W2558" i="1"/>
  <c r="W2968" i="1"/>
  <c r="W2354" i="1"/>
  <c r="W2471" i="1"/>
  <c r="V3040" i="1"/>
  <c r="W3040" i="1" s="1"/>
  <c r="W2568" i="1"/>
  <c r="V3212" i="1"/>
  <c r="W3212" i="1" s="1"/>
  <c r="W2349" i="1"/>
  <c r="W2603" i="1"/>
  <c r="V2741" i="1"/>
  <c r="W2741" i="1" s="1"/>
  <c r="V2337" i="1"/>
  <c r="W2337" i="1" s="1"/>
  <c r="W3244" i="1"/>
  <c r="W2995" i="1"/>
  <c r="W2499" i="1"/>
  <c r="W2792" i="1"/>
  <c r="W2341" i="1"/>
  <c r="W2439" i="1"/>
  <c r="W2700" i="1"/>
  <c r="V2420" i="1"/>
  <c r="W2420" i="1" s="1"/>
  <c r="W2200" i="1"/>
  <c r="V2238" i="1"/>
  <c r="W2238" i="1" s="1"/>
  <c r="W2615" i="1"/>
  <c r="W3313" i="1"/>
  <c r="W2300" i="1"/>
  <c r="W2281" i="1"/>
  <c r="W2728" i="1"/>
  <c r="W2285" i="1"/>
  <c r="W2688" i="1"/>
  <c r="W2290" i="1"/>
  <c r="V3153" i="1"/>
  <c r="W3153" i="1" s="1"/>
  <c r="V2824" i="1"/>
  <c r="W2824" i="1" s="1"/>
  <c r="V2816" i="1"/>
  <c r="W2816" i="1" s="1"/>
  <c r="W2976" i="1"/>
  <c r="W2244" i="1"/>
  <c r="V2943" i="1"/>
  <c r="W2943" i="1" s="1"/>
  <c r="W3004" i="1"/>
  <c r="W2463" i="1"/>
  <c r="W2608" i="1"/>
  <c r="W2821" i="1"/>
  <c r="W2455" i="1"/>
  <c r="W3272" i="1"/>
  <c r="W2586" i="1"/>
  <c r="W3364" i="1"/>
  <c r="W2969" i="1"/>
  <c r="W2535" i="1"/>
  <c r="W3282" i="1"/>
  <c r="V2378" i="1"/>
  <c r="W2378" i="1" s="1"/>
  <c r="W2329" i="1"/>
  <c r="W2683" i="1"/>
  <c r="W2411" i="1"/>
  <c r="W3132" i="1"/>
  <c r="W2890" i="1"/>
  <c r="V2684" i="1"/>
  <c r="W2684" i="1" s="1"/>
  <c r="V3338" i="1"/>
  <c r="W3338" i="1" s="1"/>
  <c r="V2941" i="1"/>
  <c r="W2941" i="1" s="1"/>
  <c r="V3252" i="1"/>
  <c r="W3252" i="1" s="1"/>
  <c r="V2624" i="1"/>
  <c r="W2624" i="1" s="1"/>
  <c r="W3417" i="1"/>
  <c r="V2859" i="1"/>
  <c r="W2859" i="1" s="1"/>
  <c r="W2600" i="1"/>
  <c r="V2766" i="1"/>
  <c r="W2766" i="1" s="1"/>
  <c r="V2912" i="1"/>
  <c r="W2912" i="1" s="1"/>
  <c r="V3033" i="1"/>
  <c r="W3033" i="1" s="1"/>
  <c r="V3229" i="1"/>
  <c r="W3229" i="1" s="1"/>
  <c r="V3409" i="1"/>
  <c r="W3409" i="1" s="1"/>
  <c r="V3101" i="1"/>
  <c r="W3101" i="1" s="1"/>
  <c r="V2776" i="1"/>
  <c r="W2776" i="1" s="1"/>
  <c r="V3050" i="1"/>
  <c r="W3050" i="1" s="1"/>
  <c r="V2830" i="1"/>
  <c r="W2830" i="1" s="1"/>
  <c r="W3170" i="1"/>
  <c r="V3399" i="1"/>
  <c r="W3399" i="1" s="1"/>
  <c r="V3112" i="1"/>
  <c r="W3112" i="1" s="1"/>
  <c r="V2752" i="1"/>
  <c r="W2752" i="1" s="1"/>
  <c r="V3289" i="1"/>
  <c r="W3289" i="1" s="1"/>
  <c r="W3292" i="1"/>
  <c r="W3185" i="1"/>
  <c r="V2947" i="1"/>
  <c r="W2947" i="1" s="1"/>
  <c r="V2783" i="1"/>
  <c r="W2783" i="1" s="1"/>
  <c r="W2506" i="1"/>
  <c r="V3116" i="1"/>
  <c r="W3116" i="1" s="1"/>
  <c r="V3316" i="1"/>
  <c r="W3316" i="1" s="1"/>
  <c r="V3022" i="1"/>
  <c r="W3022" i="1" s="1"/>
  <c r="V2764" i="1"/>
  <c r="W2764" i="1" s="1"/>
  <c r="V2576" i="1"/>
  <c r="W2576" i="1" s="1"/>
  <c r="V2623" i="1"/>
  <c r="W2623" i="1" s="1"/>
  <c r="W3391" i="1"/>
  <c r="W3164" i="1"/>
  <c r="V3298" i="1"/>
  <c r="W3298" i="1" s="1"/>
  <c r="W2447" i="1"/>
  <c r="W2188" i="1"/>
  <c r="V3043" i="1"/>
  <c r="W3043" i="1" s="1"/>
  <c r="V2895" i="1"/>
  <c r="W2895" i="1" s="1"/>
  <c r="W3171" i="1"/>
  <c r="W2449" i="1"/>
  <c r="W2251" i="1"/>
  <c r="V3066" i="1"/>
  <c r="W3066" i="1" s="1"/>
  <c r="V3059" i="1"/>
  <c r="W3059" i="1" s="1"/>
  <c r="W3360" i="1"/>
  <c r="W3325" i="1"/>
  <c r="W3201" i="1"/>
  <c r="W3141" i="1"/>
  <c r="W3016" i="1"/>
  <c r="W2510" i="1"/>
  <c r="W2509" i="1"/>
  <c r="V2904" i="1"/>
  <c r="W2904" i="1" s="1"/>
  <c r="V3034" i="1"/>
  <c r="W3034" i="1" s="1"/>
  <c r="V3371" i="1"/>
  <c r="W3371" i="1" s="1"/>
  <c r="V2505" i="1"/>
  <c r="W2505" i="1" s="1"/>
  <c r="V3175" i="1"/>
  <c r="W3175" i="1" s="1"/>
  <c r="W3072" i="1"/>
  <c r="V3268" i="1"/>
  <c r="W3268" i="1" s="1"/>
  <c r="V3367" i="1"/>
  <c r="W3367" i="1" s="1"/>
  <c r="V3076" i="1"/>
  <c r="W3076" i="1" s="1"/>
  <c r="V2560" i="1"/>
  <c r="W2560" i="1" s="1"/>
  <c r="W3263" i="1"/>
  <c r="V3354" i="1"/>
  <c r="W3354" i="1" s="1"/>
  <c r="V3178" i="1"/>
  <c r="W3178" i="1" s="1"/>
  <c r="V3213" i="1"/>
  <c r="W3213" i="1" s="1"/>
  <c r="V3406" i="1"/>
  <c r="W3406" i="1" s="1"/>
  <c r="V3275" i="1"/>
  <c r="W3275" i="1" s="1"/>
  <c r="V2784" i="1"/>
  <c r="W2784" i="1" s="1"/>
  <c r="V3245" i="1"/>
  <c r="W3245" i="1" s="1"/>
  <c r="V3163" i="1"/>
  <c r="W3163" i="1" s="1"/>
  <c r="V3209" i="1"/>
  <c r="W3209" i="1" s="1"/>
  <c r="V3044" i="1"/>
  <c r="W3044" i="1" s="1"/>
  <c r="V2889" i="1"/>
  <c r="W2889" i="1" s="1"/>
  <c r="V3243" i="1"/>
  <c r="W3243" i="1" s="1"/>
  <c r="V2757" i="1"/>
  <c r="W2757" i="1" s="1"/>
  <c r="V2651" i="1"/>
  <c r="W2651" i="1" s="1"/>
  <c r="V2495" i="1"/>
  <c r="W2495" i="1" s="1"/>
  <c r="V2707" i="1"/>
  <c r="W2707" i="1" s="1"/>
  <c r="V2314" i="1"/>
  <c r="W2314" i="1" s="1"/>
  <c r="V3401" i="1"/>
  <c r="W3401" i="1" s="1"/>
  <c r="V3007" i="1"/>
  <c r="W3007" i="1" s="1"/>
  <c r="V3068" i="1"/>
  <c r="W3068" i="1" s="1"/>
  <c r="V2873" i="1"/>
  <c r="W2873" i="1" s="1"/>
  <c r="V2511" i="1"/>
  <c r="W2511" i="1" s="1"/>
  <c r="V3149" i="1"/>
  <c r="W3149" i="1" s="1"/>
  <c r="V3027" i="1"/>
  <c r="W3027" i="1" s="1"/>
  <c r="V2434" i="1"/>
  <c r="W2434" i="1" s="1"/>
  <c r="V2485" i="1"/>
  <c r="W2485" i="1" s="1"/>
  <c r="V2490" i="1"/>
  <c r="W2490" i="1" s="1"/>
  <c r="V2786" i="1"/>
  <c r="W2786" i="1" s="1"/>
  <c r="V3251" i="1"/>
  <c r="W3251" i="1" s="1"/>
  <c r="V3037" i="1"/>
  <c r="W3037" i="1" s="1"/>
  <c r="V3210" i="1"/>
  <c r="W3210" i="1" s="1"/>
  <c r="V2590" i="1"/>
  <c r="W2590" i="1" s="1"/>
  <c r="V2872" i="1"/>
  <c r="W2872" i="1" s="1"/>
  <c r="V2460" i="1"/>
  <c r="W2460" i="1" s="1"/>
  <c r="V2699" i="1"/>
  <c r="W2699" i="1" s="1"/>
  <c r="V2595" i="1"/>
  <c r="W2595" i="1" s="1"/>
  <c r="V2384" i="1"/>
  <c r="W2384" i="1" s="1"/>
  <c r="V2482" i="1"/>
  <c r="W2482" i="1" s="1"/>
  <c r="V2287" i="1"/>
  <c r="W2287" i="1" s="1"/>
  <c r="V3384" i="1"/>
  <c r="W3384" i="1" s="1"/>
  <c r="V3216" i="1"/>
  <c r="W3216" i="1" s="1"/>
  <c r="V3301" i="1"/>
  <c r="W3301" i="1" s="1"/>
  <c r="V2934" i="1"/>
  <c r="W2934" i="1" s="1"/>
  <c r="V3255" i="1"/>
  <c r="W3255" i="1" s="1"/>
  <c r="V2981" i="1"/>
  <c r="W2981" i="1" s="1"/>
  <c r="V2861" i="1"/>
  <c r="W2861" i="1" s="1"/>
  <c r="V2979" i="1"/>
  <c r="W2979" i="1" s="1"/>
  <c r="V2800" i="1"/>
  <c r="W2800" i="1" s="1"/>
  <c r="V3048" i="1"/>
  <c r="W3048" i="1" s="1"/>
  <c r="V2565" i="1"/>
  <c r="W2565" i="1" s="1"/>
  <c r="V2909" i="1"/>
  <c r="W2909" i="1" s="1"/>
  <c r="V2613" i="1"/>
  <c r="W2613" i="1" s="1"/>
  <c r="V2452" i="1"/>
  <c r="W2452" i="1" s="1"/>
  <c r="V3099" i="1"/>
  <c r="W3099" i="1" s="1"/>
  <c r="V2368" i="1"/>
  <c r="W2368" i="1" s="1"/>
  <c r="V2474" i="1"/>
  <c r="W2474" i="1" s="1"/>
  <c r="V3369" i="1"/>
  <c r="W3369" i="1" s="1"/>
  <c r="V3299" i="1"/>
  <c r="W3299" i="1" s="1"/>
  <c r="V3109" i="1"/>
  <c r="W3109" i="1" s="1"/>
  <c r="V2980" i="1"/>
  <c r="W2980" i="1" s="1"/>
  <c r="V3288" i="1"/>
  <c r="W3288" i="1" s="1"/>
  <c r="V3036" i="1"/>
  <c r="W3036" i="1" s="1"/>
  <c r="V2545" i="1"/>
  <c r="W2545" i="1" s="1"/>
  <c r="V2702" i="1"/>
  <c r="W2702" i="1" s="1"/>
  <c r="V2347" i="1"/>
  <c r="W2347" i="1" s="1"/>
  <c r="V2444" i="1"/>
  <c r="W2444" i="1" s="1"/>
  <c r="V2376" i="1"/>
  <c r="W2376" i="1" s="1"/>
  <c r="V2297" i="1"/>
  <c r="W2297" i="1" s="1"/>
  <c r="V2665" i="1"/>
  <c r="W2665" i="1" s="1"/>
  <c r="V2243" i="1"/>
  <c r="W2243" i="1" s="1"/>
  <c r="V3414" i="1"/>
  <c r="W3414" i="1" s="1"/>
  <c r="V3270" i="1"/>
  <c r="W3270" i="1" s="1"/>
  <c r="V3126" i="1"/>
  <c r="W3126" i="1" s="1"/>
  <c r="V3307" i="1"/>
  <c r="W3307" i="1" s="1"/>
  <c r="V3024" i="1"/>
  <c r="W3024" i="1" s="1"/>
  <c r="V2927" i="1"/>
  <c r="W2927" i="1" s="1"/>
  <c r="V3139" i="1"/>
  <c r="W3139" i="1" s="1"/>
  <c r="V2975" i="1"/>
  <c r="W2975" i="1" s="1"/>
  <c r="V3038" i="1"/>
  <c r="W3038" i="1" s="1"/>
  <c r="V2949" i="1"/>
  <c r="W2949" i="1" s="1"/>
  <c r="V2769" i="1"/>
  <c r="W2769" i="1" s="1"/>
  <c r="V2525" i="1"/>
  <c r="W2525" i="1" s="1"/>
  <c r="V2538" i="1"/>
  <c r="W2538" i="1" s="1"/>
  <c r="V2789" i="1"/>
  <c r="W2789" i="1" s="1"/>
  <c r="V2489" i="1"/>
  <c r="W2489" i="1" s="1"/>
  <c r="V2957" i="1"/>
  <c r="W2957" i="1" s="1"/>
  <c r="V2898" i="1"/>
  <c r="W2898" i="1" s="1"/>
  <c r="V2585" i="1"/>
  <c r="W2585" i="1" s="1"/>
  <c r="V2339" i="1"/>
  <c r="W2339" i="1" s="1"/>
  <c r="V2436" i="1"/>
  <c r="W2436" i="1" s="1"/>
  <c r="V2513" i="1"/>
  <c r="W2513" i="1" s="1"/>
  <c r="V2360" i="1"/>
  <c r="W2360" i="1" s="1"/>
  <c r="V2826" i="1"/>
  <c r="W2826" i="1" s="1"/>
  <c r="V2578" i="1"/>
  <c r="W2578" i="1" s="1"/>
  <c r="V2273" i="1"/>
  <c r="W2273" i="1" s="1"/>
  <c r="V2877" i="1"/>
  <c r="W2877" i="1" s="1"/>
  <c r="V3014" i="1"/>
  <c r="W3014" i="1" s="1"/>
  <c r="V3279" i="1"/>
  <c r="W3279" i="1" s="1"/>
  <c r="V3281" i="1"/>
  <c r="W3281" i="1" s="1"/>
  <c r="V3337" i="1"/>
  <c r="W3337" i="1" s="1"/>
  <c r="V2515" i="1"/>
  <c r="W2515" i="1" s="1"/>
  <c r="V2442" i="1"/>
  <c r="W2442" i="1" s="1"/>
  <c r="V2304" i="1"/>
  <c r="W2304" i="1" s="1"/>
  <c r="V2334" i="1"/>
  <c r="W2334" i="1" s="1"/>
  <c r="V2839" i="1"/>
  <c r="W2839" i="1" s="1"/>
  <c r="V3385" i="1"/>
  <c r="W3385" i="1" s="1"/>
  <c r="V2187" i="1"/>
  <c r="W2187" i="1" s="1"/>
  <c r="V3402" i="1"/>
  <c r="W3402" i="1" s="1"/>
  <c r="V3134" i="1"/>
  <c r="W3134" i="1" s="1"/>
  <c r="V3177" i="1"/>
  <c r="W3177" i="1" s="1"/>
  <c r="V2928" i="1"/>
  <c r="W2928" i="1" s="1"/>
  <c r="V2893" i="1"/>
  <c r="W2893" i="1" s="1"/>
  <c r="V2836" i="1"/>
  <c r="W2836" i="1" s="1"/>
  <c r="V2619" i="1"/>
  <c r="W2619" i="1" s="1"/>
  <c r="V2793" i="1"/>
  <c r="W2793" i="1" s="1"/>
  <c r="V2691" i="1"/>
  <c r="W2691" i="1" s="1"/>
  <c r="V2491" i="1"/>
  <c r="W2491" i="1" s="1"/>
  <c r="V2400" i="1"/>
  <c r="W2400" i="1" s="1"/>
  <c r="V3285" i="1"/>
  <c r="W3285" i="1" s="1"/>
  <c r="V2987" i="1"/>
  <c r="W2987" i="1" s="1"/>
  <c r="V3005" i="1"/>
  <c r="W3005" i="1" s="1"/>
  <c r="V2863" i="1"/>
  <c r="W2863" i="1" s="1"/>
  <c r="V2998" i="1"/>
  <c r="W2998" i="1" s="1"/>
  <c r="V2737" i="1"/>
  <c r="W2737" i="1" s="1"/>
  <c r="V2483" i="1"/>
  <c r="W2483" i="1" s="1"/>
  <c r="V2991" i="1"/>
  <c r="W2991" i="1" s="1"/>
  <c r="V2325" i="1"/>
  <c r="W2325" i="1" s="1"/>
  <c r="V3271" i="1"/>
  <c r="W3271" i="1" s="1"/>
  <c r="V3374" i="1"/>
  <c r="W3374" i="1" s="1"/>
  <c r="V3155" i="1"/>
  <c r="W3155" i="1" s="1"/>
  <c r="V2856" i="1"/>
  <c r="W2856" i="1" s="1"/>
  <c r="V2907" i="1"/>
  <c r="W2907" i="1" s="1"/>
  <c r="V2865" i="1"/>
  <c r="W2865" i="1" s="1"/>
  <c r="V2768" i="1"/>
  <c r="W2768" i="1" s="1"/>
  <c r="V2408" i="1"/>
  <c r="W2408" i="1" s="1"/>
  <c r="V2674" i="1"/>
  <c r="W2674" i="1" s="1"/>
  <c r="V2831" i="1"/>
  <c r="W2831" i="1" s="1"/>
  <c r="V2268" i="1"/>
  <c r="W2268" i="1" s="1"/>
  <c r="V3247" i="1"/>
  <c r="W3247" i="1" s="1"/>
  <c r="V3136" i="1"/>
  <c r="W3136" i="1" s="1"/>
  <c r="V3154" i="1"/>
  <c r="W3154" i="1" s="1"/>
  <c r="V3309" i="1"/>
  <c r="W3309" i="1" s="1"/>
  <c r="V3026" i="1"/>
  <c r="W3026" i="1" s="1"/>
  <c r="V3361" i="1"/>
  <c r="W3361" i="1" s="1"/>
  <c r="V3052" i="1"/>
  <c r="W3052" i="1" s="1"/>
  <c r="V3300" i="1"/>
  <c r="W3300" i="1" s="1"/>
  <c r="V2891" i="1"/>
  <c r="W2891" i="1" s="1"/>
  <c r="V2423" i="1"/>
  <c r="W2423" i="1" s="1"/>
  <c r="V3106" i="1"/>
  <c r="W3106" i="1" s="1"/>
  <c r="V3317" i="1"/>
  <c r="W3317" i="1" s="1"/>
  <c r="V3234" i="1"/>
  <c r="W3234" i="1" s="1"/>
  <c r="V3231" i="1"/>
  <c r="W3231" i="1" s="1"/>
  <c r="V3128" i="1"/>
  <c r="W3128" i="1" s="1"/>
  <c r="V3080" i="1"/>
  <c r="W3080" i="1" s="1"/>
  <c r="V3009" i="1"/>
  <c r="W3009" i="1" s="1"/>
  <c r="V3103" i="1"/>
  <c r="W3103" i="1" s="1"/>
  <c r="V3319" i="1"/>
  <c r="W3319" i="1" s="1"/>
  <c r="V3167" i="1"/>
  <c r="W3167" i="1" s="1"/>
  <c r="V2970" i="1"/>
  <c r="W2970" i="1" s="1"/>
  <c r="V3233" i="1"/>
  <c r="W3233" i="1" s="1"/>
  <c r="V3118" i="1"/>
  <c r="W3118" i="1" s="1"/>
  <c r="V2760" i="1"/>
  <c r="W2760" i="1" s="1"/>
  <c r="V3110" i="1"/>
  <c r="W3110" i="1" s="1"/>
  <c r="V2884" i="1"/>
  <c r="W2884" i="1" s="1"/>
  <c r="V2638" i="1"/>
  <c r="W2638" i="1" s="1"/>
  <c r="V2528" i="1"/>
  <c r="W2528" i="1" s="1"/>
  <c r="V2659" i="1"/>
  <c r="W2659" i="1" s="1"/>
  <c r="V2848" i="1"/>
  <c r="W2848" i="1" s="1"/>
  <c r="V2679" i="1"/>
  <c r="W2679" i="1" s="1"/>
  <c r="V2729" i="1"/>
  <c r="W2729" i="1" s="1"/>
  <c r="V2654" i="1"/>
  <c r="W2654" i="1" s="1"/>
  <c r="V2557" i="1"/>
  <c r="W2557" i="1" s="1"/>
  <c r="V2350" i="1"/>
  <c r="W2350" i="1" s="1"/>
  <c r="V2270" i="1"/>
  <c r="W2270" i="1" s="1"/>
  <c r="V2428" i="1"/>
  <c r="W2428" i="1" s="1"/>
  <c r="V2466" i="1"/>
  <c r="W2466" i="1" s="1"/>
  <c r="V2749" i="1"/>
  <c r="W2749" i="1" s="1"/>
  <c r="V2547" i="1"/>
  <c r="W2547" i="1" s="1"/>
  <c r="V2227" i="1"/>
  <c r="W2227" i="1" s="1"/>
  <c r="V3238" i="1"/>
  <c r="W3238" i="1" s="1"/>
  <c r="V3182" i="1"/>
  <c r="W3182" i="1" s="1"/>
  <c r="V2788" i="1"/>
  <c r="W2788" i="1" s="1"/>
  <c r="V2416" i="1"/>
  <c r="W2416" i="1" s="1"/>
  <c r="V3262" i="1"/>
  <c r="W3262" i="1" s="1"/>
  <c r="V3203" i="1"/>
  <c r="W3203" i="1" s="1"/>
  <c r="V2476" i="1"/>
  <c r="W2476" i="1" s="1"/>
  <c r="V2427" i="1"/>
  <c r="W2427" i="1" s="1"/>
  <c r="V2392" i="1"/>
  <c r="W2392" i="1" s="1"/>
  <c r="V3379" i="1"/>
  <c r="W3379" i="1" s="1"/>
  <c r="V3261" i="1"/>
  <c r="W3261" i="1" s="1"/>
  <c r="V3146" i="1"/>
  <c r="W3146" i="1" s="1"/>
  <c r="V2914" i="1"/>
  <c r="W2914" i="1" s="1"/>
  <c r="V2740" i="1"/>
  <c r="W2740" i="1" s="1"/>
  <c r="V2733" i="1"/>
  <c r="W2733" i="1" s="1"/>
  <c r="V2496" i="1"/>
  <c r="W2496" i="1" s="1"/>
  <c r="V2596" i="1"/>
  <c r="W2596" i="1" s="1"/>
  <c r="V2929" i="1"/>
  <c r="W2929" i="1" s="1"/>
  <c r="V3148" i="1"/>
  <c r="W3148" i="1" s="1"/>
  <c r="V3035" i="1"/>
  <c r="W3035" i="1" s="1"/>
  <c r="V2738" i="1"/>
  <c r="W2738" i="1" s="1"/>
  <c r="V2715" i="1"/>
  <c r="W2715" i="1" s="1"/>
  <c r="V2518" i="1"/>
  <c r="W2518" i="1" s="1"/>
  <c r="V2982" i="1"/>
  <c r="W2982" i="1" s="1"/>
  <c r="V3382" i="1"/>
  <c r="W3382" i="1" s="1"/>
  <c r="V3239" i="1"/>
  <c r="W3239" i="1" s="1"/>
  <c r="V2953" i="1"/>
  <c r="W2953" i="1" s="1"/>
  <c r="V3392" i="1"/>
  <c r="W3392" i="1" s="1"/>
  <c r="V3396" i="1"/>
  <c r="W3396" i="1" s="1"/>
  <c r="V3119" i="1"/>
  <c r="W3119" i="1" s="1"/>
  <c r="V3353" i="1"/>
  <c r="W3353" i="1" s="1"/>
  <c r="V3060" i="1"/>
  <c r="W3060" i="1" s="1"/>
  <c r="V3073" i="1"/>
  <c r="W3073" i="1" s="1"/>
  <c r="V2905" i="1"/>
  <c r="W2905" i="1" s="1"/>
  <c r="V3165" i="1"/>
  <c r="W3165" i="1" s="1"/>
  <c r="V2647" i="1"/>
  <c r="W2647" i="1" s="1"/>
  <c r="V2771" i="1"/>
  <c r="W2771" i="1" s="1"/>
  <c r="V2629" i="1"/>
  <c r="W2629" i="1" s="1"/>
  <c r="V2520" i="1"/>
  <c r="W2520" i="1" s="1"/>
  <c r="V2630" i="1"/>
  <c r="W2630" i="1" s="1"/>
  <c r="V2798" i="1"/>
  <c r="W2798" i="1" s="1"/>
  <c r="V2938" i="1"/>
  <c r="W2938" i="1" s="1"/>
  <c r="V2710" i="1"/>
  <c r="W2710" i="1" s="1"/>
  <c r="V2458" i="1"/>
  <c r="W2458" i="1" s="1"/>
  <c r="V2644" i="1"/>
  <c r="W2644" i="1" s="1"/>
  <c r="V2468" i="1"/>
  <c r="W2468" i="1" s="1"/>
  <c r="V3204" i="1"/>
  <c r="W3204" i="1" s="1"/>
  <c r="V2855" i="1"/>
  <c r="W2855" i="1" s="1"/>
  <c r="V2342" i="1"/>
  <c r="W2342" i="1" s="1"/>
  <c r="V2450" i="1"/>
  <c r="W2450" i="1" s="1"/>
  <c r="V2197" i="1"/>
  <c r="W2197" i="1" s="1"/>
  <c r="V2582" i="1"/>
  <c r="W2582" i="1" s="1"/>
  <c r="V2217" i="1"/>
  <c r="W2217" i="1" s="1"/>
  <c r="D62" i="7" l="1"/>
  <c r="D61" i="7"/>
  <c r="D57" i="7"/>
  <c r="D56" i="7"/>
  <c r="D55" i="7"/>
  <c r="D54" i="7"/>
  <c r="D53" i="7"/>
  <c r="D52" i="7"/>
  <c r="D51" i="7"/>
  <c r="D50" i="7"/>
  <c r="D49" i="7"/>
  <c r="D47" i="7"/>
  <c r="D45" i="7"/>
  <c r="D44" i="7"/>
  <c r="D43" i="7"/>
  <c r="D42" i="7"/>
  <c r="D41" i="7"/>
  <c r="D40" i="7"/>
  <c r="D39" i="7"/>
  <c r="D38" i="7"/>
  <c r="D37" i="7"/>
  <c r="D36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18" i="7"/>
  <c r="D16" i="7"/>
  <c r="D15" i="7"/>
  <c r="D14" i="7"/>
  <c r="D10" i="7"/>
  <c r="D8" i="7"/>
  <c r="D6" i="7"/>
  <c r="D3" i="7"/>
  <c r="D2" i="7"/>
  <c r="L62" i="7" l="1"/>
  <c r="D35" i="7" l="1"/>
  <c r="L22" i="7" l="1"/>
  <c r="J2" i="6" l="1"/>
  <c r="D2" i="3" l="1"/>
</calcChain>
</file>

<file path=xl/sharedStrings.xml><?xml version="1.0" encoding="utf-8"?>
<sst xmlns="http://schemas.openxmlformats.org/spreadsheetml/2006/main" count="42871" uniqueCount="6198">
  <si>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</si>
  <si>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</si>
  <si>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</si>
  <si>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</si>
  <si>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</si>
  <si>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</si>
  <si>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</si>
  <si>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</si>
  <si>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</si>
  <si>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</si>
  <si>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</si>
  <si>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</si>
  <si>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</si>
  <si>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</si>
  <si>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</si>
  <si>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</si>
  <si>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</si>
  <si>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</si>
  <si>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</si>
  <si>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</si>
  <si>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</si>
  <si>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</si>
  <si>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</si>
  <si>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</si>
  <si>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</si>
  <si>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</si>
  <si>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</si>
  <si>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</si>
  <si>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</si>
  <si>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</si>
  <si>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</si>
  <si>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</si>
  <si>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</si>
  <si>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</si>
  <si>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</si>
  <si>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</si>
  <si>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</si>
  <si>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</si>
  <si>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</si>
  <si>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</si>
  <si>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</si>
  <si>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</si>
  <si>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</si>
  <si>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</si>
  <si>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</si>
  <si>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</si>
  <si>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</si>
  <si>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</si>
  <si>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</si>
  <si>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</si>
  <si>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</si>
  <si>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</si>
  <si>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</si>
  <si>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</si>
  <si>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</si>
  <si>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</si>
  <si>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</si>
  <si>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</si>
  <si>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</si>
  <si>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</si>
  <si>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</si>
  <si>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</si>
  <si>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</si>
  <si>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</si>
  <si>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</si>
  <si>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</si>
  <si>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</si>
  <si>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</si>
  <si>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</si>
  <si>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</si>
  <si>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</si>
  <si>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</si>
  <si>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</si>
  <si>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</si>
  <si>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</si>
  <si>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</si>
  <si>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</si>
  <si>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</si>
  <si>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</si>
  <si>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</si>
  <si>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</si>
  <si>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</si>
  <si>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</si>
  <si>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</si>
  <si>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</si>
  <si>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</si>
  <si>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</si>
  <si>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</si>
  <si>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</si>
  <si>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MIGHTY MACHINERY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</si>
  <si>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</si>
  <si>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</si>
  <si>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</si>
  <si>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</si>
  <si>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</si>
  <si>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</si>
  <si>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</si>
  <si>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</si>
  <si>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</si>
  <si>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</si>
  <si>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</si>
  <si>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</si>
  <si>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</si>
  <si>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</si>
  <si>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</si>
  <si>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</si>
  <si>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</si>
  <si>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</si>
  <si>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</si>
  <si>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</si>
  <si>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</si>
  <si>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</si>
  <si>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</si>
  <si>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</si>
  <si>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</si>
  <si>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LTS LOGISTIC TRANSPORT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</si>
  <si>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</si>
  <si>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</si>
  <si>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</si>
  <si>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</si>
  <si>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</si>
  <si>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</si>
  <si>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</si>
  <si>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</si>
  <si>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</si>
  <si>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</si>
  <si>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</si>
  <si>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</si>
  <si>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</si>
  <si>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</si>
  <si>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</si>
  <si>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</si>
  <si>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</si>
  <si>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</si>
  <si>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</si>
  <si>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</si>
  <si>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</si>
  <si>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</si>
  <si>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</si>
  <si>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</si>
  <si>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</si>
  <si>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COMPTOIR I.N.J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</si>
  <si>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</si>
  <si>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</si>
  <si>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</si>
  <si>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</si>
  <si>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</si>
  <si>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</si>
  <si>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</si>
  <si>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</si>
  <si>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</si>
  <si>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</si>
  <si>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</si>
  <si>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</si>
  <si>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</si>
  <si>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</si>
  <si>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</si>
  <si>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</si>
  <si>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</si>
  <si>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</si>
  <si>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</si>
  <si>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</si>
  <si>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</si>
  <si>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</si>
  <si>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</si>
  <si>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</si>
  <si>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</si>
  <si>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</si>
  <si>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</si>
  <si>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</si>
  <si>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</si>
  <si>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</si>
  <si>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</si>
  <si>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</si>
  <si>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</si>
  <si>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</si>
  <si>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</si>
  <si>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</si>
  <si>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</si>
  <si>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</si>
  <si>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</si>
  <si>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</si>
  <si>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</si>
  <si>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</si>
  <si>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</si>
  <si>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</si>
  <si>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</si>
  <si>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</si>
  <si>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</si>
  <si>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</si>
  <si>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</si>
  <si>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</si>
  <si>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</si>
  <si>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</si>
  <si>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</si>
  <si>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</si>
  <si>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</si>
  <si>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</si>
  <si>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</si>
  <si>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</si>
  <si>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</si>
  <si>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</si>
  <si>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</si>
  <si>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</si>
  <si>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</si>
  <si>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</si>
  <si>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</si>
  <si>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</si>
  <si>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</si>
  <si>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</si>
  <si>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</si>
  <si>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</si>
  <si>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</si>
  <si>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</si>
  <si>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</si>
  <si>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</si>
  <si>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</si>
  <si>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</si>
  <si>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</si>
  <si>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</si>
  <si>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</si>
  <si>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</si>
  <si>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</si>
  <si>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</si>
  <si>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</si>
  <si>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</si>
  <si>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</si>
  <si>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</si>
  <si>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</si>
  <si>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</si>
  <si>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</si>
  <si>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</si>
  <si>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</si>
  <si>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</si>
  <si>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</si>
  <si>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</si>
  <si>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</si>
  <si>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</si>
  <si>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</si>
  <si>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</si>
  <si>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</si>
  <si>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</si>
  <si>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</si>
  <si>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</si>
  <si>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</si>
  <si>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</si>
  <si>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</si>
  <si>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</si>
  <si>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</si>
  <si>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</si>
  <si>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</si>
  <si>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</si>
  <si>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</si>
  <si>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</si>
  <si>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</si>
  <si>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</si>
  <si>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</si>
  <si>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</si>
  <si>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</si>
  <si>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</si>
  <si>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</si>
  <si>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</si>
  <si>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</si>
  <si>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</si>
  <si>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</si>
  <si>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</si>
  <si>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</si>
  <si>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</si>
  <si>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</si>
  <si>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</si>
  <si>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</si>
  <si>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</si>
  <si>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</si>
  <si>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</si>
  <si>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</si>
  <si>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</si>
  <si>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</si>
  <si>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</si>
  <si>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</si>
  <si>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</si>
  <si>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</si>
  <si>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</si>
  <si>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</si>
  <si>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</si>
  <si>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</si>
  <si>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</si>
  <si>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</si>
  <si>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</si>
  <si>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</si>
  <si>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</si>
  <si>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</si>
  <si>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</si>
  <si>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</si>
  <si>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</si>
  <si>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</si>
  <si>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</si>
  <si>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</si>
  <si>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</si>
  <si>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</si>
  <si>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</si>
  <si>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</si>
  <si>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</si>
  <si>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</si>
  <si>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</si>
  <si>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</si>
  <si>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</si>
  <si>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</si>
  <si>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</si>
  <si>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</si>
  <si>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</si>
  <si>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</si>
  <si>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</si>
  <si>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</si>
  <si>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</si>
  <si>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</si>
  <si>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</si>
  <si>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</si>
  <si>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</si>
  <si>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</si>
  <si>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</si>
  <si>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</si>
  <si>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</si>
  <si>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</si>
  <si>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</si>
  <si>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</si>
  <si>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</si>
  <si>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</si>
  <si>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</si>
  <si>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</si>
  <si>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</si>
  <si>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</si>
  <si>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</si>
  <si>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</si>
  <si>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</si>
  <si>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</si>
  <si>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</si>
  <si>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</si>
  <si>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</si>
  <si>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</si>
  <si>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</si>
  <si>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</si>
  <si>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</si>
  <si>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</si>
  <si>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</si>
  <si>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</si>
  <si>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</si>
  <si>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</si>
  <si>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</si>
  <si>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</si>
  <si>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</si>
  <si>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</si>
  <si>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</si>
  <si>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</si>
  <si>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</si>
  <si>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</si>
  <si>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</si>
  <si>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</si>
  <si>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</si>
  <si>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</si>
  <si>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</si>
  <si>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</si>
  <si>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</si>
  <si>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</si>
  <si>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</si>
  <si>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</si>
  <si>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</si>
  <si>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</si>
  <si>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</si>
  <si>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</si>
  <si>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</si>
  <si>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</si>
  <si>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</si>
  <si>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</si>
  <si>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</si>
  <si>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</si>
  <si>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</si>
  <si>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</si>
  <si>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</si>
  <si>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</si>
  <si>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</si>
  <si>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</si>
  <si>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</si>
  <si>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</si>
  <si>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</si>
  <si>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</si>
  <si>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</si>
  <si>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</si>
  <si>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</si>
  <si>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</si>
  <si>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</si>
  <si>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</si>
  <si>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</si>
  <si>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</si>
  <si>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</si>
  <si>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</si>
  <si>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</si>
  <si>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</si>
  <si>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</si>
  <si>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</si>
  <si>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</si>
  <si>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</si>
  <si>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</si>
  <si>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</si>
  <si>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</si>
  <si>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</si>
  <si>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</si>
  <si>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</si>
  <si>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</si>
  <si>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</si>
  <si>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</si>
  <si>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</si>
  <si>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</si>
  <si>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</si>
  <si>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</si>
  <si>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</si>
  <si>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</si>
  <si>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</si>
  <si>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</si>
  <si>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</si>
  <si>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</si>
  <si>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</si>
  <si>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</si>
  <si>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</si>
  <si>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</si>
  <si>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</si>
  <si>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</si>
  <si>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</si>
  <si>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</si>
  <si>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</si>
  <si>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</si>
  <si>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</si>
  <si>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</si>
  <si>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</si>
  <si>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</si>
  <si>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</si>
  <si>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</si>
  <si>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</si>
  <si>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</si>
  <si>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</si>
  <si>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</si>
  <si>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</si>
  <si>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</si>
  <si>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</si>
  <si>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</si>
  <si>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</si>
  <si>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</si>
  <si>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</si>
  <si>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</si>
  <si>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</si>
  <si>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</si>
  <si>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</si>
  <si>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</si>
  <si>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</si>
  <si>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</si>
  <si>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</si>
  <si>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</si>
  <si>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</si>
  <si>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</si>
  <si>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</si>
  <si>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</si>
  <si>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</si>
  <si>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</si>
  <si>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</si>
  <si>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</si>
  <si>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</si>
  <si>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</si>
  <si>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</si>
  <si>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</si>
  <si>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</si>
  <si>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</si>
  <si>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</si>
  <si>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</si>
  <si>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</si>
  <si>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</si>
  <si>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</si>
  <si>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</si>
  <si>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</si>
  <si>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</si>
  <si>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</si>
  <si>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</si>
  <si>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</si>
  <si>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</si>
  <si>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</si>
  <si>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</si>
  <si>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</si>
  <si>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</si>
  <si>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</si>
  <si>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</si>
  <si>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</si>
  <si>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</si>
  <si>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</si>
  <si>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</si>
  <si>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</si>
  <si>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</si>
  <si>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</si>
  <si>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</si>
  <si>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</si>
  <si>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</si>
  <si>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</si>
  <si>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</si>
  <si>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</si>
  <si>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</si>
  <si>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</si>
  <si>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</si>
  <si>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</si>
  <si>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</si>
  <si>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</si>
  <si>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</si>
  <si>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</si>
  <si>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</si>
  <si>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</si>
  <si>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</si>
  <si>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</si>
  <si>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</si>
  <si>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</si>
  <si>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</si>
  <si>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</si>
  <si>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</si>
  <si>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</si>
  <si>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</si>
  <si>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</si>
  <si>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</si>
  <si>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</si>
  <si>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</si>
  <si>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</si>
  <si>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</si>
  <si>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</si>
  <si>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</si>
  <si>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</si>
  <si>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</si>
  <si>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</si>
  <si>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</si>
  <si>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</si>
  <si>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</si>
  <si>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</si>
  <si>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</si>
  <si>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</si>
  <si>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</si>
  <si>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</si>
  <si>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</si>
  <si>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</si>
  <si>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</si>
  <si>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</si>
  <si>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</si>
  <si>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</si>
  <si>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</si>
  <si>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</si>
  <si>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</si>
  <si>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</si>
  <si>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</si>
  <si>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</si>
  <si>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</si>
  <si>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</si>
  <si>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</si>
  <si>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</si>
  <si>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</si>
  <si>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</si>
  <si>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</si>
  <si>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</si>
  <si>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</si>
  <si>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</si>
  <si>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</si>
  <si>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</si>
  <si>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</si>
  <si>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</si>
  <si>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</si>
  <si>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</si>
  <si>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</si>
  <si>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</si>
  <si>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</si>
  <si>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</si>
  <si>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</si>
  <si>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</si>
  <si>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</si>
  <si>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</si>
  <si>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</si>
  <si>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</si>
  <si>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</si>
  <si>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</si>
  <si>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</si>
  <si>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</si>
  <si>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</si>
  <si>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</si>
  <si>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</si>
  <si>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</si>
  <si>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</si>
  <si>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</si>
  <si>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</si>
  <si>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</si>
  <si>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</si>
  <si>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</si>
  <si>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</si>
  <si>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</si>
  <si>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</si>
  <si>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</si>
  <si>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</si>
  <si>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</si>
  <si>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</si>
  <si>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</si>
  <si>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</si>
  <si>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</si>
  <si>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</si>
  <si>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</si>
  <si>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</si>
  <si>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</si>
  <si>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</si>
  <si>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</si>
  <si>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</si>
  <si>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</si>
  <si>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</si>
  <si>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</si>
  <si>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</si>
  <si>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</si>
  <si>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</si>
  <si>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</si>
  <si>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</si>
  <si>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</si>
  <si>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</si>
  <si>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</si>
  <si>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</si>
  <si>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</si>
  <si>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</si>
  <si>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</si>
  <si>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</si>
  <si>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</si>
  <si>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</si>
  <si>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</si>
  <si>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</si>
  <si>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</si>
  <si>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</si>
  <si>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</si>
  <si>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</si>
  <si>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</si>
  <si>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</si>
  <si>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</si>
  <si>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</si>
  <si>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</si>
  <si>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</si>
  <si>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</si>
  <si>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</si>
  <si>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</si>
  <si>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</si>
  <si>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</si>
  <si>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</si>
  <si>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</si>
  <si>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</si>
  <si>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</si>
  <si>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</si>
  <si>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</si>
  <si>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</si>
  <si>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</si>
  <si>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</si>
  <si>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</si>
  <si>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</si>
  <si>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</si>
  <si>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</si>
  <si>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</si>
  <si>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</si>
  <si>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</si>
  <si>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</si>
  <si>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GRAVETTE G1 6/20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</si>
  <si>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</si>
  <si>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</si>
  <si>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</si>
  <si>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</si>
  <si>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</si>
  <si>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</si>
  <si>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</si>
  <si>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</si>
  <si>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</si>
  <si>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</si>
  <si>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</si>
  <si>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</si>
  <si>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</si>
  <si>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</si>
  <si>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</si>
  <si>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</si>
  <si>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</si>
  <si>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</si>
  <si>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</si>
  <si>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</si>
  <si>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</si>
  <si>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</si>
  <si>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</si>
  <si>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</si>
  <si>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</si>
  <si>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</si>
  <si>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</si>
  <si>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</si>
  <si>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</si>
  <si>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</si>
  <si>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</si>
  <si>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</si>
  <si>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</si>
  <si>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</si>
  <si>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</si>
  <si>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</si>
  <si>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</si>
  <si>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</si>
  <si>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</si>
  <si>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</si>
  <si>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</si>
  <si>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</si>
  <si>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</si>
  <si>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</si>
  <si>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</si>
  <si>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</si>
  <si>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</si>
  <si>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</si>
  <si>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</si>
  <si>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</si>
  <si>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</si>
  <si>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</si>
  <si>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</si>
  <si>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</si>
  <si>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</si>
  <si>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</si>
  <si>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</si>
  <si>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</si>
  <si>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</si>
  <si>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</si>
  <si>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</si>
  <si>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</si>
  <si>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</si>
  <si>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</si>
  <si>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</si>
  <si>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</si>
  <si>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</si>
  <si>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</si>
  <si>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</si>
  <si>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</si>
  <si>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</si>
  <si>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</si>
  <si>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</si>
  <si>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</si>
  <si>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</si>
  <si>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</si>
  <si>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</si>
  <si>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</si>
  <si>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</si>
  <si>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</si>
  <si>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</si>
  <si>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</si>
  <si>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</si>
  <si>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</si>
  <si>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</si>
  <si>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</si>
  <si>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</si>
  <si>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</si>
  <si>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</si>
  <si>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</si>
  <si>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</si>
  <si>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</si>
  <si>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</si>
  <si>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</si>
  <si>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</si>
  <si>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</si>
  <si>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</si>
  <si>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</si>
  <si>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</si>
  <si>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</si>
  <si>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</si>
  <si>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</si>
  <si>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</si>
  <si>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</si>
  <si>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</si>
  <si>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</si>
  <si>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</si>
  <si>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</si>
  <si>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</si>
  <si>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</si>
  <si>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</si>
  <si>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</si>
  <si>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</si>
  <si>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</si>
  <si>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</si>
  <si>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</si>
  <si>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</si>
  <si>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SABLE CONCASSAGE 0-4</t>
  </si>
  <si>
    <t>SABLE CONCASSAGE 0-2</t>
  </si>
  <si>
    <t>TOUT VENANT 0-31.5</t>
  </si>
  <si>
    <t>TOUT VENANT 0-40</t>
  </si>
  <si>
    <t>TOUT VENANT 0-60</t>
  </si>
  <si>
    <t>TOUT VENANT 0-100</t>
  </si>
  <si>
    <t>STERILE</t>
  </si>
  <si>
    <t>STERILE FIN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</si>
  <si>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</si>
  <si>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</si>
  <si>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</si>
  <si>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</si>
  <si>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</si>
  <si>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</si>
  <si>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</si>
  <si>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</si>
  <si>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</si>
  <si>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</si>
  <si>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</si>
  <si>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</si>
  <si>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</si>
  <si>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</si>
  <si>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</si>
  <si>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</si>
  <si>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</si>
  <si>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</si>
  <si>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</si>
  <si>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</si>
  <si>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</si>
  <si>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</si>
  <si>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</si>
  <si>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</si>
  <si>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</si>
  <si>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</si>
  <si>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</si>
  <si>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</si>
  <si>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</si>
  <si>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</si>
  <si>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</si>
  <si>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</si>
  <si>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</si>
  <si>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</si>
  <si>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</si>
  <si>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</si>
  <si>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</si>
  <si>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</si>
  <si>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</si>
  <si>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</si>
  <si>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</si>
  <si>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</si>
  <si>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</si>
  <si>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</si>
  <si>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</si>
  <si>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</si>
  <si>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</si>
  <si>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</si>
  <si>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</si>
  <si>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</si>
  <si>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</si>
  <si>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</si>
  <si>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</si>
  <si>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</si>
  <si>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</si>
  <si>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</si>
  <si>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</si>
  <si>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</si>
  <si>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</si>
  <si>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</si>
  <si>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</si>
  <si>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</si>
  <si>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</si>
  <si>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</si>
  <si>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</si>
  <si>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</si>
  <si>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</si>
  <si>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</si>
  <si>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</si>
  <si>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</si>
  <si>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</si>
  <si>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</si>
  <si>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</si>
  <si>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</si>
  <si>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</si>
  <si>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</si>
  <si>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</si>
  <si>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</si>
  <si>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</si>
  <si>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</si>
  <si>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</si>
  <si>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</si>
  <si>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</si>
  <si>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</si>
  <si>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</si>
  <si>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</si>
  <si>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</si>
  <si>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</si>
  <si>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</si>
  <si>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</si>
  <si>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</si>
  <si>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</si>
  <si>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</si>
  <si>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</si>
  <si>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</si>
  <si>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</si>
  <si>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</si>
  <si>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</si>
  <si>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</si>
  <si>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</si>
  <si>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</si>
  <si>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</si>
  <si>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</si>
  <si>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</si>
  <si>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</si>
  <si>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</si>
  <si>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</si>
  <si>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</si>
  <si>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</si>
  <si>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</si>
  <si>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</si>
  <si>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</si>
  <si>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</si>
  <si>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</si>
  <si>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</si>
  <si>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</si>
  <si>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</si>
  <si>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</si>
  <si>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</si>
  <si>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</si>
  <si>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</si>
  <si>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</si>
  <si>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</si>
  <si>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</si>
  <si>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</si>
  <si>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</si>
  <si>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</si>
  <si>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</si>
  <si>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</si>
  <si>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</si>
  <si>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</si>
  <si>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</si>
  <si>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</si>
  <si>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</si>
  <si>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</si>
  <si>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</si>
  <si>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</si>
  <si>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</si>
  <si>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</si>
  <si>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</si>
  <si>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</si>
  <si>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</si>
  <si>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</si>
  <si>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</si>
  <si>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</si>
  <si>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</si>
  <si>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</si>
  <si>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</si>
  <si>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</si>
  <si>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</si>
  <si>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</si>
  <si>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</si>
  <si>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</si>
  <si>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</si>
  <si>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</si>
  <si>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</si>
  <si>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</si>
  <si>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</si>
  <si>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</si>
  <si>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</si>
  <si>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</si>
  <si>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</si>
  <si>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</si>
  <si>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</si>
  <si>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</si>
  <si>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</si>
  <si>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</si>
  <si>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</si>
  <si>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</si>
  <si>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</si>
  <si>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</si>
  <si>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</si>
  <si>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</si>
  <si>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</si>
  <si>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</si>
  <si>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</si>
  <si>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</si>
  <si>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</si>
  <si>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</si>
  <si>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</si>
  <si>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</si>
  <si>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</si>
  <si>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</si>
  <si>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</si>
  <si>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</si>
  <si>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</si>
  <si>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</si>
  <si>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</si>
  <si>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</si>
  <si>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</si>
  <si>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</si>
  <si>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</si>
  <si>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</si>
  <si>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</si>
  <si>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</si>
  <si>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</si>
  <si>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</si>
  <si>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</si>
  <si>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</si>
  <si>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</si>
  <si>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</si>
  <si>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</si>
  <si>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</si>
  <si>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</si>
  <si>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</si>
  <si>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</si>
  <si>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</si>
  <si>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</si>
  <si>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</si>
  <si>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</si>
  <si>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</si>
  <si>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</si>
  <si>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</si>
  <si>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</si>
  <si>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</si>
  <si>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</si>
  <si>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</si>
  <si>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</si>
  <si>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</si>
  <si>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</si>
  <si>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</si>
  <si>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</si>
  <si>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</si>
  <si>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</si>
  <si>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</si>
  <si>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</si>
  <si>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</si>
  <si>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</si>
  <si>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</si>
  <si>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</si>
  <si>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</si>
  <si>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</si>
  <si>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</si>
  <si>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</si>
  <si>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</si>
  <si>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</si>
  <si>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</si>
  <si>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</si>
  <si>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FILTRE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</si>
  <si>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</si>
  <si>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</si>
  <si>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</si>
  <si>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</si>
  <si>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</si>
  <si>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</si>
  <si>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</si>
  <si>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</si>
  <si>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</si>
  <si>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</si>
  <si>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</si>
  <si>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</si>
  <si>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</si>
  <si>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</si>
  <si>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</si>
  <si>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</si>
  <si>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</si>
  <si>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</si>
  <si>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</si>
  <si>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</si>
  <si>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</si>
  <si>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</si>
  <si>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</si>
  <si>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</si>
  <si>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</si>
  <si>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</si>
  <si>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</si>
  <si>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</si>
  <si>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</si>
  <si>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KHALIS TRANS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</si>
  <si>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</si>
  <si>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</si>
  <si>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</si>
  <si>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</si>
  <si>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</si>
  <si>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</si>
  <si>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</si>
  <si>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</si>
  <si>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</si>
  <si>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</si>
  <si>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</si>
  <si>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</si>
  <si>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</si>
  <si>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</si>
  <si>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</si>
  <si>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</si>
  <si>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</si>
  <si>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</si>
  <si>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</si>
  <si>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</si>
  <si>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</si>
  <si>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</si>
  <si>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</si>
  <si>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</si>
  <si>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</si>
  <si>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</si>
  <si>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</si>
  <si>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</si>
  <si>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</si>
  <si>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</si>
  <si>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</si>
  <si>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</si>
  <si>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</si>
  <si>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</si>
  <si>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</si>
  <si>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</si>
  <si>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</si>
  <si>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</si>
  <si>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</si>
  <si>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</si>
  <si>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</si>
  <si>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</si>
  <si>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</si>
  <si>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</si>
  <si>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</si>
  <si>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</si>
  <si>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</si>
  <si>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</si>
  <si>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</si>
  <si>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</si>
  <si>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</si>
  <si>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</si>
  <si>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</si>
  <si>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</si>
  <si>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</si>
  <si>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</si>
  <si>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</si>
  <si>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</si>
  <si>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</si>
  <si>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</si>
  <si>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</si>
  <si>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</si>
  <si>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</si>
  <si>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</si>
  <si>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</si>
  <si>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</si>
  <si>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</si>
  <si>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</si>
  <si>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</si>
  <si>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</si>
  <si>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</si>
  <si>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</si>
  <si>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</si>
  <si>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</si>
  <si>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</si>
  <si>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</si>
  <si>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</si>
  <si>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</si>
  <si>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</si>
  <si>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</si>
  <si>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</si>
  <si>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</si>
  <si>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</si>
  <si>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</si>
  <si>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</si>
  <si>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</si>
  <si>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</si>
  <si>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</si>
  <si>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</si>
  <si>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</si>
  <si>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</si>
  <si>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</si>
  <si>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</si>
  <si>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</si>
  <si>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</si>
  <si>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</si>
  <si>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</si>
  <si>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</si>
  <si>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</si>
  <si>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</si>
  <si>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</si>
  <si>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</si>
  <si>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</si>
  <si>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</si>
  <si>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</si>
  <si>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</si>
  <si>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</si>
  <si>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</si>
  <si>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</si>
  <si>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</si>
  <si>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</si>
  <si>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</si>
  <si>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</si>
  <si>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</si>
  <si>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</si>
  <si>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</si>
  <si>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</si>
  <si>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</si>
  <si>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</si>
  <si>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</si>
  <si>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</si>
  <si>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</si>
  <si>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</si>
  <si>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</si>
  <si>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</si>
  <si>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</si>
  <si>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</si>
  <si>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</si>
  <si>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</si>
  <si>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</si>
  <si>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</si>
  <si>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</si>
  <si>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</si>
  <si>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</si>
  <si>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</si>
  <si>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</si>
  <si>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</si>
  <si>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</si>
  <si>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</si>
  <si>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</si>
  <si>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</si>
  <si>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</si>
  <si>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</si>
  <si>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</si>
  <si>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</si>
  <si>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</si>
  <si>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</si>
  <si>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</si>
  <si>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</si>
  <si>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</si>
  <si>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</si>
  <si>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</si>
  <si>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</si>
  <si>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</si>
  <si>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</si>
  <si>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</si>
  <si>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</si>
  <si>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</si>
  <si>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</si>
  <si>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</si>
  <si>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</si>
  <si>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</si>
  <si>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</si>
  <si>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</si>
  <si>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</si>
  <si>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</si>
  <si>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</si>
  <si>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</si>
  <si>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</si>
  <si>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</si>
  <si>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</si>
  <si>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</si>
  <si>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</si>
  <si>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</si>
  <si>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</si>
  <si>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</si>
  <si>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</si>
  <si>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</si>
  <si>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</si>
  <si>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</si>
  <si>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</si>
  <si>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</si>
  <si>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</si>
  <si>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</si>
  <si>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</si>
  <si>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</si>
  <si>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</si>
  <si>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</si>
  <si>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</si>
  <si>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</si>
  <si>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</si>
  <si>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</si>
  <si>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</si>
  <si>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</si>
  <si>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</si>
  <si>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</si>
  <si>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</si>
  <si>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</si>
  <si>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</si>
  <si>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</si>
  <si>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</si>
  <si>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</si>
  <si>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</si>
  <si>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</si>
  <si>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</si>
  <si>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</si>
  <si>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</si>
  <si>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</si>
  <si>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</si>
  <si>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</si>
  <si>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</si>
  <si>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</si>
  <si>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</si>
  <si>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</si>
  <si>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</si>
  <si>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</si>
  <si>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</si>
  <si>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</si>
  <si>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</si>
  <si>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</si>
  <si>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</si>
  <si>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</si>
  <si>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</si>
  <si>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</si>
  <si>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</si>
  <si>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</si>
  <si>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</si>
  <si>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</si>
  <si>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</si>
  <si>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</si>
  <si>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</si>
  <si>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</si>
  <si>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</si>
  <si>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</si>
  <si>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</si>
  <si>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</si>
  <si>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</si>
  <si>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</si>
  <si>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</si>
  <si>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</si>
  <si>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</si>
  <si>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</si>
  <si>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</si>
  <si>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</si>
  <si>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</si>
  <si>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</si>
  <si>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</si>
  <si>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</si>
  <si>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</si>
  <si>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</si>
  <si>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</si>
  <si>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</si>
  <si>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</si>
  <si>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</si>
  <si>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</si>
  <si>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</si>
  <si>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</si>
  <si>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</si>
  <si>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</si>
  <si>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</si>
  <si>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</si>
  <si>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</si>
  <si>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</si>
  <si>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</si>
  <si>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</si>
  <si>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</si>
  <si>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</si>
  <si>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</si>
  <si>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</si>
  <si>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</si>
  <si>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</si>
  <si>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</si>
  <si>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</si>
  <si>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</si>
  <si>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</si>
  <si>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</si>
  <si>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</si>
  <si>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</si>
  <si>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</si>
  <si>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</si>
  <si>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</si>
  <si>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</si>
  <si>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</si>
  <si>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</si>
  <si>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</si>
  <si>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</si>
  <si>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</si>
  <si>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</si>
  <si>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</si>
  <si>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</si>
  <si>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</si>
  <si>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</si>
  <si>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</si>
  <si>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</si>
  <si>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</si>
  <si>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</si>
  <si>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</si>
  <si>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</si>
  <si>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</si>
  <si>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</si>
  <si>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</si>
  <si>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</si>
  <si>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</si>
  <si>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</si>
  <si>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</si>
  <si>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</si>
  <si>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</si>
  <si>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</si>
  <si>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</si>
  <si>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</si>
  <si>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</si>
  <si>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</si>
  <si>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</si>
  <si>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</si>
  <si>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</si>
  <si>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</si>
  <si>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</si>
  <si>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</si>
  <si>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</si>
  <si>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</si>
  <si>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</si>
  <si>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</si>
  <si>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</si>
  <si>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</si>
  <si>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</si>
  <si>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</si>
  <si>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</si>
  <si>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</si>
  <si>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</si>
  <si>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</si>
  <si>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</si>
  <si>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</si>
  <si>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</si>
  <si>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</si>
  <si>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</si>
  <si>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</si>
  <si>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</si>
  <si>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</si>
  <si>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</si>
  <si>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</si>
  <si>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</si>
  <si>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</si>
  <si>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</si>
  <si>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</si>
  <si>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</si>
  <si>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</si>
  <si>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</si>
  <si>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</si>
  <si>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</si>
  <si>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</si>
  <si>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</si>
  <si>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</si>
  <si>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</si>
  <si>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</si>
  <si>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</si>
  <si>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</si>
  <si>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</si>
  <si>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</si>
  <si>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</si>
  <si>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</si>
  <si>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</si>
  <si>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</si>
  <si>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</si>
  <si>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</si>
  <si>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</si>
  <si>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</si>
  <si>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</si>
  <si>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</si>
  <si>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</si>
  <si>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</si>
  <si>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</si>
  <si>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</si>
  <si>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</si>
  <si>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</si>
  <si>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</si>
  <si>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</si>
  <si>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</si>
  <si>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</si>
  <si>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</si>
  <si>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</si>
  <si>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</si>
  <si>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</si>
  <si>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</si>
  <si>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</si>
  <si>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</si>
  <si>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</si>
  <si>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</si>
  <si>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</si>
  <si>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</si>
  <si>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</si>
  <si>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</si>
  <si>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</si>
  <si>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</si>
  <si>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</si>
  <si>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</si>
  <si>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</si>
  <si>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</si>
  <si>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</si>
  <si>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</si>
  <si>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</si>
  <si>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</si>
  <si>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</si>
  <si>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</si>
  <si>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</si>
  <si>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</si>
  <si>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</si>
  <si>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</si>
  <si>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</si>
  <si>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</si>
  <si>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</si>
  <si>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</si>
  <si>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</si>
  <si>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</si>
  <si>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</si>
  <si>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</si>
  <si>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</si>
  <si>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</si>
  <si>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</si>
  <si>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</si>
  <si>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</si>
  <si>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</si>
  <si>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</si>
  <si>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</si>
  <si>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</si>
  <si>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</si>
  <si>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</si>
  <si>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</si>
  <si>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</si>
  <si>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</si>
  <si>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</si>
  <si>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</si>
  <si>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</si>
  <si>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</si>
  <si>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</si>
  <si>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</si>
  <si>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</si>
  <si>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</si>
  <si>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</si>
  <si>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</si>
  <si>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</si>
  <si>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</si>
  <si>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</si>
  <si>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</si>
  <si>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</si>
  <si>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</si>
  <si>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</si>
  <si>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</si>
  <si>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</si>
  <si>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</si>
  <si>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</si>
  <si>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</si>
  <si>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</si>
  <si>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</si>
  <si>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</si>
  <si>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</si>
  <si>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</si>
  <si>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</si>
  <si>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</si>
  <si>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</si>
  <si>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</si>
  <si>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</si>
  <si>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</si>
  <si>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</si>
  <si>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</si>
  <si>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</si>
  <si>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</si>
  <si>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</si>
  <si>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</si>
  <si>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</si>
  <si>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</si>
  <si>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</si>
  <si>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</si>
  <si>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</si>
  <si>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</si>
  <si>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</si>
  <si>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</si>
  <si>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</si>
  <si>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</si>
  <si>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</si>
  <si>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</si>
  <si>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</si>
  <si>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</si>
  <si>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</si>
  <si>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</si>
  <si>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</si>
  <si>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</si>
  <si>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</si>
  <si>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</si>
  <si>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</si>
  <si>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</si>
  <si>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</si>
  <si>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</si>
  <si>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</si>
  <si>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</si>
  <si>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</si>
  <si>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</si>
  <si>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</si>
  <si>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</si>
  <si>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</si>
  <si>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</si>
  <si>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</si>
  <si>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</si>
  <si>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</si>
  <si>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</si>
  <si>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</si>
  <si>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</si>
  <si>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</si>
  <si>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</si>
  <si>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</si>
  <si>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</si>
  <si>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</si>
  <si>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</si>
  <si>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</si>
  <si>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</si>
  <si>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</si>
  <si>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</si>
  <si>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</si>
  <si>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</si>
  <si>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</si>
  <si>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</si>
  <si>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</si>
  <si>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</si>
  <si>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</si>
  <si>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</si>
  <si>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</si>
  <si>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</si>
  <si>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</si>
  <si>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</si>
  <si>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</si>
  <si>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</si>
  <si>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</si>
  <si>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</si>
  <si>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</si>
  <si>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</si>
  <si>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</si>
  <si>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</si>
  <si>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</si>
  <si>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</si>
  <si>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</si>
  <si>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</si>
  <si>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</si>
  <si>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</si>
  <si>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</si>
  <si>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</si>
  <si>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</si>
  <si>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</si>
  <si>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</si>
  <si>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</si>
  <si>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</si>
  <si>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</si>
  <si>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</si>
  <si>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</si>
  <si>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</si>
  <si>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</si>
  <si>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</si>
  <si>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</si>
  <si>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</si>
  <si>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</si>
  <si>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</si>
  <si>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</si>
  <si>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</si>
  <si>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</si>
  <si>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</si>
  <si>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</si>
  <si>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</si>
  <si>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</si>
  <si>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</si>
  <si>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</si>
  <si>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</si>
  <si>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</si>
  <si>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</si>
  <si>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</si>
  <si>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</si>
  <si>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</si>
  <si>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</si>
  <si>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</si>
  <si>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</si>
  <si>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</si>
  <si>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</si>
  <si>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</si>
  <si>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</si>
  <si>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</si>
  <si>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</si>
  <si>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</si>
  <si>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</si>
  <si>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</si>
  <si>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</si>
  <si>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</si>
  <si>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</si>
  <si>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</si>
  <si>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</si>
  <si>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</si>
  <si>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</si>
  <si>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</si>
  <si>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</si>
  <si>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</si>
  <si>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</si>
  <si>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</si>
  <si>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</si>
  <si>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</si>
  <si>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</si>
  <si>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</si>
  <si>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</si>
  <si>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</si>
  <si>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</si>
  <si>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</si>
  <si>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</si>
  <si>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</si>
  <si>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</si>
  <si>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</si>
  <si>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</si>
  <si>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</si>
  <si>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</si>
  <si>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</si>
  <si>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</si>
  <si>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</si>
  <si>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</si>
  <si>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</si>
  <si>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</si>
  <si>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</si>
  <si>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</si>
  <si>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</si>
  <si>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</si>
  <si>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</si>
  <si>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</si>
  <si>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</si>
  <si>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</si>
  <si>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</si>
  <si>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</si>
  <si>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</si>
  <si>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</si>
  <si>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</si>
  <si>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</si>
  <si>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</si>
  <si>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</si>
  <si>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</si>
  <si>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</si>
  <si>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</si>
  <si>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</si>
  <si>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</si>
  <si>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</si>
  <si>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</si>
  <si>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</si>
  <si>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</si>
  <si>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</si>
  <si>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</si>
  <si>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</si>
  <si>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</si>
  <si>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</si>
  <si>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</si>
  <si>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</si>
  <si>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</si>
  <si>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</si>
  <si>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</si>
  <si>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</si>
  <si>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</si>
  <si>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</si>
  <si>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</si>
  <si>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</si>
  <si>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</si>
  <si>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</si>
  <si>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</si>
  <si>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</si>
  <si>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</si>
  <si>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</si>
  <si>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</si>
  <si>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</si>
  <si>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</si>
  <si>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</si>
  <si>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</si>
  <si>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</si>
  <si>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</si>
  <si>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</si>
  <si>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</si>
  <si>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</si>
  <si>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</si>
  <si>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</si>
  <si>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</si>
  <si>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</si>
  <si>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</si>
  <si>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</si>
  <si>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</si>
  <si>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</si>
  <si>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</si>
  <si>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</si>
  <si>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</si>
  <si>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</si>
  <si>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</si>
  <si>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</si>
  <si>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</si>
  <si>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</si>
  <si>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</si>
  <si>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</si>
  <si>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</si>
  <si>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</si>
  <si>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</si>
  <si>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</si>
  <si>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</si>
  <si>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</si>
  <si>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</si>
  <si>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</si>
  <si>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</si>
  <si>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</si>
  <si>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</si>
  <si>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</si>
  <si>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</si>
  <si>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</si>
  <si>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</si>
  <si>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</si>
  <si>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</si>
  <si>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</si>
  <si>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</si>
  <si>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</si>
  <si>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</si>
  <si>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</si>
  <si>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</si>
  <si>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</si>
  <si>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</si>
  <si>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</si>
  <si>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</si>
  <si>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</si>
  <si>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</si>
  <si>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</si>
  <si>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</si>
  <si>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</si>
  <si>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</si>
  <si>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</si>
  <si>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</si>
  <si>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</si>
  <si>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</si>
  <si>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</si>
  <si>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</si>
  <si>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</si>
  <si>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</si>
  <si>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</si>
  <si>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</si>
  <si>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</si>
  <si>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</si>
  <si>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</si>
  <si>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</si>
  <si>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</si>
  <si>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</si>
  <si>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</si>
  <si>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</si>
  <si>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</si>
  <si>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</si>
  <si>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</si>
  <si>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</si>
  <si>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</si>
  <si>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</si>
  <si>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</si>
  <si>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</si>
  <si>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</si>
  <si>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</si>
  <si>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</si>
  <si>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</si>
  <si>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</si>
  <si>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</si>
  <si>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</si>
  <si>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</si>
  <si>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</si>
  <si>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</si>
  <si>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</si>
  <si>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</si>
  <si>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</si>
  <si>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</si>
  <si>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</si>
  <si>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</si>
  <si>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</si>
  <si>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</si>
  <si>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</si>
  <si>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</si>
  <si>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</si>
  <si>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</si>
  <si>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</si>
  <si>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</si>
  <si>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</si>
  <si>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</si>
  <si>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</si>
  <si>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</si>
  <si>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</si>
  <si>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</si>
  <si>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</si>
  <si>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</si>
  <si>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</si>
  <si>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</si>
  <si>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</si>
  <si>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</si>
  <si>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</si>
  <si>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</si>
  <si>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</si>
  <si>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</si>
  <si>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</si>
  <si>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</si>
  <si>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</si>
  <si>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</si>
  <si>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</si>
  <si>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</si>
  <si>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</si>
  <si>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</si>
  <si>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</si>
  <si>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</si>
  <si>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</si>
  <si>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</si>
  <si>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</si>
  <si>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</si>
  <si>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</si>
  <si>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</si>
  <si>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</si>
  <si>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</si>
  <si>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</si>
  <si>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</si>
  <si>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</si>
  <si>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</si>
  <si>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</si>
  <si>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</si>
  <si>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</si>
  <si>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</si>
  <si>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</si>
  <si>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</si>
  <si>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</si>
  <si>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</si>
  <si>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</si>
  <si>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</si>
  <si>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</si>
  <si>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</si>
  <si>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</si>
  <si>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</si>
  <si>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</si>
  <si>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</si>
  <si>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</si>
  <si>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</si>
  <si>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</si>
  <si>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</si>
  <si>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</si>
  <si>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</si>
  <si>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</si>
  <si>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</si>
  <si>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</si>
  <si>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</si>
  <si>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</si>
  <si>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</si>
  <si>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</si>
  <si>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</si>
  <si>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</si>
  <si>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</si>
  <si>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</si>
  <si>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</si>
  <si>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</si>
  <si>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</si>
  <si>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</si>
  <si>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</si>
  <si>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</si>
  <si>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</si>
  <si>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</si>
  <si>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</si>
  <si>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</si>
  <si>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</si>
  <si>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</si>
  <si>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</si>
  <si>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</si>
  <si>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</si>
  <si>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</si>
  <si>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</si>
  <si>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</si>
  <si>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</si>
  <si>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</si>
  <si>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</si>
  <si>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</si>
  <si>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</si>
  <si>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</si>
  <si>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</si>
  <si>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</si>
  <si>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</si>
  <si>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</si>
  <si>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</si>
  <si>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</si>
  <si>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</si>
  <si>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</si>
  <si>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</si>
  <si>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</si>
  <si>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</si>
  <si>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</si>
  <si>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</si>
  <si>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</si>
  <si>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</si>
  <si>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</si>
  <si>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</si>
  <si>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</si>
  <si>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</si>
  <si>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</si>
  <si>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</si>
  <si>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</si>
  <si>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</si>
  <si>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</si>
  <si>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</si>
  <si>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</si>
  <si>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</si>
  <si>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</si>
  <si>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</si>
  <si>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</si>
  <si>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</si>
  <si>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</si>
  <si>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</si>
  <si>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</si>
  <si>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</si>
  <si>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</si>
  <si>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</si>
  <si>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</si>
  <si>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</si>
  <si>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</si>
  <si>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</si>
  <si>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</si>
  <si>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</si>
  <si>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</si>
  <si>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</si>
  <si>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</si>
  <si>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</si>
  <si>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</si>
  <si>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</si>
  <si>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</si>
  <si>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</si>
  <si>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</si>
  <si>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</si>
  <si>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</si>
  <si>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</si>
  <si>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</si>
  <si>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</si>
  <si>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</si>
  <si>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</si>
  <si>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</si>
  <si>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</si>
  <si>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</si>
  <si>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</si>
  <si>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</si>
  <si>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</si>
  <si>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</si>
  <si>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</si>
  <si>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</si>
  <si>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</si>
  <si>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</si>
  <si>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</si>
  <si>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</si>
  <si>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</si>
  <si>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</si>
  <si>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</si>
  <si>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</si>
  <si>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</si>
  <si>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</si>
  <si>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</si>
  <si>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</si>
  <si>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</si>
  <si>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</si>
  <si>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</si>
  <si>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</si>
  <si>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</si>
  <si>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</si>
  <si>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</si>
  <si>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</si>
  <si>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</si>
  <si>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</si>
  <si>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</si>
  <si>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</si>
  <si>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</si>
  <si>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</si>
  <si>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</si>
  <si>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</si>
  <si>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</si>
  <si>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</si>
  <si>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</si>
  <si>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</si>
  <si>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</si>
  <si>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</si>
  <si>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</si>
  <si>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</si>
  <si>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</si>
  <si>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</si>
  <si>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</si>
  <si>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</si>
  <si>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</si>
  <si>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</si>
  <si>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</si>
  <si>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</si>
  <si>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</si>
  <si>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</si>
  <si>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</si>
  <si>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</si>
  <si>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</si>
  <si>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</si>
  <si>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</si>
  <si>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</si>
  <si>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</si>
  <si>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</si>
  <si>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</si>
  <si>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</si>
  <si>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</si>
  <si>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</si>
  <si>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</si>
  <si>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</si>
  <si>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</si>
  <si>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</si>
  <si>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</si>
  <si>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</si>
  <si>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</si>
  <si>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</si>
  <si>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</si>
  <si>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</si>
  <si>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</si>
  <si>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</si>
  <si>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</si>
  <si>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</si>
  <si>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</si>
  <si>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</si>
  <si>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</si>
  <si>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</si>
  <si>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</si>
  <si>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</si>
  <si>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</si>
  <si>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</si>
  <si>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</si>
  <si>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</si>
  <si>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</si>
  <si>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</si>
  <si>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</si>
  <si>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</si>
  <si>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</si>
  <si>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</si>
  <si>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</si>
  <si>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</si>
  <si>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</si>
  <si>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</si>
  <si>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</si>
  <si>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</si>
  <si>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</si>
  <si>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</si>
  <si>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</si>
  <si>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</si>
  <si>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</si>
  <si>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</si>
  <si>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</si>
  <si>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</si>
  <si>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</si>
  <si>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</si>
  <si>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</si>
  <si>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</si>
  <si>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</si>
  <si>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</si>
  <si>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</si>
  <si>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</si>
  <si>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</si>
  <si>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</si>
  <si>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</si>
  <si>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</si>
  <si>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</si>
  <si>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</si>
  <si>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</si>
  <si>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</si>
  <si>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</si>
  <si>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</si>
  <si>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</si>
  <si>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</si>
  <si>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</si>
  <si>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</si>
  <si>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</si>
  <si>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</si>
  <si>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</si>
  <si>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</si>
  <si>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</si>
  <si>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</si>
  <si>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</si>
  <si>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</si>
  <si>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</si>
  <si>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</si>
  <si>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</si>
  <si>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</si>
  <si>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</si>
  <si>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</si>
  <si>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</si>
  <si>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</si>
  <si>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</si>
  <si>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</si>
  <si>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</si>
  <si>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</si>
  <si>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</si>
  <si>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</si>
  <si>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</si>
  <si>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</si>
  <si>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</si>
  <si>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</si>
  <si>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</si>
  <si>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</si>
  <si>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</si>
  <si>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</si>
  <si>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</si>
  <si>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</si>
  <si>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</si>
  <si>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</si>
  <si>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</si>
  <si>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</si>
  <si>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</si>
  <si>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</si>
  <si>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</si>
  <si>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</si>
  <si>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</si>
  <si>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</si>
  <si>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</si>
  <si>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</si>
  <si>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</si>
  <si>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</si>
  <si>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</si>
  <si>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</si>
  <si>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</si>
  <si>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</si>
  <si>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</si>
  <si>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</si>
  <si>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</si>
  <si>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</si>
  <si>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</si>
  <si>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</si>
  <si>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</si>
  <si>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</si>
  <si>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</si>
  <si>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</si>
  <si>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</si>
  <si>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</si>
  <si>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</si>
  <si>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</si>
  <si>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</si>
  <si>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</si>
  <si>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</si>
  <si>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</si>
  <si>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</si>
  <si>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</si>
  <si>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</si>
  <si>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</si>
  <si>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</si>
  <si>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</si>
  <si>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</si>
  <si>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</si>
  <si>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</si>
  <si>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</si>
  <si>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</si>
  <si>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</si>
  <si>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</si>
  <si>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</si>
  <si>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</si>
  <si>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</si>
  <si>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</si>
  <si>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</si>
  <si>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</si>
  <si>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</si>
  <si>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</si>
  <si>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</si>
  <si>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</si>
  <si>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</si>
  <si>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</si>
  <si>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</si>
  <si>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</si>
  <si>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</si>
  <si>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</si>
  <si>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</si>
  <si>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</si>
  <si>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</si>
  <si>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</si>
  <si>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</si>
  <si>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</si>
  <si>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</si>
  <si>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</si>
  <si>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</si>
  <si>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</si>
  <si>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</si>
  <si>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</si>
  <si>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</si>
  <si>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</si>
  <si>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</si>
  <si>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</si>
  <si>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</si>
  <si>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</si>
  <si>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</si>
  <si>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</si>
  <si>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</si>
  <si>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</si>
  <si>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</si>
  <si>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</si>
  <si>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</si>
  <si>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</si>
  <si>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</si>
  <si>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</si>
  <si>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</si>
  <si>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</si>
  <si>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</si>
  <si>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</si>
  <si>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</si>
  <si>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</si>
  <si>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</si>
  <si>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</si>
  <si>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</si>
  <si>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</si>
  <si>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</si>
  <si>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</si>
  <si>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</si>
  <si>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</si>
  <si>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</si>
  <si>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</si>
  <si>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</si>
  <si>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</si>
  <si>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</si>
  <si>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</si>
  <si>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</si>
  <si>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</si>
  <si>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</si>
  <si>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</si>
  <si>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</si>
  <si>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</si>
  <si>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</si>
  <si>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</si>
  <si>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</si>
  <si>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</si>
  <si>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</si>
  <si>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</si>
  <si>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</si>
  <si>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</si>
  <si>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</si>
  <si>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</si>
  <si>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</si>
  <si>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</si>
  <si>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</si>
  <si>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</si>
  <si>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</si>
  <si>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</si>
  <si>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</si>
  <si>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</si>
  <si>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</si>
  <si>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</si>
  <si>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</si>
  <si>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</si>
  <si>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</si>
  <si>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</si>
  <si>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</si>
  <si>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</si>
  <si>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</si>
  <si>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</si>
  <si>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</si>
  <si>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</si>
  <si>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</si>
  <si>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</si>
  <si>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</si>
  <si>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</si>
  <si>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</si>
  <si>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</si>
  <si>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</si>
  <si>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</si>
  <si>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</si>
  <si>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</si>
  <si>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</si>
  <si>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</si>
  <si>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</si>
  <si>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</si>
  <si>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</si>
  <si>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</si>
  <si>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</si>
  <si>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</si>
  <si>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</si>
  <si>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</si>
  <si>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</si>
  <si>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</si>
  <si>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</si>
  <si>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</si>
  <si>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</si>
  <si>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</si>
  <si>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</si>
  <si>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</si>
  <si>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</si>
  <si>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</si>
  <si>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</si>
  <si>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</si>
  <si>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</si>
  <si>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</si>
  <si>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</si>
  <si>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</si>
  <si>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</si>
  <si>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</si>
  <si>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</si>
  <si>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</si>
  <si>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</si>
  <si>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</si>
  <si>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</si>
  <si>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</si>
  <si>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</si>
  <si>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</si>
  <si>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</si>
  <si>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</si>
  <si>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</si>
  <si>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</si>
  <si>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</si>
  <si>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</si>
  <si>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</si>
  <si>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</si>
  <si>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</si>
  <si>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</si>
  <si>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</si>
  <si>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</si>
  <si>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</si>
  <si>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</si>
  <si>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</si>
  <si>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</si>
  <si>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</si>
  <si>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</si>
  <si>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</si>
  <si>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</si>
  <si>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</si>
  <si>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</si>
  <si>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</si>
  <si>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</si>
  <si>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</si>
  <si>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</si>
  <si>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</si>
  <si>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</si>
  <si>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</si>
  <si>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</si>
  <si>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</si>
  <si>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</si>
  <si>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</si>
  <si>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</si>
  <si>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</si>
  <si>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</si>
  <si>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</si>
  <si>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</si>
  <si>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</si>
  <si>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</si>
  <si>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</si>
  <si>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</si>
  <si>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</si>
  <si>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</si>
  <si>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</si>
  <si>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</si>
  <si>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</si>
  <si>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</si>
  <si>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</si>
  <si>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</si>
  <si>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</si>
  <si>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</si>
  <si>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</si>
  <si>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</si>
  <si>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</si>
  <si>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</si>
  <si>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</si>
  <si>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</si>
  <si>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</si>
  <si>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</si>
  <si>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</si>
  <si>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</si>
  <si>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</si>
  <si>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</si>
  <si>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</si>
  <si>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</si>
  <si>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</si>
  <si>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</si>
  <si>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</si>
  <si>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</si>
  <si>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</si>
  <si>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</si>
  <si>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</si>
  <si>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</si>
  <si>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</si>
  <si>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</si>
  <si>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</si>
  <si>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</si>
  <si>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</si>
  <si>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</si>
  <si>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</si>
  <si>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</si>
  <si>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</si>
  <si>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</si>
  <si>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</si>
  <si>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</si>
  <si>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</si>
  <si>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</si>
  <si>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</si>
  <si>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</si>
  <si>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</si>
  <si>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</si>
  <si>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</si>
  <si>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</si>
  <si>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</si>
  <si>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</si>
  <si>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</si>
  <si>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</si>
  <si>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</si>
  <si>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</si>
  <si>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</si>
  <si>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</si>
  <si>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</si>
  <si>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</si>
  <si>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</si>
  <si>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</si>
  <si>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</si>
  <si>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</si>
  <si>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</si>
  <si>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</si>
  <si>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</si>
  <si>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</si>
  <si>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</si>
  <si>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</si>
  <si>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</si>
  <si>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</si>
  <si>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</si>
  <si>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</si>
  <si>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</si>
  <si>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</si>
  <si>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</si>
  <si>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</si>
  <si>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</si>
  <si>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</si>
  <si>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</si>
  <si>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</si>
  <si>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</si>
  <si>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</si>
  <si>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</si>
  <si>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</si>
  <si>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</si>
  <si>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</si>
  <si>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</si>
  <si>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</si>
  <si>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</si>
  <si>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</si>
  <si>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</si>
  <si>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</si>
  <si>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</si>
  <si>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</si>
  <si>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</si>
  <si>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</si>
  <si>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</si>
  <si>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</si>
  <si>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</si>
  <si>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</si>
  <si>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</si>
  <si>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</si>
  <si>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</si>
  <si>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</si>
  <si>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</si>
  <si>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</si>
  <si>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</si>
  <si>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</si>
  <si>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</si>
  <si>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</si>
  <si>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</si>
  <si>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</si>
  <si>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</si>
  <si>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</si>
  <si>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</si>
  <si>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</si>
  <si>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</si>
  <si>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</si>
  <si>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</si>
  <si>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</si>
  <si>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</si>
  <si>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</si>
  <si>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</si>
  <si>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</si>
  <si>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</si>
  <si>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</si>
  <si>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</si>
  <si>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</si>
  <si>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</si>
  <si>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</si>
  <si>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</si>
  <si>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</si>
  <si>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</si>
  <si>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</si>
  <si>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</si>
  <si>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</si>
  <si>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</si>
  <si>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</si>
  <si>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</si>
  <si>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</si>
  <si>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</si>
  <si>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</si>
  <si>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</si>
  <si>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</si>
  <si>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</si>
  <si>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</si>
  <si>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</si>
  <si>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</si>
  <si>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</si>
  <si>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</si>
  <si>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</si>
  <si>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</si>
  <si>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</si>
  <si>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</si>
  <si>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</si>
  <si>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</si>
  <si>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</si>
  <si>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</si>
  <si>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</si>
  <si>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</si>
  <si>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</si>
  <si>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</si>
  <si>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</si>
  <si>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</si>
  <si>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</si>
  <si>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</si>
  <si>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</si>
  <si>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</si>
  <si>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</si>
  <si>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</si>
  <si>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</si>
  <si>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</si>
  <si>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</si>
  <si>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</si>
  <si>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</si>
  <si>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</si>
  <si>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</si>
  <si>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</si>
  <si>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</si>
  <si>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</si>
  <si>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</si>
  <si>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</si>
  <si>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</si>
  <si>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</si>
  <si>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</si>
  <si>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</si>
  <si>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</si>
  <si>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</si>
  <si>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</si>
  <si>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</si>
  <si>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</si>
  <si>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</si>
  <si>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</si>
  <si>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</si>
  <si>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</si>
  <si>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</si>
  <si>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</si>
  <si>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</si>
  <si>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</si>
  <si>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</si>
  <si>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</si>
  <si>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</si>
  <si>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</si>
  <si>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</si>
  <si>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</si>
  <si>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</si>
  <si>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</si>
  <si>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</si>
  <si>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</si>
  <si>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</si>
  <si>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</si>
  <si>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</si>
  <si>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</si>
  <si>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</si>
  <si>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</si>
  <si>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</si>
  <si>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</si>
  <si>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</si>
  <si>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</si>
  <si>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</si>
  <si>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</si>
  <si>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</si>
  <si>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</si>
  <si>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</si>
  <si>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</si>
  <si>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</si>
  <si>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</si>
  <si>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</si>
  <si>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</si>
  <si>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</si>
  <si>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</si>
  <si>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</si>
  <si>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</si>
  <si>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</si>
  <si>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</si>
  <si>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</si>
  <si>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</si>
  <si>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</si>
  <si>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</si>
  <si>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</si>
  <si>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</si>
  <si>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</si>
  <si>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</si>
  <si>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</si>
  <si>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</si>
  <si>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</si>
  <si>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</si>
  <si>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</si>
  <si>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</si>
  <si>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</si>
  <si>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</si>
  <si>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</si>
  <si>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</si>
  <si>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</si>
  <si>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</si>
  <si>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</si>
  <si>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</si>
  <si>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</si>
  <si>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</si>
  <si>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</si>
  <si>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</si>
  <si>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</si>
  <si>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</si>
  <si>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</si>
  <si>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</si>
  <si>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</si>
  <si>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</si>
  <si>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</si>
  <si>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</si>
  <si>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</si>
  <si>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</si>
  <si>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</si>
  <si>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</si>
  <si>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</si>
  <si>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</si>
  <si>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</si>
  <si>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</si>
  <si>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</si>
  <si>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</si>
  <si>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</si>
  <si>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</si>
  <si>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</si>
  <si>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</si>
  <si>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</si>
  <si>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</si>
  <si>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</si>
  <si>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</si>
  <si>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</si>
  <si>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</si>
  <si>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</si>
  <si>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</si>
  <si>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</si>
  <si>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</si>
  <si>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</si>
  <si>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</si>
  <si>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</si>
  <si>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</si>
  <si>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</si>
  <si>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</si>
  <si>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</si>
  <si>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</si>
  <si>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</si>
  <si>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</si>
  <si>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</si>
  <si>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</si>
  <si>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</si>
  <si>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</si>
  <si>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</si>
  <si>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</si>
  <si>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</si>
  <si>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</si>
  <si>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</si>
  <si>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</si>
  <si>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</si>
  <si>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</si>
  <si>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</si>
  <si>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</si>
  <si>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</si>
  <si>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</si>
  <si>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</si>
  <si>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</si>
  <si>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</si>
  <si>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</si>
  <si>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</si>
  <si>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</si>
  <si>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</si>
  <si>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</si>
  <si>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</si>
  <si>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</si>
  <si>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</si>
  <si>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</si>
  <si>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</si>
  <si>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</si>
  <si>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</si>
  <si>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</si>
  <si>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</si>
  <si>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</si>
  <si>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</si>
  <si>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</si>
  <si>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</si>
  <si>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</si>
  <si>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</si>
  <si>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</si>
  <si>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</si>
  <si>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</si>
  <si>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</si>
  <si>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</si>
  <si>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</si>
  <si>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</si>
  <si>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</si>
  <si>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</si>
  <si>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</si>
  <si>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</si>
  <si>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</si>
  <si>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</si>
  <si>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</si>
  <si>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</si>
  <si>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</si>
  <si>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</si>
  <si>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</si>
  <si>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</si>
  <si>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</si>
  <si>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</si>
  <si>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</si>
  <si>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</si>
  <si>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</si>
  <si>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</si>
  <si>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</si>
  <si>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</si>
  <si>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</si>
  <si>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</si>
  <si>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</si>
  <si>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</si>
  <si>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</si>
  <si>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</si>
  <si>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</si>
  <si>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</si>
  <si>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</si>
  <si>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</si>
  <si>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</si>
  <si>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</si>
  <si>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</si>
  <si>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</si>
  <si>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</si>
  <si>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</si>
  <si>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</si>
  <si>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</si>
  <si>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</si>
  <si>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</si>
  <si>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</si>
  <si>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</si>
  <si>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</si>
  <si>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</si>
  <si>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</si>
  <si>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</si>
  <si>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</si>
  <si>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</si>
  <si>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</si>
  <si>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</si>
  <si>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</si>
  <si>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</si>
  <si>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</si>
  <si>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</si>
  <si>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</si>
  <si>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</si>
  <si>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</si>
  <si>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</si>
  <si>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</si>
  <si>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</si>
  <si>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</si>
  <si>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</si>
  <si>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</si>
  <si>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</si>
  <si>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</si>
  <si>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</si>
  <si>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</si>
  <si>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</si>
  <si>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</si>
  <si>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</si>
  <si>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</si>
  <si>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</si>
  <si>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</si>
  <si>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</si>
  <si>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</si>
  <si>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</si>
  <si>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</si>
  <si>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</si>
  <si>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</si>
  <si>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</si>
  <si>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</si>
  <si>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</si>
  <si>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</si>
  <si>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</si>
  <si>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</si>
  <si>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</si>
  <si>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</si>
  <si>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</si>
  <si>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</si>
  <si>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</si>
  <si>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</si>
  <si>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</si>
  <si>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</si>
  <si>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</si>
  <si>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</si>
  <si>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</si>
  <si>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</si>
  <si>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</si>
  <si>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</si>
  <si>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</si>
  <si>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</si>
  <si>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</si>
  <si>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</si>
  <si>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</si>
  <si>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</si>
  <si>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</si>
  <si>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</si>
  <si>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</si>
  <si>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</si>
  <si>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</si>
  <si>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</si>
  <si>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</si>
  <si>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</si>
  <si>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</si>
  <si>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</si>
  <si>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</si>
  <si>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</si>
  <si>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</si>
  <si>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</si>
  <si>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</si>
  <si>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</si>
  <si>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</si>
  <si>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</si>
  <si>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</si>
  <si>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</si>
  <si>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</si>
  <si>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</si>
  <si>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</si>
  <si>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</si>
  <si>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</si>
  <si>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</si>
  <si>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</si>
  <si>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</si>
  <si>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</si>
  <si>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</si>
  <si>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</si>
  <si>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</si>
  <si>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</si>
  <si>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</si>
  <si>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</si>
  <si>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</si>
  <si>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</si>
  <si>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</si>
  <si>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</si>
  <si>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</si>
  <si>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</si>
  <si>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</si>
  <si>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</si>
  <si>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</si>
  <si>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</si>
  <si>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</si>
  <si>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</si>
  <si>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</si>
  <si>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</si>
  <si>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</si>
  <si>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</si>
  <si>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</si>
  <si>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</si>
  <si>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</si>
  <si>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</si>
  <si>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</si>
  <si>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</si>
  <si>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</si>
  <si>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</si>
  <si>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</si>
  <si>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</si>
  <si>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</si>
  <si>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</si>
  <si>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</si>
  <si>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</si>
  <si>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</si>
  <si>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</si>
  <si>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</si>
  <si>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</si>
  <si>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</si>
  <si>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</si>
  <si>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</si>
  <si>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</si>
  <si>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</si>
  <si>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</si>
  <si>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</si>
  <si>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</si>
  <si>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</si>
  <si>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</si>
  <si>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</si>
  <si>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</si>
  <si>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</si>
  <si>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</si>
  <si>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</si>
  <si>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</si>
  <si>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</si>
  <si>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</si>
  <si>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</si>
  <si>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</si>
  <si>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</si>
  <si>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</si>
  <si>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</si>
  <si>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</si>
  <si>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</si>
  <si>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</si>
  <si>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</si>
  <si>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</si>
  <si>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</si>
  <si>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</si>
  <si>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</si>
  <si>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</si>
  <si>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</si>
  <si>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</si>
  <si>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</si>
  <si>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</si>
  <si>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</si>
  <si>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</si>
  <si>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</si>
  <si>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</si>
  <si>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</si>
  <si>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</si>
  <si>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</si>
  <si>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</si>
  <si>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</si>
  <si>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</si>
  <si>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</si>
  <si>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</si>
  <si>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</si>
  <si>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</si>
  <si>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</si>
  <si>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</si>
  <si>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</si>
  <si>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</si>
  <si>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</si>
  <si>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</si>
  <si>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</si>
  <si>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</si>
  <si>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</si>
  <si>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</si>
  <si>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</si>
  <si>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</si>
  <si>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</si>
  <si>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</si>
  <si>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</si>
  <si>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</si>
  <si>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</si>
  <si>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</si>
  <si>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</si>
  <si>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</si>
  <si>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</si>
  <si>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</si>
  <si>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</si>
  <si>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</si>
  <si>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</si>
  <si>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</si>
  <si>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</si>
  <si>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</si>
  <si>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</si>
  <si>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</si>
  <si>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</si>
  <si>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</si>
  <si>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</si>
  <si>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</si>
  <si>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</si>
  <si>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</si>
  <si>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</si>
  <si>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</si>
  <si>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</si>
  <si>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</si>
  <si>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</si>
  <si>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</si>
  <si>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</si>
  <si>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</si>
  <si>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</si>
  <si>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</si>
  <si>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</si>
  <si>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</si>
  <si>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</si>
  <si>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</si>
  <si>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</si>
  <si>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</si>
  <si>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</si>
  <si>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</si>
  <si>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</si>
  <si>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</si>
  <si>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</si>
  <si>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</si>
  <si>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</si>
  <si>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</si>
  <si>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</si>
  <si>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</si>
  <si>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</si>
  <si>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</si>
  <si>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</si>
  <si>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</si>
  <si>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</si>
  <si>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</si>
  <si>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</si>
  <si>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</si>
  <si>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</si>
  <si>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</si>
  <si>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</si>
  <si>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</si>
  <si>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</si>
  <si>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</si>
  <si>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</si>
  <si>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</si>
  <si>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</si>
  <si>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</si>
  <si>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</si>
  <si>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</si>
  <si>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</si>
  <si>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</si>
  <si>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</si>
  <si>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</si>
  <si>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</si>
  <si>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</si>
  <si>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</si>
  <si>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</si>
  <si>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</si>
  <si>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</si>
  <si>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</si>
  <si>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</si>
  <si>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</si>
  <si>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</si>
  <si>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</si>
  <si>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</si>
  <si>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</si>
  <si>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</si>
  <si>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</si>
  <si>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</si>
  <si>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</si>
  <si>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</si>
  <si>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</si>
  <si>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</si>
  <si>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</si>
  <si>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</si>
  <si>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</si>
  <si>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</si>
  <si>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</si>
  <si>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</si>
  <si>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</si>
  <si>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</si>
  <si>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</si>
  <si>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</si>
  <si>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</si>
  <si>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</si>
  <si>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</si>
  <si>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</si>
  <si>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</si>
  <si>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</si>
  <si>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</si>
  <si>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</si>
  <si>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</si>
  <si>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</si>
  <si>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</si>
  <si>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</si>
  <si>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</si>
  <si>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</si>
  <si>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</si>
  <si>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</si>
  <si>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</si>
  <si>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</si>
  <si>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</si>
  <si>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</si>
  <si>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</si>
  <si>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</si>
  <si>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</si>
  <si>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</si>
  <si>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</si>
  <si>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</si>
  <si>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</si>
  <si>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</si>
  <si>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</si>
  <si>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</si>
  <si>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</si>
  <si>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</si>
  <si>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</si>
  <si>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</si>
  <si>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</si>
  <si>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</si>
  <si>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</si>
  <si>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</si>
  <si>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</si>
  <si>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</si>
  <si>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</si>
  <si>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</si>
  <si>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</si>
  <si>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</si>
  <si>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</si>
  <si>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</si>
  <si>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</si>
  <si>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</si>
  <si>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</si>
  <si>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</si>
  <si>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</si>
  <si>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</si>
  <si>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</si>
  <si>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</si>
  <si>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</si>
  <si>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</si>
  <si>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</si>
  <si>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</si>
  <si>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</si>
  <si>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</si>
  <si>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</si>
  <si>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</si>
  <si>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</si>
  <si>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</si>
  <si>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</si>
  <si>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</si>
  <si>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</si>
  <si>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</si>
  <si>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</si>
  <si>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</si>
  <si>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</si>
  <si>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</si>
  <si>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</si>
  <si>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</si>
  <si>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</si>
  <si>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</si>
  <si>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</si>
  <si>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</si>
  <si>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</si>
  <si>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</si>
  <si>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</si>
  <si>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</si>
  <si>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</si>
  <si>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</si>
  <si>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</si>
  <si>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</si>
  <si>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</si>
  <si>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</si>
  <si>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</si>
  <si>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</si>
  <si>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</si>
  <si>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</si>
  <si>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</si>
  <si>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</si>
  <si>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</si>
  <si>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</si>
  <si>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</si>
  <si>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</si>
  <si>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</si>
  <si>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</si>
  <si>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</si>
  <si>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</si>
  <si>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</si>
  <si>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</si>
  <si>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</si>
  <si>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</si>
  <si>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</si>
  <si>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</si>
  <si>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</si>
  <si>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</si>
  <si>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</si>
  <si>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</si>
  <si>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</si>
  <si>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</si>
  <si>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</si>
  <si>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</si>
  <si>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</si>
  <si>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</si>
  <si>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</si>
  <si>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</si>
  <si>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</si>
  <si>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</si>
  <si>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</si>
  <si>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</si>
  <si>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</si>
  <si>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</si>
  <si>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</si>
  <si>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</si>
  <si>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</si>
  <si>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</si>
  <si>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</si>
  <si>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</si>
  <si>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</si>
  <si>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</si>
  <si>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</si>
  <si>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</si>
  <si>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</si>
  <si>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</si>
  <si>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</si>
  <si>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</si>
  <si>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</si>
  <si>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</si>
  <si>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</si>
  <si>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</si>
  <si>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</si>
  <si>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</si>
  <si>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</si>
  <si>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</si>
  <si>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</si>
  <si>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</si>
  <si>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</si>
  <si>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</si>
  <si>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</si>
  <si>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</si>
  <si>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</si>
  <si>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</si>
  <si>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</si>
  <si>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</si>
  <si>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</si>
  <si>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</si>
  <si>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</si>
  <si>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</si>
  <si>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</si>
  <si>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</si>
  <si>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</si>
  <si>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</si>
  <si>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</si>
  <si>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</si>
  <si>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</si>
  <si>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</si>
  <si>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</si>
  <si>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</si>
  <si>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</si>
  <si>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</si>
  <si>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</si>
  <si>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</si>
  <si>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</si>
  <si>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</si>
  <si>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</si>
  <si>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</si>
  <si>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</si>
  <si>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</si>
  <si>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</si>
  <si>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</si>
  <si>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</si>
  <si>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</si>
  <si>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</si>
  <si>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</si>
  <si>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</si>
  <si>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</si>
  <si>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</si>
  <si>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</si>
  <si>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</si>
  <si>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</si>
  <si>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</si>
  <si>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</si>
  <si>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</si>
  <si>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</si>
  <si>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</si>
  <si>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</si>
  <si>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</si>
  <si>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</si>
  <si>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</si>
  <si>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</si>
  <si>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</si>
  <si>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</si>
  <si>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</si>
  <si>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</si>
  <si>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</si>
  <si>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</si>
  <si>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</si>
  <si>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</si>
  <si>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</si>
  <si>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</si>
  <si>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</si>
  <si>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</si>
  <si>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</si>
  <si>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</si>
  <si>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</si>
  <si>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</si>
  <si>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</si>
  <si>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</si>
  <si>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</si>
  <si>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</si>
  <si>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</si>
  <si>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</si>
  <si>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</si>
  <si>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</si>
  <si>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</si>
  <si>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</si>
  <si>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</si>
  <si>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</si>
  <si>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</si>
  <si>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</si>
  <si>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</si>
  <si>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</si>
  <si>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</si>
  <si>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</si>
  <si>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</si>
  <si>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</si>
  <si>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</si>
  <si>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</si>
  <si>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</si>
  <si>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</si>
  <si>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</si>
  <si>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</si>
  <si>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</si>
  <si>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</si>
  <si>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</si>
  <si>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</si>
  <si>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</si>
  <si>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</si>
  <si>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</si>
  <si>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</si>
  <si>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</si>
  <si>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</si>
  <si>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</si>
  <si>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</si>
  <si>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</si>
  <si>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</si>
  <si>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</si>
  <si>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</si>
  <si>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</si>
  <si>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</si>
  <si>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</si>
  <si>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</si>
  <si>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</si>
  <si>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</si>
  <si>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</si>
  <si>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</si>
  <si>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</si>
  <si>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</si>
  <si>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</si>
  <si>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</si>
  <si>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</si>
  <si>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</si>
  <si>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</si>
  <si>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</si>
  <si>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</si>
  <si>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</si>
  <si>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</si>
  <si>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</si>
  <si>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</si>
  <si>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</si>
  <si>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</si>
  <si>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</si>
  <si>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</si>
  <si>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</si>
  <si>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</si>
  <si>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</si>
  <si>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</si>
  <si>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</si>
  <si>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</si>
  <si>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</si>
  <si>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</si>
  <si>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</si>
  <si>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</si>
  <si>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</si>
  <si>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</si>
  <si>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</si>
  <si>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</si>
  <si>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</si>
  <si>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</si>
  <si>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</si>
  <si>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</si>
  <si>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</si>
  <si>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</si>
  <si>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</si>
  <si>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</si>
  <si>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</si>
  <si>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</si>
  <si>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</si>
  <si>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</si>
  <si>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</si>
  <si>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</si>
  <si>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</si>
  <si>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</si>
  <si>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</si>
  <si>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</si>
  <si>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</si>
  <si>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</si>
  <si>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</si>
  <si>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</si>
  <si>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</si>
  <si>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</si>
  <si>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</si>
  <si>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</si>
  <si>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</si>
  <si>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</si>
  <si>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</si>
  <si>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</si>
  <si>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</si>
  <si>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</si>
  <si>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</si>
  <si>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</si>
  <si>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</si>
  <si>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</si>
  <si>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</si>
  <si>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</si>
  <si>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</si>
  <si>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</si>
  <si>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</si>
  <si>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</si>
  <si>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</si>
  <si>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</si>
  <si>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</si>
  <si>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</si>
  <si>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</si>
  <si>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</si>
  <si>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</si>
  <si>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</si>
  <si>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</si>
  <si>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</si>
  <si>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</si>
  <si>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</si>
  <si>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</si>
  <si>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</si>
  <si>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</si>
  <si>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</si>
  <si>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</si>
  <si>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</si>
  <si>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</si>
  <si>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</si>
  <si>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</si>
  <si>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</si>
  <si>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</si>
  <si>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</si>
  <si>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</si>
  <si>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</si>
  <si>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</si>
  <si>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</si>
  <si>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</si>
  <si>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</si>
  <si>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</si>
  <si>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</si>
  <si>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</si>
  <si>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</si>
  <si>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</si>
  <si>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</si>
  <si>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</si>
  <si>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</si>
  <si>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</si>
  <si>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</si>
  <si>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</si>
  <si>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</si>
  <si>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</si>
  <si>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</si>
  <si>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</si>
  <si>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</si>
  <si>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</si>
  <si>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</si>
  <si>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</si>
  <si>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</si>
  <si>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</si>
  <si>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</si>
  <si>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</si>
  <si>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</si>
  <si>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</si>
  <si>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</si>
  <si>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</si>
  <si>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</si>
  <si>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</si>
  <si>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</si>
  <si>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</si>
  <si>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</si>
  <si>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</si>
  <si>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</si>
  <si>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</si>
  <si>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</si>
  <si>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</si>
  <si>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</si>
  <si>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</si>
  <si>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</si>
  <si>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</si>
  <si>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</si>
  <si>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</si>
  <si>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</si>
  <si>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</si>
  <si>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</si>
  <si>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</si>
  <si>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</si>
  <si>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</si>
  <si>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</si>
  <si>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</si>
  <si>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</si>
  <si>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</si>
  <si>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</si>
  <si>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</si>
  <si>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</si>
  <si>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</si>
  <si>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</si>
  <si>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</si>
  <si>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</si>
  <si>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</si>
  <si>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</si>
  <si>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</si>
  <si>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</si>
  <si>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</si>
  <si>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</si>
  <si>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</si>
  <si>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</si>
  <si>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</si>
  <si>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</si>
  <si>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</si>
  <si>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</si>
  <si>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</si>
  <si>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</si>
  <si>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</si>
  <si>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</si>
  <si>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</si>
  <si>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</si>
  <si>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</si>
  <si>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</si>
  <si>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</si>
  <si>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</si>
  <si>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</si>
  <si>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</si>
  <si>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</si>
  <si>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</si>
  <si>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</si>
  <si>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</si>
  <si>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</si>
  <si>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</si>
  <si>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</si>
  <si>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</si>
  <si>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</si>
  <si>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</si>
  <si>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</si>
  <si>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</si>
  <si>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</si>
  <si>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</si>
  <si>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</si>
  <si>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</si>
  <si>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</si>
  <si>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</si>
  <si>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</si>
  <si>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</si>
  <si>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</si>
  <si>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</si>
  <si>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</si>
  <si>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</si>
  <si>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</si>
  <si>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</si>
  <si>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</si>
  <si>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</si>
  <si>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</si>
  <si>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</si>
  <si>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</si>
  <si>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</si>
  <si>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</si>
  <si>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</si>
  <si>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</si>
  <si>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</si>
  <si>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</si>
  <si>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</si>
  <si>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</si>
  <si>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</si>
  <si>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</si>
  <si>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</si>
  <si>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</si>
  <si>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</si>
  <si>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</si>
  <si>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</si>
  <si>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</si>
  <si>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</si>
  <si>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</si>
  <si>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</si>
  <si>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</si>
  <si>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</si>
  <si>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</si>
  <si>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</si>
  <si>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</si>
  <si>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</si>
  <si>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</si>
  <si>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</si>
  <si>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</si>
  <si>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</si>
  <si>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</si>
  <si>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</si>
  <si>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</si>
  <si>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</si>
  <si>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</si>
  <si>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</si>
  <si>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</si>
  <si>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</si>
  <si>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</si>
  <si>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</si>
  <si>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</si>
  <si>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</si>
  <si>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</si>
  <si>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</si>
  <si>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</si>
  <si>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</si>
  <si>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</si>
  <si>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</si>
  <si>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</si>
  <si>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</si>
  <si>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</si>
  <si>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</si>
  <si>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</si>
  <si>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</si>
  <si>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</si>
  <si>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</si>
  <si>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</si>
  <si>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</si>
  <si>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</si>
  <si>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</si>
  <si>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</si>
  <si>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</si>
  <si>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</si>
  <si>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</si>
  <si>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</si>
  <si>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</si>
  <si>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</si>
  <si>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</si>
  <si>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</si>
  <si>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</si>
  <si>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</si>
  <si>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</si>
  <si>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</si>
  <si>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</si>
  <si>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</si>
  <si>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</si>
  <si>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</si>
  <si>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</si>
  <si>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</si>
  <si>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</si>
  <si>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</si>
  <si>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</si>
  <si>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</si>
  <si>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</si>
  <si>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</si>
  <si>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</si>
  <si>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</si>
  <si>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</si>
  <si>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</si>
  <si>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</si>
  <si>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</si>
  <si>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</si>
  <si>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</si>
  <si>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</si>
  <si>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</si>
  <si>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</si>
  <si>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</si>
  <si>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</si>
  <si>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</si>
  <si>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</si>
  <si>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</si>
  <si>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</si>
  <si>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</si>
  <si>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</si>
  <si>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</si>
  <si>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</si>
  <si>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</si>
  <si>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</si>
  <si>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</si>
  <si>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</si>
  <si>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</si>
  <si>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</si>
  <si>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</si>
  <si>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</si>
  <si>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</si>
  <si>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</si>
  <si>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</si>
  <si>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</si>
  <si>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</si>
  <si>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</si>
  <si>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</si>
  <si>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</si>
  <si>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</si>
  <si>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</si>
  <si>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</si>
  <si>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</si>
  <si>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</si>
  <si>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</si>
  <si>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</si>
  <si>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</si>
  <si>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</si>
  <si>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</si>
  <si>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</si>
  <si>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</si>
  <si>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</si>
  <si>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</si>
  <si>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</si>
  <si>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</si>
  <si>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</si>
  <si>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</si>
  <si>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</si>
  <si>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</si>
  <si>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</si>
  <si>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</si>
  <si>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</si>
  <si>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</si>
  <si>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</si>
  <si>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</si>
  <si>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</si>
  <si>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</si>
  <si>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</si>
  <si>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</si>
  <si>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</si>
  <si>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</si>
  <si>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</si>
  <si>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</si>
  <si>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</si>
  <si>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</si>
  <si>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</si>
  <si>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</si>
  <si>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</si>
  <si>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</si>
  <si>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</si>
  <si>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</si>
  <si>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</si>
  <si>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</si>
  <si>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</si>
  <si>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</si>
  <si>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</si>
  <si>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</si>
  <si>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</si>
  <si>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</si>
  <si>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</si>
  <si>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</si>
  <si>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</si>
  <si>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</si>
  <si>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</si>
  <si>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</si>
  <si>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</si>
  <si>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</si>
  <si>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</si>
  <si>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</si>
  <si>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</si>
  <si>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</si>
  <si>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</si>
  <si>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</si>
  <si>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</si>
  <si>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</si>
  <si>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</si>
  <si>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</si>
  <si>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</si>
  <si>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</si>
  <si>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</si>
  <si>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</si>
  <si>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</si>
  <si>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</si>
  <si>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</si>
  <si>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</si>
  <si>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</si>
  <si>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</si>
  <si>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</si>
  <si>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</si>
  <si>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</si>
  <si>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</si>
  <si>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</si>
  <si>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</si>
  <si>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</si>
  <si>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</si>
  <si>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</si>
  <si>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</si>
  <si>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</si>
  <si>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</si>
  <si>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</si>
  <si>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</si>
  <si>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</si>
  <si>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</si>
  <si>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</si>
  <si>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</si>
  <si>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</si>
  <si>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</si>
  <si>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</si>
  <si>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</si>
  <si>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</si>
  <si>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</si>
  <si>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</si>
  <si>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</si>
  <si>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</si>
  <si>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</si>
  <si>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</si>
  <si>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</si>
  <si>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</si>
  <si>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</si>
  <si>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</si>
  <si>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</si>
  <si>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</si>
  <si>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</si>
  <si>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</si>
  <si>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</si>
  <si>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</si>
  <si>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</si>
  <si>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</si>
  <si>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</si>
  <si>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</si>
  <si>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</si>
  <si>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</si>
  <si>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</si>
  <si>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</si>
  <si>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</si>
  <si>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</si>
  <si>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</si>
  <si>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</si>
  <si>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</si>
  <si>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</si>
  <si>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</si>
  <si>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</si>
  <si>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</si>
  <si>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</si>
  <si>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</si>
  <si>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</si>
  <si>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</si>
  <si>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</si>
  <si>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</si>
  <si>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</si>
  <si>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</si>
  <si>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</si>
  <si>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</si>
  <si>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</si>
  <si>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</si>
  <si>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</si>
  <si>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</si>
  <si>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</si>
  <si>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</si>
  <si>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</si>
  <si>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</si>
  <si>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</si>
  <si>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</si>
  <si>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</si>
  <si>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</si>
  <si>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</si>
  <si>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</si>
  <si>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</si>
  <si>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</si>
  <si>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</si>
  <si>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</si>
  <si>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</si>
  <si>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</si>
  <si>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</si>
  <si>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</si>
  <si>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</si>
  <si>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</si>
  <si>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</si>
  <si>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</si>
  <si>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</si>
  <si>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</si>
  <si>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</si>
  <si>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</si>
  <si>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</si>
  <si>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</si>
  <si>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</si>
  <si>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</si>
  <si>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</si>
  <si>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</si>
  <si>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</si>
  <si>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</si>
  <si>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</si>
  <si>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</si>
  <si>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</si>
  <si>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</si>
  <si>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</si>
  <si>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</si>
  <si>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</si>
  <si>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</si>
  <si>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</si>
  <si>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</si>
  <si>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</si>
  <si>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</si>
  <si>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</si>
  <si>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</si>
  <si>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</si>
  <si>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</si>
  <si>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</si>
  <si>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</si>
  <si>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</si>
  <si>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</si>
  <si>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</si>
  <si>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</si>
  <si>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</si>
  <si>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</si>
  <si>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</si>
  <si>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</si>
  <si>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</si>
  <si>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</si>
  <si>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</si>
  <si>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</si>
  <si>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</si>
  <si>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</si>
  <si>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</si>
  <si>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</si>
  <si>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</si>
  <si>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</si>
  <si>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</si>
  <si>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</si>
  <si>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</si>
  <si>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</si>
  <si>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</si>
  <si>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</si>
  <si>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</si>
  <si>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</si>
  <si>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</si>
  <si>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</si>
  <si>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</si>
  <si>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</si>
  <si>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</si>
  <si>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</si>
  <si>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</si>
  <si>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</si>
  <si>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</si>
  <si>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</si>
  <si>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</si>
  <si>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</si>
  <si>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</si>
  <si>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</si>
  <si>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</si>
  <si>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</si>
  <si>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</si>
  <si>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</si>
  <si>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</si>
  <si>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</si>
  <si>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</si>
  <si>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</si>
  <si>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</si>
  <si>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</si>
  <si>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</si>
  <si>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</si>
  <si>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</si>
  <si>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</si>
  <si>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</si>
  <si>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</si>
  <si>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</si>
  <si>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</si>
  <si>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</si>
  <si>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</si>
  <si>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</si>
  <si>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</si>
  <si>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</si>
  <si>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</si>
  <si>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</si>
  <si>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</si>
  <si>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</si>
  <si>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</si>
  <si>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</si>
  <si>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</si>
  <si>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</si>
  <si>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</si>
  <si>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</si>
  <si>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</si>
  <si>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</si>
  <si>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</si>
  <si>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</si>
  <si>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</si>
  <si>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</si>
  <si>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</si>
  <si>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</si>
  <si>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</si>
  <si>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</si>
  <si>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</si>
  <si>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</si>
  <si>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</si>
  <si>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</si>
  <si>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</si>
  <si>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</si>
  <si>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</si>
  <si>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</si>
  <si>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</si>
  <si>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</si>
  <si>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</si>
  <si>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</si>
  <si>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</si>
  <si>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</si>
  <si>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</si>
  <si>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</si>
  <si>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</si>
  <si>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</si>
  <si>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</si>
  <si>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</si>
  <si>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</si>
  <si>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</si>
  <si>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</si>
  <si>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</si>
  <si>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</si>
  <si>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</si>
  <si>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</si>
  <si>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</si>
  <si>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</si>
  <si>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</si>
  <si>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</si>
  <si>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</si>
  <si>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</si>
  <si>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</si>
  <si>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</si>
  <si>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</si>
  <si>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</si>
  <si>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</si>
  <si>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</si>
  <si>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</si>
  <si>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</si>
  <si>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</si>
  <si>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</si>
  <si>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</si>
  <si>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</si>
  <si>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</si>
  <si>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</si>
  <si>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</si>
  <si>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</si>
  <si>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</si>
  <si>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</si>
  <si>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</si>
  <si>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</si>
  <si>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</si>
  <si>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</si>
  <si>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</si>
  <si>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</si>
  <si>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</si>
  <si>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</si>
  <si>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</si>
  <si>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</si>
  <si>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</si>
  <si>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</si>
  <si>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</si>
  <si>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</si>
  <si>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</si>
  <si>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</si>
  <si>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</si>
  <si>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</si>
  <si>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</si>
  <si>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</si>
  <si>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</si>
  <si>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</si>
  <si>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</si>
  <si>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</si>
  <si>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</si>
  <si>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</si>
  <si>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</si>
  <si>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</si>
  <si>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</si>
  <si>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</si>
  <si>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</si>
  <si>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</si>
  <si>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</si>
  <si>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</si>
  <si>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</si>
  <si>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</si>
  <si>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</si>
  <si>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</si>
  <si>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</si>
  <si>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</si>
  <si>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</si>
  <si>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</si>
  <si>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</si>
  <si>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</si>
  <si>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</si>
  <si>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</si>
  <si>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</si>
  <si>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</si>
  <si>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</si>
  <si>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</si>
  <si>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</si>
  <si>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</si>
  <si>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</si>
  <si>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</si>
  <si>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</si>
  <si>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</si>
  <si>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</si>
  <si>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</si>
  <si>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</si>
  <si>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</si>
  <si>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</si>
  <si>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</si>
  <si>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</si>
  <si>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</si>
  <si>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</si>
  <si>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</si>
  <si>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</si>
  <si>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</si>
  <si>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</si>
  <si>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</si>
  <si>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</si>
  <si>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</si>
  <si>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</si>
  <si>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</si>
  <si>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</si>
  <si>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</si>
  <si>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</si>
  <si>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</si>
  <si>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</si>
  <si>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</si>
  <si>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</si>
  <si>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</si>
  <si>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</si>
  <si>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</si>
  <si>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</si>
  <si>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</si>
  <si>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</si>
  <si>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</si>
  <si>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</si>
  <si>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</si>
  <si>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</si>
  <si>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</si>
  <si>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</si>
  <si>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</si>
  <si>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</si>
  <si>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</si>
  <si>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</si>
  <si>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</si>
  <si>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</si>
  <si>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</si>
  <si>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</si>
  <si>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</si>
  <si>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</si>
  <si>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</si>
  <si>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</si>
  <si>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</si>
  <si>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</si>
  <si>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</si>
  <si>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</si>
  <si>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</si>
  <si>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</si>
  <si>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</si>
  <si>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</si>
  <si>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</si>
  <si>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</si>
  <si>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</si>
  <si>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</si>
  <si>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</si>
  <si>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</si>
  <si>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</si>
  <si>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</si>
  <si>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</si>
  <si>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</si>
  <si>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</si>
  <si>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</si>
  <si>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</si>
  <si>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</si>
  <si>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</si>
  <si>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</si>
  <si>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</si>
  <si>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</si>
  <si>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</si>
  <si>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</si>
  <si>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</si>
  <si>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</si>
  <si>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</si>
  <si>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</si>
  <si>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</si>
  <si>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</si>
  <si>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</si>
  <si>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</si>
  <si>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</si>
  <si>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</si>
  <si>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</si>
  <si>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</si>
  <si>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</si>
  <si>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</si>
  <si>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</si>
  <si>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</si>
  <si>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</si>
  <si>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</si>
  <si>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</si>
  <si>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</si>
  <si>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</si>
  <si>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</si>
  <si>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</si>
  <si>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</si>
  <si>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</si>
  <si>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</si>
  <si>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</si>
  <si>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</si>
  <si>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</si>
  <si>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</si>
  <si>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</si>
  <si>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</si>
  <si>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</si>
  <si>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</si>
  <si>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</si>
  <si>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</si>
  <si>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</si>
  <si>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</si>
  <si>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</si>
  <si>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</si>
  <si>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</si>
  <si>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</si>
  <si>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</si>
  <si>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</si>
  <si>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</si>
  <si>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</si>
  <si>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</si>
  <si>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</si>
  <si>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</si>
  <si>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</si>
  <si>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</si>
  <si>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</si>
  <si>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</si>
  <si>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</si>
  <si>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</si>
  <si>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</si>
  <si>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</si>
  <si>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</si>
  <si>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</si>
  <si>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</si>
  <si>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</si>
  <si>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</si>
  <si>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</si>
  <si>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</si>
  <si>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</si>
  <si>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</si>
  <si>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</si>
  <si>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</si>
  <si>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</si>
  <si>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</si>
  <si>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</si>
  <si>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</si>
  <si>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</si>
  <si>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</si>
  <si>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</si>
  <si>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</si>
  <si>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</si>
  <si>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</si>
  <si>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</si>
  <si>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</si>
  <si>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</si>
  <si>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</si>
  <si>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</si>
  <si>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</si>
  <si>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</si>
  <si>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</si>
  <si>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</si>
  <si>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</si>
  <si>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</si>
  <si>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</si>
  <si>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</si>
  <si>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</si>
  <si>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</si>
  <si>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</si>
  <si>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</si>
  <si>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</si>
  <si>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</si>
  <si>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</si>
  <si>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</si>
  <si>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</si>
  <si>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</si>
  <si>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</si>
  <si>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</si>
  <si>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</si>
  <si>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</si>
  <si>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</si>
  <si>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</si>
  <si>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</si>
  <si>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</si>
  <si>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</si>
  <si>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</si>
  <si>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</si>
  <si>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</si>
  <si>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</si>
  <si>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</si>
  <si>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</si>
  <si>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</si>
  <si>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</si>
  <si>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</si>
  <si>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</si>
  <si>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</si>
  <si>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</si>
  <si>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</si>
  <si>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</si>
  <si>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</si>
  <si>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</si>
  <si>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</si>
  <si>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</si>
  <si>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</si>
  <si>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</si>
  <si>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</si>
  <si>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</si>
  <si>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</si>
  <si>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</si>
  <si>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</si>
  <si>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</si>
  <si>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</si>
  <si>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</si>
  <si>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</si>
  <si>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</si>
  <si>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</si>
  <si>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</si>
  <si>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</si>
  <si>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</si>
  <si>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</si>
  <si>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</si>
  <si>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</si>
  <si>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</si>
  <si>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</si>
  <si>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</si>
  <si>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</si>
  <si>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</si>
  <si>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</si>
  <si>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</si>
  <si>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</si>
  <si>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</si>
  <si>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</si>
  <si>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</si>
  <si>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</si>
  <si>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</si>
  <si>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</si>
  <si>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</si>
  <si>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</si>
  <si>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</si>
  <si>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</si>
  <si>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</si>
  <si>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</si>
  <si>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</si>
  <si>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</si>
  <si>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</si>
  <si>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</si>
  <si>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</si>
  <si>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</si>
  <si>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</si>
  <si>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</si>
  <si>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</si>
  <si>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</si>
  <si>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</si>
  <si>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</si>
  <si>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</si>
  <si>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</si>
  <si>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</si>
  <si>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</si>
  <si>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</si>
  <si>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</si>
  <si>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</si>
  <si>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</si>
  <si>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</si>
  <si>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</si>
  <si>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</si>
  <si>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</si>
  <si>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</si>
  <si>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</si>
  <si>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</si>
  <si>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</si>
  <si>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</si>
  <si>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</si>
  <si>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</si>
  <si>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</si>
  <si>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</si>
  <si>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</si>
  <si>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</si>
  <si>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</si>
  <si>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</si>
  <si>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</si>
  <si>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</si>
  <si>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</si>
  <si>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</si>
  <si>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</si>
  <si>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</si>
  <si>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</si>
  <si>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</si>
  <si>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</si>
  <si>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</si>
  <si>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</si>
  <si>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</si>
  <si>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</si>
  <si>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</si>
  <si>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</si>
  <si>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</si>
  <si>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</si>
  <si>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</si>
  <si>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</si>
  <si>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</si>
  <si>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</si>
  <si>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</si>
  <si>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</si>
  <si>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</si>
  <si>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</si>
  <si>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</si>
  <si>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</si>
  <si>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</si>
  <si>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</si>
  <si>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</si>
  <si>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</si>
  <si>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</si>
  <si>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</si>
  <si>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</si>
  <si>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</si>
  <si>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</si>
  <si>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</si>
  <si>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</si>
  <si>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</si>
  <si>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</si>
  <si>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</si>
  <si>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</si>
  <si>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</si>
  <si>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</si>
  <si>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</si>
  <si>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</si>
  <si>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</si>
  <si>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</si>
  <si>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</si>
  <si>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</si>
  <si>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</si>
  <si>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</si>
  <si>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</si>
  <si>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</si>
  <si>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</si>
  <si>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</si>
  <si>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</si>
  <si>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</si>
  <si>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</si>
  <si>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</si>
  <si>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</si>
  <si>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</si>
  <si>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</si>
  <si>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</si>
  <si>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</si>
  <si>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</si>
  <si>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</si>
  <si>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</si>
  <si>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</si>
  <si>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</si>
  <si>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</si>
  <si>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</si>
  <si>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</si>
  <si>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</si>
  <si>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</si>
  <si>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</si>
  <si>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</si>
  <si>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</si>
  <si>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</si>
  <si>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</si>
  <si>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</si>
  <si>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</si>
  <si>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</si>
  <si>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</si>
  <si>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</si>
  <si>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</si>
  <si>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LTS LOGISTIQUE TRANSPORT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</si>
  <si>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</si>
  <si>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</si>
  <si>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</si>
  <si>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</si>
  <si>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</si>
  <si>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</si>
  <si>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</si>
  <si>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</si>
  <si>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</si>
  <si>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</si>
  <si>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</si>
  <si>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</si>
  <si>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</si>
  <si>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</si>
  <si>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</si>
  <si>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</si>
  <si>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</si>
  <si>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</si>
  <si>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</si>
  <si>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</si>
  <si>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</si>
  <si>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</si>
  <si>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</si>
  <si>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</si>
  <si>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</si>
  <si>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</si>
  <si>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</si>
  <si>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</si>
  <si>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</si>
  <si>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</si>
  <si>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</si>
  <si>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</si>
  <si>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</si>
  <si>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</si>
  <si>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</si>
  <si>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</si>
  <si>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</si>
  <si>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</si>
  <si>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</si>
  <si>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</si>
  <si>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</si>
  <si>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</si>
  <si>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</si>
  <si>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</si>
  <si>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</si>
  <si>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</si>
  <si>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</si>
  <si>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</si>
  <si>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</si>
  <si>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</si>
  <si>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</si>
  <si>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</si>
  <si>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</si>
  <si>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</si>
  <si>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</si>
  <si>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</si>
  <si>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</si>
  <si>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REDOUAN MOUFADDAL</t>
  </si>
  <si>
    <t>AGOURA DE TRAVAUX GENERALES (SARL)</t>
  </si>
  <si>
    <t>DETROIT PLANCHER</t>
  </si>
  <si>
    <t>KHALIS TRANS SARL AU</t>
  </si>
  <si>
    <t>KASAL TRAVAUX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</si>
  <si>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</si>
  <si>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</si>
  <si>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</si>
  <si>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</si>
  <si>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</si>
  <si>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</si>
  <si>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</si>
  <si>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</si>
  <si>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</si>
  <si>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</si>
  <si>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</si>
  <si>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</si>
  <si>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</si>
  <si>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</si>
  <si>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</si>
  <si>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</si>
  <si>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</si>
  <si>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</si>
  <si>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</si>
  <si>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</si>
  <si>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</si>
  <si>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</si>
  <si>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</si>
  <si>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</si>
  <si>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</si>
  <si>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</si>
  <si>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</si>
  <si>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</si>
  <si>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</si>
  <si>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</si>
  <si>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</si>
  <si>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</si>
  <si>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</si>
  <si>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</si>
  <si>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</si>
  <si>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</si>
  <si>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</si>
  <si>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</si>
  <si>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</si>
  <si>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</si>
  <si>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</si>
  <si>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</si>
  <si>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</si>
  <si>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</si>
  <si>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</si>
  <si>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</si>
  <si>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</si>
  <si>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</si>
  <si>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</si>
  <si>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</si>
  <si>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</si>
  <si>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</si>
  <si>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</si>
  <si>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</si>
  <si>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</si>
  <si>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</si>
  <si>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</si>
  <si>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</si>
  <si>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</si>
  <si>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</si>
  <si>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</si>
  <si>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</si>
  <si>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</si>
  <si>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</si>
  <si>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</si>
  <si>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</si>
  <si>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</si>
  <si>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</si>
  <si>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</si>
  <si>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</si>
  <si>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</si>
  <si>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</si>
  <si>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</si>
  <si>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</si>
  <si>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</si>
  <si>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</si>
  <si>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</si>
  <si>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</si>
  <si>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</si>
  <si>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</si>
  <si>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</si>
  <si>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</si>
  <si>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</si>
  <si>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</si>
  <si>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</si>
  <si>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</si>
  <si>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</si>
  <si>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</si>
  <si>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</si>
  <si>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</si>
  <si>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</si>
  <si>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</si>
  <si>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</si>
  <si>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</si>
  <si>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</si>
  <si>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</si>
  <si>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</si>
  <si>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</si>
  <si>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</si>
  <si>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</si>
  <si>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</si>
  <si>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</si>
  <si>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</si>
  <si>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</si>
  <si>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</si>
  <si>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</si>
  <si>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</si>
  <si>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</si>
  <si>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</si>
  <si>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</si>
  <si>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</si>
  <si>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</si>
  <si>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</si>
  <si>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</si>
  <si>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</si>
  <si>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</si>
  <si>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</si>
  <si>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</si>
  <si>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</si>
  <si>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</si>
  <si>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</si>
  <si>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</si>
  <si>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</si>
  <si>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</si>
  <si>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</si>
  <si>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</si>
  <si>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</si>
  <si>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</si>
  <si>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</si>
  <si>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</si>
  <si>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</si>
  <si>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</si>
  <si>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</si>
  <si>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</si>
  <si>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</si>
  <si>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</si>
  <si>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</si>
  <si>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</si>
  <si>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</si>
  <si>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</si>
  <si>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</si>
  <si>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</si>
  <si>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</si>
  <si>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</si>
  <si>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</si>
  <si>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</si>
  <si>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</si>
  <si>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</si>
  <si>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</si>
  <si>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</si>
  <si>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</si>
  <si>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</si>
  <si>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</si>
  <si>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</si>
  <si>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</si>
  <si>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</si>
  <si>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</si>
  <si>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</si>
  <si>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</si>
  <si>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</si>
  <si>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</si>
  <si>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</si>
  <si>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</si>
  <si>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</si>
  <si>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</si>
  <si>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</si>
  <si>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</si>
  <si>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</si>
  <si>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</si>
  <si>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</si>
  <si>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</si>
  <si>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</si>
  <si>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</si>
  <si>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</si>
  <si>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</si>
  <si>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</si>
  <si>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</si>
  <si>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</si>
  <si>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</si>
  <si>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</si>
  <si>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</si>
  <si>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</si>
  <si>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</si>
  <si>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</si>
  <si>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</si>
  <si>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</si>
  <si>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</si>
  <si>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</si>
  <si>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</si>
  <si>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</si>
  <si>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</si>
  <si>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</si>
  <si>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</si>
  <si>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</si>
  <si>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</si>
  <si>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</si>
  <si>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</si>
  <si>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</si>
  <si>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</si>
  <si>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</si>
  <si>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</si>
  <si>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</si>
  <si>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</si>
  <si>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</si>
  <si>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</si>
  <si>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</si>
  <si>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</si>
  <si>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</si>
  <si>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</si>
  <si>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</si>
  <si>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</si>
  <si>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</si>
  <si>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</si>
  <si>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</si>
  <si>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</si>
  <si>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</si>
  <si>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</si>
  <si>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</si>
  <si>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</si>
  <si>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</si>
  <si>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</si>
  <si>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</si>
  <si>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</si>
  <si>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</si>
  <si>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</si>
  <si>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</si>
  <si>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</si>
  <si>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</si>
  <si>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</si>
  <si>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</si>
  <si>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</si>
  <si>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</si>
  <si>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</si>
  <si>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</si>
  <si>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</si>
  <si>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</si>
  <si>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</si>
  <si>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</si>
  <si>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</si>
  <si>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</si>
  <si>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</si>
  <si>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</si>
  <si>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</si>
  <si>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</si>
  <si>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</si>
  <si>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</si>
  <si>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</si>
  <si>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</si>
  <si>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</si>
  <si>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</si>
  <si>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</si>
  <si>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</si>
  <si>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</si>
  <si>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</si>
  <si>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</si>
  <si>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</si>
  <si>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</si>
  <si>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</si>
  <si>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</si>
  <si>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</si>
  <si>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</si>
  <si>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</si>
  <si>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</si>
  <si>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</si>
  <si>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</si>
  <si>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</si>
  <si>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</si>
  <si>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</si>
  <si>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</si>
  <si>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</si>
  <si>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</si>
  <si>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</si>
  <si>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</si>
  <si>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</si>
  <si>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</si>
  <si>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</si>
  <si>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</si>
  <si>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</si>
  <si>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</si>
  <si>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</si>
  <si>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</si>
  <si>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</si>
  <si>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</si>
  <si>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</si>
  <si>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</si>
  <si>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</si>
  <si>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</si>
  <si>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</si>
  <si>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</si>
  <si>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</si>
  <si>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</si>
  <si>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</si>
  <si>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</si>
  <si>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</si>
  <si>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</si>
  <si>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</si>
  <si>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</si>
  <si>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</si>
  <si>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</si>
  <si>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</si>
  <si>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</si>
  <si>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</si>
  <si>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</si>
  <si>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</si>
  <si>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</si>
  <si>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</si>
  <si>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</si>
  <si>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</si>
  <si>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</si>
  <si>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</si>
  <si>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</si>
  <si>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</si>
  <si>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</si>
  <si>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</si>
  <si>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</si>
  <si>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</si>
  <si>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</si>
  <si>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</si>
  <si>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</si>
  <si>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</si>
  <si>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</si>
  <si>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</si>
  <si>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</si>
  <si>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</si>
  <si>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</si>
  <si>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</si>
  <si>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</si>
  <si>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</si>
  <si>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</si>
  <si>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</si>
  <si>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</si>
  <si>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</si>
  <si>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</si>
  <si>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</si>
  <si>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</si>
  <si>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</si>
  <si>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</si>
  <si>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</si>
  <si>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</si>
  <si>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</si>
  <si>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</si>
  <si>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</si>
  <si>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</si>
  <si>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</si>
  <si>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</si>
  <si>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</si>
  <si>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</si>
  <si>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</si>
  <si>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</si>
  <si>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</si>
  <si>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</si>
  <si>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</si>
  <si>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</si>
  <si>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</si>
  <si>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</si>
  <si>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</si>
  <si>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</si>
  <si>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</si>
  <si>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</si>
  <si>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</si>
  <si>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</si>
  <si>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</si>
  <si>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</si>
  <si>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</si>
  <si>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</si>
  <si>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</si>
  <si>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</si>
  <si>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</si>
  <si>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</si>
  <si>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</si>
  <si>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</si>
  <si>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</si>
  <si>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</si>
  <si>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</si>
  <si>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</si>
  <si>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</si>
  <si>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</si>
  <si>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</si>
  <si>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</si>
  <si>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</si>
  <si>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</si>
  <si>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</si>
  <si>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</si>
  <si>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</si>
  <si>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</si>
  <si>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</si>
  <si>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</si>
  <si>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</si>
  <si>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</si>
  <si>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</si>
  <si>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</si>
  <si>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</si>
  <si>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</si>
  <si>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</si>
  <si>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</si>
  <si>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</si>
  <si>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</si>
  <si>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</si>
  <si>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</si>
  <si>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</si>
  <si>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</si>
  <si>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</si>
  <si>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</si>
  <si>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</si>
  <si>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</si>
  <si>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</si>
  <si>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</si>
  <si>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</si>
  <si>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</si>
  <si>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</si>
  <si>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</si>
  <si>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</si>
  <si>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</si>
  <si>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</si>
  <si>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</si>
  <si>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</si>
  <si>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</si>
  <si>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</si>
  <si>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</si>
  <si>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</si>
  <si>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</si>
  <si>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</si>
  <si>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</si>
  <si>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</si>
  <si>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</si>
  <si>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</si>
  <si>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</si>
  <si>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</si>
  <si>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</si>
  <si>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</si>
  <si>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</si>
  <si>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</si>
  <si>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</si>
  <si>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</si>
  <si>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</si>
  <si>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</si>
  <si>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</si>
  <si>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</si>
  <si>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</si>
  <si>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</si>
  <si>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</si>
  <si>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</si>
  <si>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</si>
  <si>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</si>
  <si>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</si>
  <si>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</si>
  <si>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</si>
  <si>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</si>
  <si>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</si>
  <si>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</si>
  <si>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</si>
  <si>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</si>
  <si>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</si>
  <si>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</si>
  <si>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</si>
  <si>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</si>
  <si>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</si>
  <si>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</si>
  <si>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</si>
  <si>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</si>
  <si>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</si>
  <si>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</si>
  <si>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</si>
  <si>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</si>
  <si>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</si>
  <si>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</si>
  <si>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</si>
  <si>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</si>
  <si>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</si>
  <si>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</si>
  <si>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</si>
  <si>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</si>
  <si>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</si>
  <si>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</si>
  <si>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</si>
  <si>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</si>
  <si>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</si>
  <si>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</si>
  <si>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</si>
  <si>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</si>
  <si>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</si>
  <si>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</si>
  <si>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</si>
  <si>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</si>
  <si>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</si>
  <si>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</si>
  <si>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</si>
  <si>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</si>
  <si>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</si>
  <si>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</si>
  <si>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</si>
  <si>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</si>
  <si>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</si>
  <si>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</si>
  <si>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</si>
  <si>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</si>
  <si>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</si>
  <si>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</si>
  <si>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</si>
  <si>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</si>
  <si>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</si>
  <si>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</si>
  <si>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</si>
  <si>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</si>
  <si>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</si>
  <si>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</si>
  <si>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</si>
  <si>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</si>
  <si>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</si>
  <si>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</si>
  <si>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</si>
  <si>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</si>
  <si>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</si>
  <si>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</si>
  <si>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</si>
  <si>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</si>
  <si>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</si>
  <si>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</si>
  <si>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</si>
  <si>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</si>
  <si>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</si>
  <si>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</si>
  <si>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</si>
  <si>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</si>
  <si>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</si>
  <si>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</si>
  <si>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</si>
  <si>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</si>
  <si>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</si>
  <si>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</si>
  <si>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</si>
  <si>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</si>
  <si>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</si>
  <si>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</si>
  <si>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</si>
  <si>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</si>
  <si>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</si>
  <si>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</si>
  <si>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</si>
  <si>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</si>
  <si>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</si>
  <si>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</si>
  <si>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</si>
  <si>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</si>
  <si>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</si>
  <si>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</si>
  <si>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</si>
  <si>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</si>
  <si>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</si>
  <si>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</si>
  <si>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</si>
  <si>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</si>
  <si>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</si>
  <si>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</si>
  <si>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</si>
  <si>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</si>
  <si>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</si>
  <si>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</si>
  <si>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</si>
  <si>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</si>
  <si>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</si>
  <si>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</si>
  <si>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</si>
  <si>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</si>
  <si>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</si>
  <si>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</si>
  <si>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</si>
  <si>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</si>
  <si>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</si>
  <si>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</si>
  <si>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</si>
  <si>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</si>
  <si>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</si>
  <si>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</si>
  <si>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</si>
  <si>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</si>
  <si>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</si>
  <si>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</si>
  <si>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</si>
  <si>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</si>
  <si>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</si>
  <si>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</si>
  <si>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</si>
  <si>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</si>
  <si>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</si>
  <si>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</si>
  <si>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</si>
  <si>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</si>
  <si>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</si>
  <si>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</si>
  <si>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</si>
  <si>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</si>
  <si>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</si>
  <si>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</si>
  <si>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</si>
  <si>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</si>
  <si>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</si>
  <si>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</si>
  <si>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</si>
  <si>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</si>
  <si>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</si>
  <si>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</si>
  <si>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</si>
  <si>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</si>
  <si>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</si>
  <si>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</si>
  <si>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</si>
  <si>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</si>
  <si>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</si>
  <si>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</si>
  <si>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</si>
  <si>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</si>
  <si>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</si>
  <si>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</si>
  <si>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</si>
  <si>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</si>
  <si>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</si>
  <si>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</si>
  <si>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</si>
  <si>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</si>
  <si>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</si>
  <si>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</si>
  <si>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</si>
  <si>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</si>
  <si>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</si>
  <si>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</si>
  <si>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</si>
  <si>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</si>
  <si>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</si>
  <si>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</si>
  <si>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</si>
  <si>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</si>
  <si>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</si>
  <si>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</si>
  <si>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</si>
  <si>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</si>
  <si>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</si>
  <si>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</si>
  <si>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</si>
  <si>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</si>
  <si>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</si>
  <si>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</si>
  <si>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</si>
  <si>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</si>
  <si>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</si>
  <si>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</si>
  <si>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</si>
  <si>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</si>
  <si>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</si>
  <si>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</si>
  <si>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</si>
  <si>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</si>
  <si>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</si>
  <si>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</si>
  <si>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</si>
  <si>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</si>
  <si>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</si>
  <si>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</si>
  <si>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</si>
  <si>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</si>
  <si>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</si>
  <si>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</si>
  <si>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</si>
  <si>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</si>
  <si>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</si>
  <si>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</si>
  <si>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</si>
  <si>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</si>
  <si>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</si>
  <si>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</si>
  <si>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</si>
  <si>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</si>
  <si>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</si>
  <si>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</si>
  <si>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</si>
  <si>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</si>
  <si>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</si>
  <si>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</si>
  <si>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</si>
  <si>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</si>
  <si>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</si>
  <si>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</si>
  <si>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</si>
  <si>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</si>
  <si>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</si>
  <si>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</si>
  <si>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</si>
  <si>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</si>
  <si>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</si>
  <si>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</si>
  <si>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</si>
  <si>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</si>
  <si>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</si>
  <si>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</si>
  <si>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</si>
  <si>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</si>
  <si>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</si>
  <si>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</si>
  <si>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</si>
  <si>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</si>
  <si>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</si>
  <si>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</si>
  <si>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</si>
  <si>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</si>
  <si>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</si>
  <si>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</si>
  <si>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</si>
  <si>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</si>
  <si>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</si>
  <si>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</si>
  <si>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</si>
  <si>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</si>
  <si>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</si>
  <si>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</si>
  <si>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</si>
  <si>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</si>
  <si>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</si>
  <si>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</si>
  <si>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</si>
  <si>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</si>
  <si>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</si>
  <si>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</si>
  <si>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</si>
  <si>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</si>
  <si>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</si>
  <si>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</si>
  <si>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</si>
  <si>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</si>
  <si>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</si>
  <si>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</si>
  <si>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</si>
  <si>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</si>
  <si>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</si>
  <si>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</si>
  <si>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</si>
  <si>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</si>
  <si>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</si>
  <si>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</si>
  <si>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</si>
  <si>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</si>
  <si>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</si>
  <si>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</si>
  <si>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</si>
  <si>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</si>
  <si>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</si>
  <si>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</si>
  <si>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</si>
  <si>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</si>
  <si>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</si>
  <si>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</si>
  <si>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</si>
  <si>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</si>
  <si>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</si>
  <si>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</si>
  <si>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</si>
  <si>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</si>
  <si>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</si>
  <si>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</si>
  <si>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</si>
  <si>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</si>
  <si>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</si>
  <si>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</si>
  <si>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</si>
  <si>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</si>
  <si>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</si>
  <si>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</si>
  <si>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</si>
  <si>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</si>
  <si>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</si>
  <si>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</si>
  <si>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</si>
  <si>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</si>
  <si>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</si>
  <si>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</si>
  <si>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</si>
  <si>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</si>
  <si>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</si>
  <si>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</si>
  <si>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</si>
  <si>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</si>
  <si>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</si>
  <si>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</si>
  <si>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</si>
  <si>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</si>
  <si>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</si>
  <si>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</si>
  <si>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</si>
  <si>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</si>
  <si>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</si>
  <si>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</si>
  <si>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</si>
  <si>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</si>
  <si>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</si>
  <si>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</si>
  <si>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</si>
  <si>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</si>
  <si>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</si>
  <si>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</si>
  <si>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</si>
  <si>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</si>
  <si>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</si>
  <si>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</si>
  <si>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</si>
  <si>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</si>
  <si>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</si>
  <si>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</si>
  <si>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</si>
  <si>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</si>
  <si>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</si>
  <si>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</si>
  <si>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</si>
  <si>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</si>
  <si>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</si>
  <si>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</si>
  <si>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</si>
  <si>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</si>
  <si>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</si>
  <si>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</si>
  <si>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</si>
  <si>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</si>
  <si>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</si>
  <si>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</si>
  <si>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</si>
  <si>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</si>
  <si>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</si>
  <si>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</si>
  <si>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</si>
  <si>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</si>
  <si>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</si>
  <si>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</si>
  <si>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</si>
  <si>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</si>
  <si>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</si>
  <si>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</si>
  <si>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</si>
  <si>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</si>
  <si>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</si>
  <si>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</si>
  <si>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</si>
  <si>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</si>
  <si>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</si>
  <si>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</si>
  <si>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</si>
  <si>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</si>
  <si>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</si>
  <si>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</si>
  <si>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</si>
  <si>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</si>
  <si>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</si>
  <si>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</si>
  <si>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</si>
  <si>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</si>
  <si>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</si>
  <si>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</si>
  <si>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</si>
  <si>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</si>
  <si>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</si>
  <si>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</si>
  <si>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</si>
  <si>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</si>
  <si>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</si>
  <si>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</si>
  <si>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</si>
  <si>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</si>
  <si>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</si>
  <si>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</si>
  <si>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</si>
  <si>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</si>
  <si>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</si>
  <si>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</si>
  <si>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</si>
  <si>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</si>
  <si>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</si>
  <si>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</si>
  <si>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</si>
  <si>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</si>
  <si>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</si>
  <si>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</si>
  <si>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</si>
  <si>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</si>
  <si>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</si>
  <si>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</si>
  <si>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</si>
  <si>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</si>
  <si>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</si>
  <si>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</si>
  <si>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</si>
  <si>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</si>
  <si>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</si>
  <si>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</si>
  <si>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</si>
  <si>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</si>
  <si>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</si>
  <si>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</si>
  <si>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</si>
  <si>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</si>
  <si>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</si>
  <si>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</si>
  <si>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</si>
  <si>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</si>
  <si>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</si>
  <si>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</si>
  <si>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</si>
  <si>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</si>
  <si>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</si>
  <si>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</si>
  <si>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</si>
  <si>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</si>
  <si>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</si>
  <si>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</si>
  <si>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</si>
  <si>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</si>
  <si>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</si>
  <si>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</si>
  <si>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</si>
  <si>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</si>
  <si>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</si>
  <si>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</si>
  <si>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</si>
  <si>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</si>
  <si>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</si>
  <si>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</si>
  <si>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</si>
  <si>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</si>
  <si>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</si>
  <si>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</si>
  <si>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</si>
  <si>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</si>
  <si>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</si>
  <si>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</si>
  <si>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</si>
  <si>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</si>
  <si>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</si>
  <si>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</si>
  <si>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</si>
  <si>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</si>
  <si>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</si>
  <si>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</si>
  <si>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</si>
  <si>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</si>
  <si>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</si>
  <si>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</si>
  <si>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</si>
  <si>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</si>
  <si>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</si>
  <si>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</si>
  <si>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</si>
  <si>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</si>
  <si>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</si>
  <si>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</si>
  <si>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</si>
  <si>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</si>
  <si>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</si>
  <si>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</si>
  <si>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</si>
  <si>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</si>
  <si>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</si>
  <si>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</si>
  <si>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</si>
  <si>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</si>
  <si>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</si>
  <si>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</si>
  <si>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</si>
  <si>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</si>
  <si>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</si>
  <si>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</si>
  <si>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</si>
  <si>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</si>
  <si>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</si>
  <si>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</si>
  <si>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</si>
  <si>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</si>
  <si>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</si>
  <si>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</si>
  <si>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</si>
  <si>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</si>
  <si>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</si>
  <si>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</si>
  <si>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</si>
  <si>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</si>
  <si>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</si>
  <si>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</si>
  <si>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</si>
  <si>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</si>
  <si>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</si>
  <si>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</si>
  <si>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</si>
  <si>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</si>
  <si>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</si>
  <si>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</si>
  <si>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</si>
  <si>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</si>
  <si>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</si>
  <si>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</si>
  <si>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</si>
  <si>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</si>
  <si>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</si>
  <si>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</si>
  <si>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</si>
  <si>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</si>
  <si>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</si>
  <si>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</si>
  <si>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</si>
  <si>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</si>
  <si>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</si>
  <si>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</si>
  <si>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</si>
  <si>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</si>
  <si>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</si>
  <si>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</si>
  <si>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</si>
  <si>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</si>
  <si>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</si>
  <si>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</si>
  <si>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</si>
  <si>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</si>
  <si>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</si>
  <si>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</si>
  <si>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</si>
  <si>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</si>
  <si>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</si>
  <si>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</si>
  <si>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</si>
  <si>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</si>
  <si>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</si>
  <si>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</si>
  <si>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</si>
  <si>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</si>
  <si>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</si>
  <si>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</si>
  <si>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</si>
  <si>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</si>
  <si>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</si>
  <si>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</si>
  <si>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</si>
  <si>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</si>
  <si>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</si>
  <si>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</si>
  <si>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</si>
  <si>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</si>
  <si>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</si>
  <si>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</si>
  <si>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</si>
  <si>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</si>
  <si>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</si>
  <si>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</si>
  <si>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</si>
  <si>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</si>
  <si>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</si>
  <si>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</si>
  <si>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</si>
  <si>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</si>
  <si>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</si>
  <si>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</si>
  <si>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</si>
  <si>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</si>
  <si>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</si>
  <si>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</si>
  <si>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</si>
  <si>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</si>
  <si>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</si>
  <si>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</si>
  <si>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</si>
  <si>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</si>
  <si>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</si>
  <si>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</si>
  <si>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</si>
  <si>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</si>
  <si>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</si>
  <si>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</si>
  <si>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</si>
  <si>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</si>
  <si>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</si>
  <si>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</si>
  <si>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</si>
  <si>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</si>
  <si>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</si>
  <si>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</si>
  <si>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</si>
  <si>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</si>
  <si>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</si>
  <si>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</si>
  <si>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</si>
  <si>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</si>
  <si>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</si>
  <si>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</si>
  <si>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</si>
  <si>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</si>
  <si>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</si>
  <si>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</si>
  <si>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</si>
  <si>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</si>
  <si>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</si>
  <si>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</si>
  <si>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</si>
  <si>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</si>
  <si>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</si>
  <si>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</si>
  <si>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</si>
  <si>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</si>
  <si>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</si>
  <si>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</si>
  <si>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</si>
  <si>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</si>
  <si>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</si>
  <si>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</si>
  <si>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</si>
  <si>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</si>
  <si>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</si>
  <si>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</si>
  <si>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</si>
  <si>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</si>
  <si>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</si>
  <si>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</si>
  <si>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</si>
  <si>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</si>
  <si>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</si>
  <si>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</si>
  <si>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</si>
  <si>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</si>
  <si>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</si>
  <si>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</si>
  <si>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</si>
  <si>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</si>
  <si>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</si>
  <si>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</si>
  <si>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</si>
  <si>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</si>
  <si>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</si>
  <si>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</si>
  <si>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</si>
  <si>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</si>
  <si>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</si>
  <si>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</si>
  <si>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</si>
  <si>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</si>
  <si>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</si>
  <si>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</si>
  <si>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</si>
  <si>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</si>
  <si>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</si>
  <si>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</si>
  <si>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</si>
  <si>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</si>
  <si>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</si>
  <si>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</si>
  <si>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</si>
  <si>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</si>
  <si>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</si>
  <si>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</si>
  <si>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</si>
  <si>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</si>
  <si>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</si>
  <si>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</si>
  <si>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</si>
  <si>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</si>
  <si>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</si>
  <si>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</si>
  <si>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</si>
  <si>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</si>
  <si>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</si>
  <si>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</si>
  <si>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</si>
  <si>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</si>
  <si>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</si>
  <si>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</si>
  <si>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</si>
  <si>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</si>
  <si>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</si>
  <si>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</si>
  <si>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</si>
  <si>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</si>
  <si>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</si>
  <si>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</si>
  <si>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</si>
  <si>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</si>
  <si>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</si>
  <si>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</si>
  <si>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</si>
  <si>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</si>
  <si>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</si>
  <si>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</si>
  <si>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</si>
  <si>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</si>
  <si>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</si>
  <si>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</si>
  <si>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</si>
  <si>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</si>
  <si>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</si>
  <si>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</si>
  <si>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</si>
  <si>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</si>
  <si>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</si>
  <si>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</si>
  <si>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</si>
  <si>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</si>
  <si>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</si>
  <si>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</si>
  <si>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</si>
  <si>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</si>
  <si>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</si>
  <si>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</si>
  <si>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</si>
  <si>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</si>
  <si>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</si>
  <si>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</si>
  <si>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</si>
  <si>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</si>
  <si>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</si>
  <si>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</si>
  <si>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</si>
  <si>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</si>
  <si>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</si>
  <si>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</si>
  <si>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</si>
  <si>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</si>
  <si>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</si>
  <si>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</si>
  <si>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</si>
  <si>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</si>
  <si>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</si>
  <si>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</si>
  <si>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</si>
  <si>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</si>
  <si>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</si>
  <si>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</si>
  <si>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</si>
  <si>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</si>
  <si>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</si>
  <si>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</si>
  <si>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</si>
  <si>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</si>
  <si>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</si>
  <si>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</si>
  <si>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</si>
  <si>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</si>
  <si>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</si>
  <si>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</si>
  <si>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</si>
  <si>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</si>
  <si>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</si>
  <si>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</si>
  <si>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</si>
  <si>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</si>
  <si>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</si>
  <si>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</si>
  <si>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</si>
  <si>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</si>
  <si>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</si>
  <si>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</si>
  <si>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</si>
  <si>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</si>
  <si>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</si>
  <si>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</si>
  <si>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</si>
  <si>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</si>
  <si>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</si>
  <si>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</si>
  <si>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</si>
  <si>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</si>
  <si>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</si>
  <si>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</si>
  <si>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</si>
  <si>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</si>
  <si>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</si>
  <si>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</si>
  <si>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</si>
  <si>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</si>
  <si>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</si>
  <si>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</si>
  <si>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</si>
  <si>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</si>
  <si>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</si>
  <si>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</si>
  <si>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</si>
  <si>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</si>
  <si>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</si>
  <si>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</si>
  <si>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</si>
  <si>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</si>
  <si>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</si>
  <si>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</si>
  <si>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</si>
  <si>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</si>
  <si>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</si>
  <si>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</si>
  <si>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</si>
  <si>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</si>
  <si>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</si>
  <si>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</si>
  <si>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</si>
  <si>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</si>
  <si>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</si>
  <si>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</si>
  <si>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</si>
  <si>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</si>
  <si>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</si>
  <si>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</si>
  <si>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</si>
  <si>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</si>
  <si>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</si>
  <si>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</si>
  <si>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</si>
  <si>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</si>
  <si>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</si>
  <si>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</si>
  <si>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</si>
  <si>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</si>
  <si>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</si>
  <si>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</si>
  <si>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</si>
  <si>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</si>
  <si>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</si>
  <si>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</si>
  <si>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</si>
  <si>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</si>
  <si>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</si>
  <si>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</si>
  <si>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</si>
  <si>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</si>
  <si>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</si>
  <si>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</si>
  <si>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</si>
  <si>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</si>
  <si>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</si>
  <si>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</si>
  <si>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</si>
  <si>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</si>
  <si>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</si>
  <si>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</si>
  <si>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</si>
  <si>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</si>
  <si>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</si>
  <si>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</si>
  <si>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</si>
  <si>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</si>
  <si>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</si>
  <si>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</si>
  <si>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</si>
  <si>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</si>
  <si>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</si>
  <si>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</si>
  <si>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</si>
  <si>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</si>
  <si>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</si>
  <si>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</si>
  <si>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</si>
  <si>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</si>
  <si>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</si>
  <si>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</si>
  <si>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</si>
  <si>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</si>
  <si>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</si>
  <si>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</si>
  <si>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</si>
  <si>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</si>
  <si>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</si>
  <si>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</si>
  <si>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</si>
  <si>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</si>
  <si>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</si>
  <si>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</si>
  <si>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</si>
  <si>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</si>
  <si>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</si>
  <si>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</si>
  <si>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</si>
  <si>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</si>
  <si>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</si>
  <si>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</si>
  <si>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</si>
  <si>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</si>
  <si>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</si>
  <si>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</si>
  <si>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</si>
  <si>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</si>
  <si>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</si>
  <si>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</si>
  <si>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</si>
  <si>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</si>
  <si>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</si>
  <si>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</si>
  <si>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</si>
  <si>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</si>
  <si>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</si>
  <si>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</si>
  <si>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</si>
  <si>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</si>
  <si>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</si>
  <si>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</si>
  <si>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</si>
  <si>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</si>
  <si>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</si>
  <si>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</si>
  <si>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</si>
  <si>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</si>
  <si>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</si>
  <si>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</si>
  <si>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</si>
  <si>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</si>
  <si>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</si>
  <si>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</si>
  <si>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</si>
  <si>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</si>
  <si>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</si>
  <si>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</si>
  <si>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</si>
  <si>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</si>
  <si>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</si>
  <si>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</si>
  <si>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</si>
  <si>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</si>
  <si>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</si>
  <si>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</si>
  <si>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</si>
  <si>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</si>
  <si>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</si>
  <si>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</si>
  <si>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</si>
  <si>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</si>
  <si>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</si>
  <si>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</si>
  <si>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</si>
  <si>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</si>
  <si>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</si>
  <si>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</si>
  <si>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</si>
  <si>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</si>
  <si>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</si>
  <si>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</si>
  <si>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</si>
  <si>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</si>
  <si>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</si>
  <si>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</si>
  <si>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</si>
  <si>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</si>
  <si>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</si>
  <si>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</si>
  <si>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</si>
  <si>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</si>
  <si>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</si>
  <si>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</si>
  <si>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</si>
  <si>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</si>
  <si>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</si>
  <si>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</si>
  <si>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</si>
  <si>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</si>
  <si>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</si>
  <si>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</si>
  <si>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</si>
  <si>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</si>
  <si>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</si>
  <si>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</si>
  <si>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</si>
  <si>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</si>
  <si>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</si>
  <si>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</si>
  <si>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</si>
  <si>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</si>
  <si>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</si>
  <si>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</si>
  <si>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</si>
  <si>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</si>
  <si>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</si>
  <si>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</si>
  <si>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</si>
  <si>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</si>
  <si>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</si>
  <si>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</si>
  <si>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</si>
  <si>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</si>
  <si>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</si>
  <si>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</si>
  <si>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</si>
  <si>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</si>
  <si>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</si>
  <si>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</si>
  <si>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</si>
  <si>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</si>
  <si>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</si>
  <si>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</si>
  <si>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</si>
  <si>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</si>
  <si>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</si>
  <si>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</si>
  <si>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</si>
  <si>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</si>
  <si>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</si>
  <si>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</si>
  <si>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</si>
  <si>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</si>
  <si>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</si>
  <si>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</si>
  <si>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</si>
  <si>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</si>
  <si>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</si>
  <si>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</si>
  <si>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</si>
  <si>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</si>
  <si>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</si>
  <si>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</si>
  <si>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</si>
  <si>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</si>
  <si>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</si>
  <si>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</si>
  <si>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</si>
  <si>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</si>
  <si>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</si>
  <si>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</si>
  <si>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</si>
  <si>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</si>
  <si>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</si>
  <si>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</si>
  <si>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</si>
  <si>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</si>
  <si>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</si>
  <si>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</si>
  <si>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</si>
  <si>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</si>
  <si>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</si>
  <si>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</si>
  <si>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</si>
  <si>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</si>
  <si>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</si>
  <si>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</si>
  <si>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</si>
  <si>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</si>
  <si>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</si>
  <si>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</si>
  <si>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</si>
  <si>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</si>
  <si>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</si>
  <si>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</si>
  <si>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</si>
  <si>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</si>
  <si>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</si>
  <si>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</si>
  <si>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</si>
  <si>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</si>
  <si>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</si>
  <si>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</si>
  <si>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</si>
  <si>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</si>
  <si>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</si>
  <si>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</si>
  <si>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</si>
  <si>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</si>
  <si>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</si>
  <si>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</si>
  <si>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</si>
  <si>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</si>
  <si>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</si>
  <si>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</si>
  <si>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</si>
  <si>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</si>
  <si>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</si>
  <si>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</si>
  <si>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</si>
  <si>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</si>
  <si>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</si>
  <si>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</si>
  <si>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</si>
  <si>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</si>
  <si>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</si>
  <si>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</si>
  <si>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</si>
  <si>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</si>
  <si>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</si>
  <si>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</si>
  <si>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</si>
  <si>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</si>
  <si>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</si>
  <si>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</si>
  <si>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</si>
  <si>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</si>
  <si>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</si>
  <si>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</si>
  <si>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</si>
  <si>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</si>
  <si>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</si>
  <si>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</si>
  <si>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</si>
  <si>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</si>
  <si>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</si>
  <si>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</si>
  <si>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</si>
  <si>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</si>
  <si>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</si>
  <si>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</si>
  <si>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</si>
  <si>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</si>
  <si>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</si>
  <si>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</si>
  <si>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</si>
  <si>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</si>
  <si>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</si>
  <si>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</si>
  <si>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</si>
  <si>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</si>
  <si>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</si>
  <si>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</si>
  <si>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</si>
  <si>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</si>
  <si>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</si>
  <si>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</si>
  <si>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</si>
  <si>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</si>
  <si>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</si>
  <si>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</si>
  <si>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</si>
  <si>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</si>
  <si>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</si>
  <si>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</si>
  <si>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</si>
  <si>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</si>
  <si>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</si>
  <si>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</si>
  <si>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</si>
  <si>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</si>
  <si>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</si>
  <si>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</si>
  <si>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</si>
  <si>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</si>
  <si>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</si>
  <si>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</si>
  <si>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</si>
  <si>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</si>
  <si>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</si>
  <si>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</si>
  <si>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</si>
  <si>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</si>
  <si>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</si>
  <si>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</si>
  <si>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</si>
  <si>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</si>
  <si>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</si>
  <si>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</si>
  <si>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</si>
  <si>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</si>
  <si>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</si>
  <si>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</si>
  <si>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</si>
  <si>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</si>
  <si>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</si>
  <si>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</si>
  <si>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</si>
  <si>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</si>
  <si>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</si>
  <si>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</si>
  <si>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</si>
  <si>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</si>
  <si>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</si>
  <si>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</si>
  <si>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</si>
  <si>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</si>
  <si>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</si>
  <si>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</si>
  <si>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</si>
  <si>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</si>
  <si>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</si>
  <si>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</si>
  <si>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</si>
  <si>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</si>
  <si>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</si>
  <si>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</si>
  <si>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</si>
  <si>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</si>
  <si>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</si>
  <si>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</si>
  <si>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</si>
  <si>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</si>
  <si>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</si>
  <si>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</si>
  <si>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IHANDARE TRANSPORT</t>
  </si>
  <si>
    <t>MAROC ORIENTAL GENIE CEVIL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</si>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</sst>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88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164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164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164" fontId="10" fillId="0" borderId="7" xfId="1" applyFont="1" applyBorder="1"/>
    <xf numFmtId="164" fontId="10" fillId="0" borderId="0" xfId="1" applyFont="1"/>
    <xf numFmtId="164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164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164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164" fontId="3" fillId="0" borderId="8" xfId="1" applyFont="1" applyBorder="1" applyAlignment="1">
      <alignment horizontal="center"/>
    </xf>
    <xf numFmtId="164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166" fontId="0" fillId="0" borderId="0" xfId="2" applyFont="1" applyFill="1"/>
    <xf numFmtId="164" fontId="0" fillId="0" borderId="0" xfId="0" applyNumberFormat="1"/>
    <xf numFmtId="0" fontId="2" fillId="2" borderId="5" xfId="0" applyFont="1" applyFill="1" applyBorder="1" applyAlignment="1">
      <alignment horizontal="left" vertical="center"/>
    </xf>
    <xf numFmtId="166" fontId="0" fillId="0" borderId="7" xfId="2" applyFont="1" applyFill="1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8" xfId="1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8" xfId="1" applyFont="1" applyFill="1" applyBorder="1" applyAlignment="1">
      <alignment horizontal="center"/>
    </xf>
    <xf numFmtId="164" fontId="11" fillId="0" borderId="7" xfId="0" applyNumberFormat="1" applyFon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za\Desktop\DATA\TTSUD\Suivi%20des%20cr&#233;ances\2025\02-2025\SUIVI%20CREANCES%20CLIENTS%20%2002-2025.xlsx" TargetMode="External"/><Relationship Id="rId1" Type="http://schemas.openxmlformats.org/officeDocument/2006/relationships/externalLinkPath" Target="/Users/Hamza/Desktop/DATA/TTSUD/Suivi%20des%20cr&#233;ances/2025/02-2025/SUIVI%20CREANCES%20CLIENTS%20%2002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LDE CREANCE 2024 TTC"/>
      <sheetName val="SOLDE CREANCE 2024 HT"/>
      <sheetName val="SUIVI DES CREANCES GLOBAL 2025"/>
      <sheetName val="RECAP DES SOLDES CREANCES"/>
      <sheetName val="Recouv"/>
      <sheetName val="CONT"/>
    </sheetNames>
    <sheetDataSet>
      <sheetData sheetId="0" refreshError="1"/>
      <sheetData sheetId="1" refreshError="1"/>
      <sheetData sheetId="2" refreshError="1"/>
      <sheetData sheetId="3">
        <row r="7">
          <cell r="B7" t="str">
            <v>ANDAGAL BETON</v>
          </cell>
          <cell r="F7">
            <v>90</v>
          </cell>
        </row>
        <row r="8">
          <cell r="B8" t="str">
            <v>AMENAGEMENT ET ROUTES MEDITERRANEENS</v>
          </cell>
          <cell r="F8">
            <v>90</v>
          </cell>
        </row>
        <row r="9">
          <cell r="B9" t="str">
            <v>CIMENTS DU MAROC</v>
          </cell>
          <cell r="F9">
            <v>90</v>
          </cell>
        </row>
        <row r="10">
          <cell r="B10" t="str">
            <v>MEFITRANS SARL</v>
          </cell>
          <cell r="F10">
            <v>60</v>
          </cell>
        </row>
        <row r="11">
          <cell r="B11" t="str">
            <v>FOURNISSEUR GENERAL MAROCAIN</v>
          </cell>
          <cell r="F11">
            <v>90</v>
          </cell>
        </row>
        <row r="12">
          <cell r="B12" t="str">
            <v>HARAM MATERIAUX</v>
          </cell>
          <cell r="F12">
            <v>60</v>
          </cell>
        </row>
        <row r="13">
          <cell r="B13" t="str">
            <v>MACHINE 2M SARL AU</v>
          </cell>
          <cell r="F13">
            <v>90</v>
          </cell>
        </row>
        <row r="14">
          <cell r="B14" t="str">
            <v>STE NORD SUD DE TRANSPORT ET MATERIAUX DE CONSTRUCTION</v>
          </cell>
          <cell r="F14">
            <v>120</v>
          </cell>
        </row>
        <row r="15">
          <cell r="B15" t="str">
            <v>ENTREPRISE HASNAOUI SARL</v>
          </cell>
          <cell r="F15">
            <v>0</v>
          </cell>
        </row>
        <row r="16">
          <cell r="B16" t="str">
            <v>STE ZEL TRANS SARL</v>
          </cell>
          <cell r="F16">
            <v>60</v>
          </cell>
        </row>
        <row r="17">
          <cell r="B17" t="str">
            <v>TRANS OUADIR</v>
          </cell>
          <cell r="F17">
            <v>90</v>
          </cell>
        </row>
        <row r="18">
          <cell r="B18" t="str">
            <v>STE MLIH TRANCE SARL</v>
          </cell>
          <cell r="F18">
            <v>90</v>
          </cell>
        </row>
        <row r="19">
          <cell r="B19" t="str">
            <v>TRANS SOTA EX-COMPTE-CLIENT</v>
          </cell>
          <cell r="F19">
            <v>90</v>
          </cell>
        </row>
        <row r="20">
          <cell r="B20" t="str">
            <v>AYALOG</v>
          </cell>
          <cell r="F20">
            <v>90</v>
          </cell>
        </row>
        <row r="21">
          <cell r="B21" t="str">
            <v>CLIENTS AU COMPTANT</v>
          </cell>
          <cell r="F21">
            <v>0</v>
          </cell>
        </row>
        <row r="22">
          <cell r="B22" t="str">
            <v>STE TRANS DOUBLE VOIE SARL AU</v>
          </cell>
          <cell r="F22">
            <v>90</v>
          </cell>
        </row>
        <row r="23">
          <cell r="B23" t="str">
            <v>STE SOFANORTRAV  SARL AU</v>
          </cell>
          <cell r="F23">
            <v>60</v>
          </cell>
        </row>
        <row r="24">
          <cell r="B24" t="str">
            <v>MARCO SERVICES</v>
          </cell>
          <cell r="F24">
            <v>60</v>
          </cell>
        </row>
        <row r="25">
          <cell r="B25" t="str">
            <v>ZAZO TRANS LOGISTIQUE</v>
          </cell>
          <cell r="F25">
            <v>90</v>
          </cell>
        </row>
        <row r="26">
          <cell r="B26" t="str">
            <v>UNIVERS BAT SA</v>
          </cell>
          <cell r="F26">
            <v>90</v>
          </cell>
        </row>
        <row r="27">
          <cell r="B27" t="str">
            <v>STE A-TAMZ</v>
          </cell>
          <cell r="F27">
            <v>90</v>
          </cell>
        </row>
        <row r="28">
          <cell r="B28" t="str">
            <v>STE CIMENTS DE L'ATLAS SA</v>
          </cell>
          <cell r="F28">
            <v>60</v>
          </cell>
        </row>
        <row r="29">
          <cell r="B29" t="str">
            <v>STE SITRAD</v>
          </cell>
          <cell r="F29">
            <v>60</v>
          </cell>
        </row>
        <row r="30">
          <cell r="B30" t="str">
            <v>STE MANSOURI SJH</v>
          </cell>
          <cell r="F30">
            <v>90</v>
          </cell>
        </row>
        <row r="31">
          <cell r="B31" t="str">
            <v>GROUPEMENT ETUDES ET DE REALISATIONS DE BATIMENTS (GERAB)</v>
          </cell>
          <cell r="F31">
            <v>0</v>
          </cell>
        </row>
        <row r="32">
          <cell r="B32" t="str">
            <v>CA TRANS</v>
          </cell>
          <cell r="F32">
            <v>90</v>
          </cell>
        </row>
        <row r="33">
          <cell r="B33" t="str">
            <v>SOCIETE WLNJ TRAVAUX</v>
          </cell>
          <cell r="F33">
            <v>90</v>
          </cell>
        </row>
        <row r="34">
          <cell r="B34" t="str">
            <v>STE B.T.A CONSTRUCTION SARL AU</v>
          </cell>
          <cell r="F34">
            <v>90</v>
          </cell>
        </row>
        <row r="35">
          <cell r="B35" t="str">
            <v>REAL SPAIN DE CONSTRUCTION</v>
          </cell>
          <cell r="F35">
            <v>90</v>
          </cell>
        </row>
        <row r="36">
          <cell r="B36" t="str">
            <v>IHANDARE TRANSPORT</v>
          </cell>
          <cell r="F36">
            <v>0</v>
          </cell>
        </row>
        <row r="37">
          <cell r="B37" t="str">
            <v>BIKOMKAV</v>
          </cell>
          <cell r="F37">
            <v>90</v>
          </cell>
        </row>
        <row r="38">
          <cell r="B38" t="str">
            <v>COMPTOIR I.N.J</v>
          </cell>
          <cell r="F38">
            <v>90</v>
          </cell>
        </row>
        <row r="39">
          <cell r="B39" t="str">
            <v>RENEWABLE ENERGYDESIGN</v>
          </cell>
          <cell r="F39">
            <v>0</v>
          </cell>
        </row>
        <row r="40">
          <cell r="B40" t="str">
            <v>AB PROJECTS AND EPC</v>
          </cell>
          <cell r="F40">
            <v>0</v>
          </cell>
        </row>
        <row r="41">
          <cell r="B41" t="str">
            <v>MIGHTY MACHINERY</v>
          </cell>
          <cell r="F41">
            <v>0</v>
          </cell>
        </row>
        <row r="42">
          <cell r="B42" t="str">
            <v>TRANS SERVICE BETON SARL AU</v>
          </cell>
          <cell r="F42">
            <v>90</v>
          </cell>
        </row>
        <row r="43">
          <cell r="B43" t="str">
            <v>RYMA BETTON</v>
          </cell>
          <cell r="F43">
            <v>120</v>
          </cell>
        </row>
        <row r="44">
          <cell r="B44" t="str">
            <v>STE ANNAWAT VARIE SARL</v>
          </cell>
          <cell r="F44">
            <v>90</v>
          </cell>
        </row>
        <row r="45">
          <cell r="B45" t="str">
            <v>STE TRANS MGN SARL</v>
          </cell>
          <cell r="F45">
            <v>90</v>
          </cell>
        </row>
        <row r="46">
          <cell r="B46" t="str">
            <v>SACONS BET</v>
          </cell>
          <cell r="F46">
            <v>90</v>
          </cell>
        </row>
        <row r="47">
          <cell r="B47" t="str">
            <v>SM BATIMO</v>
          </cell>
          <cell r="F47">
            <v>90</v>
          </cell>
        </row>
        <row r="48">
          <cell r="B48" t="str">
            <v>NOVALIS CONSULTING</v>
          </cell>
          <cell r="F48">
            <v>90</v>
          </cell>
        </row>
        <row r="49">
          <cell r="B49" t="str">
            <v>ZAGORA LOGISTIC</v>
          </cell>
          <cell r="F49">
            <v>90</v>
          </cell>
        </row>
        <row r="50">
          <cell r="B50" t="str">
            <v>ENTRPRISE RIAD POUR LA CONSTRUCTION ET L'EQUIPEMENT</v>
          </cell>
          <cell r="F50">
            <v>0</v>
          </cell>
        </row>
        <row r="51">
          <cell r="B51" t="str">
            <v>NOUKATEL</v>
          </cell>
          <cell r="F51">
            <v>0</v>
          </cell>
        </row>
        <row r="52">
          <cell r="B52" t="str">
            <v>TRAVAUX GENERAUX DE CONSTRUCTIONS DE CASABLANCA  (TGCC)</v>
          </cell>
          <cell r="F52">
            <v>120</v>
          </cell>
        </row>
        <row r="53">
          <cell r="B53" t="str">
            <v>AIT BEN IDER BATIMENT (SA2B)</v>
          </cell>
          <cell r="F53">
            <v>60</v>
          </cell>
        </row>
      </sheetData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419"/>
  <sheetViews>
    <sheetView tabSelected="1" topLeftCell="K1" workbookViewId="0">
      <selection activeCell="Z19" sqref="Z19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4551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9" t="s">
        <v>24</v>
      </c>
      <c r="AA1" s="9" t="s">
        <v>25</v>
      </c>
    </row>
    <row r="2" spans="1:27" x14ac:dyDescent="0.25">
      <c r="A2" s="10">
        <v>45658</v>
      </c>
      <c r="B2" s="11" t="s">
        <v>716</v>
      </c>
      <c r="C2" s="11" t="s">
        <v>1071</v>
      </c>
      <c r="D2" s="11" t="s">
        <v>26</v>
      </c>
      <c r="E2" s="11" t="s">
        <v>577</v>
      </c>
      <c r="F2" s="11" t="s">
        <v>26</v>
      </c>
      <c r="G2" s="11" t="s">
        <v>26</v>
      </c>
      <c r="H2" s="12" t="s">
        <v>4443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14">
        <v>3660.96</v>
      </c>
      <c r="S2" s="15">
        <v>38</v>
      </c>
      <c r="T2" s="15">
        <v>1599.04</v>
      </c>
      <c r="U2" s="15">
        <v>2061.92</v>
      </c>
      <c r="V2" s="15">
        <v>2061.92</v>
      </c>
      <c r="W2" s="15">
        <v>0</v>
      </c>
      <c r="X2" s="15">
        <v>1514.8799999999999</v>
      </c>
      <c r="Y2" s="16">
        <v>84.160000000000082</v>
      </c>
      <c r="Z2" s="69" t="s">
        <v>144</v>
      </c>
      <c r="AA2" s="12" t="s">
        <v>78</v>
      </c>
    </row>
    <row r="3" spans="1:27" x14ac:dyDescent="0.25">
      <c r="A3" s="10">
        <v>45658</v>
      </c>
      <c r="B3" s="11" t="s">
        <v>1072</v>
      </c>
      <c r="C3" s="11" t="s">
        <v>1073</v>
      </c>
      <c r="D3" s="11" t="s">
        <v>26</v>
      </c>
      <c r="E3" s="11" t="s">
        <v>434</v>
      </c>
      <c r="F3" s="11" t="s">
        <v>26</v>
      </c>
      <c r="G3" s="11">
        <v>127</v>
      </c>
      <c r="H3" s="12" t="s">
        <v>115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14">
        <v>1682.1499999999999</v>
      </c>
      <c r="S3" s="15">
        <v>0</v>
      </c>
      <c r="T3" s="15">
        <v>0</v>
      </c>
      <c r="U3" s="15">
        <v>1682.1499999999999</v>
      </c>
      <c r="V3" s="15">
        <v>0</v>
      </c>
      <c r="W3" s="15">
        <v>1682.1499999999999</v>
      </c>
      <c r="X3" s="15">
        <v>0</v>
      </c>
      <c r="Y3" s="16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1074</v>
      </c>
      <c r="C4" s="11" t="s">
        <v>1075</v>
      </c>
      <c r="D4" s="11" t="s">
        <v>26</v>
      </c>
      <c r="E4" s="11" t="s">
        <v>566</v>
      </c>
      <c r="F4" s="11" t="s">
        <v>26</v>
      </c>
      <c r="G4" s="11" t="s">
        <v>26</v>
      </c>
      <c r="H4" s="12" t="s">
        <v>4445</v>
      </c>
      <c r="I4" s="12" t="s">
        <v>27</v>
      </c>
      <c r="J4" s="12" t="s">
        <v>33</v>
      </c>
      <c r="K4" s="12" t="s">
        <v>660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14">
        <v>3129.28</v>
      </c>
      <c r="S4" s="15">
        <v>41</v>
      </c>
      <c r="T4" s="15">
        <v>1457.96</v>
      </c>
      <c r="U4" s="15">
        <v>1671.3200000000002</v>
      </c>
      <c r="V4" s="15">
        <v>1671.3200000000002</v>
      </c>
      <c r="W4" s="15">
        <v>0</v>
      </c>
      <c r="X4" s="15">
        <v>1422.4</v>
      </c>
      <c r="Y4" s="16">
        <v>35.559999999999945</v>
      </c>
      <c r="Z4" s="69" t="s">
        <v>144</v>
      </c>
      <c r="AA4" s="12" t="s">
        <v>750</v>
      </c>
    </row>
    <row r="5" spans="1:27" x14ac:dyDescent="0.25">
      <c r="A5" s="10">
        <v>45658</v>
      </c>
      <c r="B5" s="11" t="s">
        <v>1076</v>
      </c>
      <c r="C5" s="11" t="s">
        <v>1077</v>
      </c>
      <c r="D5" s="11" t="s">
        <v>26</v>
      </c>
      <c r="E5" s="11" t="s">
        <v>187</v>
      </c>
      <c r="F5" s="11" t="s">
        <v>26</v>
      </c>
      <c r="G5" s="11" t="s">
        <v>26</v>
      </c>
      <c r="H5" s="12" t="s">
        <v>4443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14">
        <v>3554.82</v>
      </c>
      <c r="S5" s="15">
        <v>38</v>
      </c>
      <c r="T5" s="15">
        <v>1552.68</v>
      </c>
      <c r="U5" s="15">
        <v>2002.14</v>
      </c>
      <c r="V5" s="15">
        <v>2002.14</v>
      </c>
      <c r="W5" s="15">
        <v>0</v>
      </c>
      <c r="X5" s="15">
        <v>1470.96</v>
      </c>
      <c r="Y5" s="16">
        <v>81.720000000000027</v>
      </c>
      <c r="Z5" s="69" t="s">
        <v>144</v>
      </c>
      <c r="AA5" s="12" t="s">
        <v>78</v>
      </c>
    </row>
    <row r="6" spans="1:27" x14ac:dyDescent="0.25">
      <c r="A6" s="10">
        <v>45658</v>
      </c>
      <c r="B6" s="11" t="s">
        <v>1078</v>
      </c>
      <c r="C6" s="11" t="s">
        <v>1079</v>
      </c>
      <c r="D6" s="11" t="s">
        <v>26</v>
      </c>
      <c r="E6" s="11" t="s">
        <v>504</v>
      </c>
      <c r="F6" s="11" t="s">
        <v>26</v>
      </c>
      <c r="G6" s="11" t="s">
        <v>26</v>
      </c>
      <c r="H6" s="12" t="s">
        <v>4443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15">
        <v>3595.4999999999995</v>
      </c>
      <c r="S6" s="15">
        <v>38</v>
      </c>
      <c r="T6" s="15">
        <v>1607.3999999999999</v>
      </c>
      <c r="U6" s="15">
        <v>1988.0999999999997</v>
      </c>
      <c r="V6" s="15">
        <v>1988.0999999999997</v>
      </c>
      <c r="W6" s="15">
        <v>0</v>
      </c>
      <c r="X6" s="15">
        <v>1522.8</v>
      </c>
      <c r="Y6" s="16">
        <v>84.599999999999909</v>
      </c>
      <c r="Z6" s="69" t="s">
        <v>144</v>
      </c>
      <c r="AA6" s="12" t="s">
        <v>78</v>
      </c>
    </row>
    <row r="7" spans="1:27" x14ac:dyDescent="0.25">
      <c r="A7" s="10">
        <v>45658</v>
      </c>
      <c r="B7" s="11" t="s">
        <v>1080</v>
      </c>
      <c r="C7" s="11" t="s">
        <v>1081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4443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14">
        <v>3575.1000000000004</v>
      </c>
      <c r="S7" s="15">
        <v>38</v>
      </c>
      <c r="T7" s="15">
        <v>1598.2800000000002</v>
      </c>
      <c r="U7" s="15">
        <v>1976.8200000000002</v>
      </c>
      <c r="V7" s="15">
        <v>1976.8200000000002</v>
      </c>
      <c r="W7" s="15">
        <v>0</v>
      </c>
      <c r="X7" s="16">
        <v>1556.22</v>
      </c>
      <c r="Y7" s="16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316</v>
      </c>
      <c r="C8" s="11" t="s">
        <v>1082</v>
      </c>
      <c r="D8" s="11" t="s">
        <v>26</v>
      </c>
      <c r="E8" s="11" t="s">
        <v>1083</v>
      </c>
      <c r="F8" s="11" t="s">
        <v>26</v>
      </c>
      <c r="G8" s="11">
        <v>111846</v>
      </c>
      <c r="H8" s="12" t="s">
        <v>4468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14">
        <v>1547.04</v>
      </c>
      <c r="S8" s="15">
        <v>0</v>
      </c>
      <c r="T8" s="15">
        <v>0</v>
      </c>
      <c r="U8" s="15">
        <v>1547.04</v>
      </c>
      <c r="V8" s="15">
        <v>1547.04</v>
      </c>
      <c r="W8" s="15">
        <v>0</v>
      </c>
      <c r="X8" s="16">
        <v>0</v>
      </c>
      <c r="Y8" s="16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289</v>
      </c>
      <c r="C9" s="11" t="s">
        <v>1084</v>
      </c>
      <c r="D9" s="11" t="s">
        <v>26</v>
      </c>
      <c r="E9" s="11" t="s">
        <v>573</v>
      </c>
      <c r="F9" s="11" t="s">
        <v>26</v>
      </c>
      <c r="G9" s="11">
        <v>10305</v>
      </c>
      <c r="H9" s="12" t="s">
        <v>143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14">
        <v>1687.2</v>
      </c>
      <c r="S9" s="15">
        <v>0</v>
      </c>
      <c r="T9" s="15">
        <v>0</v>
      </c>
      <c r="U9" s="15">
        <v>1687.2</v>
      </c>
      <c r="V9" s="15">
        <v>0</v>
      </c>
      <c r="W9" s="15">
        <v>1687.2</v>
      </c>
      <c r="X9" s="15">
        <v>0</v>
      </c>
      <c r="Y9" s="16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667</v>
      </c>
      <c r="C10" s="11" t="s">
        <v>1085</v>
      </c>
      <c r="D10" s="11" t="s">
        <v>26</v>
      </c>
      <c r="E10" s="11" t="s">
        <v>1086</v>
      </c>
      <c r="F10" s="11" t="s">
        <v>26</v>
      </c>
      <c r="G10" s="11">
        <v>111848</v>
      </c>
      <c r="H10" s="12" t="s">
        <v>4468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14">
        <v>1753.0800000000002</v>
      </c>
      <c r="S10" s="15">
        <v>0</v>
      </c>
      <c r="T10" s="15">
        <v>0</v>
      </c>
      <c r="U10" s="15">
        <v>1753.0800000000002</v>
      </c>
      <c r="V10" s="15">
        <v>1753.0800000000002</v>
      </c>
      <c r="W10" s="15">
        <v>0</v>
      </c>
      <c r="X10" s="16">
        <v>0</v>
      </c>
      <c r="Y10" s="16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1087</v>
      </c>
      <c r="C11" s="11" t="s">
        <v>1088</v>
      </c>
      <c r="D11" s="11" t="s">
        <v>26</v>
      </c>
      <c r="E11" s="11" t="s">
        <v>1089</v>
      </c>
      <c r="F11" s="11" t="s">
        <v>26</v>
      </c>
      <c r="G11" s="11">
        <v>111847</v>
      </c>
      <c r="H11" s="12" t="s">
        <v>4468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15">
        <v>1677.48</v>
      </c>
      <c r="S11" s="15">
        <v>0</v>
      </c>
      <c r="T11" s="15">
        <v>0</v>
      </c>
      <c r="U11" s="15">
        <v>1677.48</v>
      </c>
      <c r="V11" s="15">
        <v>1677.48</v>
      </c>
      <c r="W11" s="15">
        <v>0</v>
      </c>
      <c r="X11" s="15">
        <v>0</v>
      </c>
      <c r="Y11" s="16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1090</v>
      </c>
      <c r="C12" s="11" t="s">
        <v>1091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4443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14">
        <v>3539.12</v>
      </c>
      <c r="S12" s="15">
        <v>38</v>
      </c>
      <c r="T12" s="15">
        <v>1620.32</v>
      </c>
      <c r="U12" s="15">
        <v>1918.8</v>
      </c>
      <c r="V12" s="15">
        <v>1918.8</v>
      </c>
      <c r="W12" s="15">
        <v>0</v>
      </c>
      <c r="X12" s="15">
        <v>1577.68</v>
      </c>
      <c r="Y12" s="16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1092</v>
      </c>
      <c r="C13" s="11" t="s">
        <v>1093</v>
      </c>
      <c r="D13" s="11" t="s">
        <v>26</v>
      </c>
      <c r="E13" s="11" t="s">
        <v>492</v>
      </c>
      <c r="F13" s="11" t="s">
        <v>26</v>
      </c>
      <c r="G13" s="11">
        <v>76247</v>
      </c>
      <c r="H13" s="12" t="s">
        <v>4470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14">
        <v>562.5</v>
      </c>
      <c r="S13" s="15">
        <v>0</v>
      </c>
      <c r="T13" s="15">
        <v>0</v>
      </c>
      <c r="U13" s="15">
        <v>562.5</v>
      </c>
      <c r="V13" s="15">
        <v>421.875</v>
      </c>
      <c r="W13" s="15">
        <v>140.625</v>
      </c>
      <c r="X13" s="15">
        <v>0</v>
      </c>
      <c r="Y13" s="16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1094</v>
      </c>
      <c r="C14" s="11" t="s">
        <v>1095</v>
      </c>
      <c r="D14" s="11" t="s">
        <v>26</v>
      </c>
      <c r="E14" s="11" t="s">
        <v>522</v>
      </c>
      <c r="F14" s="11" t="s">
        <v>26</v>
      </c>
      <c r="G14" s="11">
        <v>77380</v>
      </c>
      <c r="H14" s="12" t="s">
        <v>4470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15">
        <v>561</v>
      </c>
      <c r="S14" s="15">
        <v>0</v>
      </c>
      <c r="T14" s="15">
        <v>0</v>
      </c>
      <c r="U14" s="15">
        <v>561</v>
      </c>
      <c r="V14" s="15">
        <v>420.75</v>
      </c>
      <c r="W14" s="15">
        <v>140.25</v>
      </c>
      <c r="X14" s="15">
        <v>0</v>
      </c>
      <c r="Y14" s="16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644</v>
      </c>
      <c r="C15" s="11" t="s">
        <v>1096</v>
      </c>
      <c r="D15" s="11" t="s">
        <v>26</v>
      </c>
      <c r="E15" s="11" t="s">
        <v>484</v>
      </c>
      <c r="F15" s="11" t="s">
        <v>26</v>
      </c>
      <c r="G15" s="11">
        <v>73957</v>
      </c>
      <c r="H15" s="12" t="s">
        <v>4470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14">
        <v>573.9</v>
      </c>
      <c r="S15" s="15">
        <v>0</v>
      </c>
      <c r="T15" s="15">
        <v>0</v>
      </c>
      <c r="U15" s="15">
        <v>573.9</v>
      </c>
      <c r="V15" s="15">
        <v>430.42499999999995</v>
      </c>
      <c r="W15" s="15">
        <v>143.47500000000002</v>
      </c>
      <c r="X15" s="15">
        <v>0</v>
      </c>
      <c r="Y15" s="16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1097</v>
      </c>
      <c r="C16" s="11" t="s">
        <v>1098</v>
      </c>
      <c r="D16" s="11" t="s">
        <v>26</v>
      </c>
      <c r="E16" s="11" t="s">
        <v>571</v>
      </c>
      <c r="F16" s="11" t="s">
        <v>26</v>
      </c>
      <c r="G16" s="11">
        <v>111852</v>
      </c>
      <c r="H16" s="12" t="s">
        <v>4468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15">
        <v>1656.48</v>
      </c>
      <c r="S16" s="15">
        <v>0</v>
      </c>
      <c r="T16" s="15">
        <v>0</v>
      </c>
      <c r="U16" s="15">
        <v>1656.48</v>
      </c>
      <c r="V16" s="15">
        <v>1656.48</v>
      </c>
      <c r="W16" s="15">
        <v>0</v>
      </c>
      <c r="X16" s="15">
        <v>0</v>
      </c>
      <c r="Y16" s="16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1099</v>
      </c>
      <c r="C17" s="11" t="s">
        <v>1100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14">
        <v>1550</v>
      </c>
      <c r="S17" s="15">
        <v>0</v>
      </c>
      <c r="T17" s="15">
        <v>0</v>
      </c>
      <c r="U17" s="15">
        <v>1550</v>
      </c>
      <c r="V17" s="15">
        <v>0</v>
      </c>
      <c r="W17" s="15">
        <v>1550</v>
      </c>
      <c r="X17" s="15">
        <v>0</v>
      </c>
      <c r="Y17" s="16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1101</v>
      </c>
      <c r="C18" s="11" t="s">
        <v>1102</v>
      </c>
      <c r="D18" s="11" t="s">
        <v>26</v>
      </c>
      <c r="E18" s="11" t="s">
        <v>657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14">
        <v>456</v>
      </c>
      <c r="S18" s="15">
        <v>0</v>
      </c>
      <c r="T18" s="15">
        <v>0</v>
      </c>
      <c r="U18" s="15">
        <v>456</v>
      </c>
      <c r="V18" s="15">
        <v>0</v>
      </c>
      <c r="W18" s="15">
        <v>456</v>
      </c>
      <c r="X18" s="15">
        <v>0</v>
      </c>
      <c r="Y18" s="16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140</v>
      </c>
      <c r="C19" s="11" t="s">
        <v>1103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14">
        <v>1550</v>
      </c>
      <c r="S19" s="15">
        <v>0</v>
      </c>
      <c r="T19" s="15">
        <v>0</v>
      </c>
      <c r="U19" s="15">
        <v>1550</v>
      </c>
      <c r="V19" s="15">
        <v>0</v>
      </c>
      <c r="W19" s="15">
        <v>1550</v>
      </c>
      <c r="X19" s="15">
        <v>0</v>
      </c>
      <c r="Y19" s="16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1104</v>
      </c>
      <c r="C20" s="11" t="s">
        <v>1105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144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15">
        <v>567.29999999999995</v>
      </c>
      <c r="S20" s="15">
        <v>0</v>
      </c>
      <c r="T20" s="15">
        <v>0</v>
      </c>
      <c r="U20" s="15">
        <v>567.29999999999995</v>
      </c>
      <c r="V20" s="15">
        <v>0</v>
      </c>
      <c r="W20" s="15">
        <v>567.29999999999995</v>
      </c>
      <c r="X20" s="15">
        <v>0</v>
      </c>
      <c r="Y20" s="16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1106</v>
      </c>
      <c r="C21" s="11" t="s">
        <v>1107</v>
      </c>
      <c r="D21" s="11" t="s">
        <v>26</v>
      </c>
      <c r="E21" s="11" t="s">
        <v>608</v>
      </c>
      <c r="F21" s="11" t="s">
        <v>26</v>
      </c>
      <c r="G21" s="11" t="s">
        <v>26</v>
      </c>
      <c r="H21" s="12" t="s">
        <v>4443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14">
        <v>3542.44</v>
      </c>
      <c r="S21" s="15">
        <v>38</v>
      </c>
      <c r="T21" s="15">
        <v>1621.84</v>
      </c>
      <c r="U21" s="15">
        <v>1920.6000000000001</v>
      </c>
      <c r="V21" s="15">
        <v>1920.6000000000001</v>
      </c>
      <c r="W21" s="15">
        <v>0</v>
      </c>
      <c r="X21" s="15">
        <v>1536.48</v>
      </c>
      <c r="Y21" s="16">
        <v>85.3599999999999</v>
      </c>
      <c r="Z21" s="69" t="s">
        <v>144</v>
      </c>
      <c r="AA21" s="12" t="s">
        <v>78</v>
      </c>
    </row>
    <row r="22" spans="1:27" x14ac:dyDescent="0.25">
      <c r="A22" s="10">
        <v>45658</v>
      </c>
      <c r="B22" s="11" t="s">
        <v>1108</v>
      </c>
      <c r="C22" s="11" t="s">
        <v>1109</v>
      </c>
      <c r="D22" s="11" t="s">
        <v>26</v>
      </c>
      <c r="E22" s="11" t="s">
        <v>562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14">
        <v>456</v>
      </c>
      <c r="S22" s="15">
        <v>0</v>
      </c>
      <c r="T22" s="15">
        <v>0</v>
      </c>
      <c r="U22" s="15">
        <v>456</v>
      </c>
      <c r="V22" s="15">
        <v>0</v>
      </c>
      <c r="W22" s="15">
        <v>456</v>
      </c>
      <c r="X22" s="15">
        <v>0</v>
      </c>
      <c r="Y22" s="16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355</v>
      </c>
      <c r="C23" s="11" t="s">
        <v>1110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144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14">
        <v>572.4</v>
      </c>
      <c r="S23" s="15">
        <v>0</v>
      </c>
      <c r="T23" s="15">
        <v>0</v>
      </c>
      <c r="U23" s="15">
        <v>572.4</v>
      </c>
      <c r="V23" s="15">
        <v>0</v>
      </c>
      <c r="W23" s="15">
        <v>572.4</v>
      </c>
      <c r="X23" s="15">
        <v>0</v>
      </c>
      <c r="Y23" s="16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1111</v>
      </c>
      <c r="C24" s="11" t="s">
        <v>1112</v>
      </c>
      <c r="D24" s="11" t="s">
        <v>26</v>
      </c>
      <c r="E24" s="11" t="s">
        <v>249</v>
      </c>
      <c r="F24" s="11" t="s">
        <v>26</v>
      </c>
      <c r="G24" s="11" t="s">
        <v>26</v>
      </c>
      <c r="H24" s="12" t="s">
        <v>4443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14">
        <v>3710.1000000000004</v>
      </c>
      <c r="S24" s="15">
        <v>38</v>
      </c>
      <c r="T24" s="15">
        <v>1698.6000000000001</v>
      </c>
      <c r="U24" s="15">
        <v>2011.5000000000002</v>
      </c>
      <c r="V24" s="15">
        <v>2011.5000000000002</v>
      </c>
      <c r="W24" s="15">
        <v>0</v>
      </c>
      <c r="X24" s="15">
        <v>1653.9</v>
      </c>
      <c r="Y24" s="16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674</v>
      </c>
      <c r="C25" s="11" t="s">
        <v>1113</v>
      </c>
      <c r="D25" s="11" t="s">
        <v>26</v>
      </c>
      <c r="E25" s="11" t="s">
        <v>180</v>
      </c>
      <c r="F25" s="11" t="s">
        <v>26</v>
      </c>
      <c r="G25" s="11">
        <v>464</v>
      </c>
      <c r="H25" s="12" t="s">
        <v>144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14">
        <v>573.9</v>
      </c>
      <c r="S25" s="15">
        <v>0</v>
      </c>
      <c r="T25" s="15">
        <v>0</v>
      </c>
      <c r="U25" s="15">
        <v>573.9</v>
      </c>
      <c r="V25" s="15">
        <v>0</v>
      </c>
      <c r="W25" s="15">
        <v>573.9</v>
      </c>
      <c r="X25" s="15">
        <v>0</v>
      </c>
      <c r="Y25" s="16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1114</v>
      </c>
      <c r="C26" s="11" t="s">
        <v>1115</v>
      </c>
      <c r="D26" s="11" t="s">
        <v>26</v>
      </c>
      <c r="E26" s="11" t="s">
        <v>542</v>
      </c>
      <c r="F26" s="11" t="s">
        <v>26</v>
      </c>
      <c r="G26" s="11" t="s">
        <v>26</v>
      </c>
      <c r="H26" s="12" t="s">
        <v>4443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15">
        <v>3666.94</v>
      </c>
      <c r="S26" s="15">
        <v>38</v>
      </c>
      <c r="T26" s="15">
        <v>1678.84</v>
      </c>
      <c r="U26" s="15">
        <v>1988.1000000000001</v>
      </c>
      <c r="V26" s="15">
        <v>1988.1000000000001</v>
      </c>
      <c r="W26" s="15">
        <v>0</v>
      </c>
      <c r="X26" s="15">
        <v>1634.66</v>
      </c>
      <c r="Y26" s="16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259</v>
      </c>
      <c r="C27" s="11" t="s">
        <v>1116</v>
      </c>
      <c r="D27" s="11" t="s">
        <v>26</v>
      </c>
      <c r="E27" s="11" t="s">
        <v>1117</v>
      </c>
      <c r="F27" s="11" t="s">
        <v>26</v>
      </c>
      <c r="G27" s="11">
        <v>111845</v>
      </c>
      <c r="H27" s="12" t="s">
        <v>4468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15">
        <v>1665.7199999999998</v>
      </c>
      <c r="S27" s="15">
        <v>0</v>
      </c>
      <c r="T27" s="15">
        <v>0</v>
      </c>
      <c r="U27" s="15">
        <v>1665.7199999999998</v>
      </c>
      <c r="V27" s="15">
        <v>1665.7199999999998</v>
      </c>
      <c r="W27" s="15">
        <v>0</v>
      </c>
      <c r="X27" s="15">
        <v>0</v>
      </c>
      <c r="Y27" s="16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1118</v>
      </c>
      <c r="C28" s="11" t="s">
        <v>1119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14">
        <v>1550</v>
      </c>
      <c r="S28" s="15">
        <v>0</v>
      </c>
      <c r="T28" s="15">
        <v>0</v>
      </c>
      <c r="U28" s="15">
        <v>1550</v>
      </c>
      <c r="V28" s="15">
        <v>0</v>
      </c>
      <c r="W28" s="15">
        <v>1550</v>
      </c>
      <c r="X28" s="15">
        <v>0</v>
      </c>
      <c r="Y28" s="16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1120</v>
      </c>
      <c r="C29" s="11" t="s">
        <v>1121</v>
      </c>
      <c r="D29" s="11" t="s">
        <v>26</v>
      </c>
      <c r="E29" s="11" t="s">
        <v>574</v>
      </c>
      <c r="F29" s="11" t="s">
        <v>26</v>
      </c>
      <c r="G29" s="11">
        <v>111903</v>
      </c>
      <c r="H29" s="12" t="s">
        <v>4468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14">
        <v>1609.44</v>
      </c>
      <c r="S29" s="15">
        <v>0</v>
      </c>
      <c r="T29" s="15">
        <v>0</v>
      </c>
      <c r="U29" s="15">
        <v>1609.44</v>
      </c>
      <c r="V29" s="15">
        <v>1609.44</v>
      </c>
      <c r="W29" s="15">
        <v>0</v>
      </c>
      <c r="X29" s="15">
        <v>0</v>
      </c>
      <c r="Y29" s="16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1122</v>
      </c>
      <c r="C30" s="11" t="s">
        <v>1123</v>
      </c>
      <c r="D30" s="11" t="s">
        <v>26</v>
      </c>
      <c r="E30" s="11" t="s">
        <v>572</v>
      </c>
      <c r="F30" s="11" t="s">
        <v>26</v>
      </c>
      <c r="G30" s="11">
        <v>111726</v>
      </c>
      <c r="H30" s="12" t="s">
        <v>4468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14">
        <v>1682.52</v>
      </c>
      <c r="S30" s="15">
        <v>0</v>
      </c>
      <c r="T30" s="15">
        <v>0</v>
      </c>
      <c r="U30" s="15">
        <v>1682.52</v>
      </c>
      <c r="V30" s="15">
        <v>1682.52</v>
      </c>
      <c r="W30" s="15">
        <v>0</v>
      </c>
      <c r="X30" s="15">
        <v>0</v>
      </c>
      <c r="Y30" s="16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338</v>
      </c>
      <c r="C31" s="11" t="s">
        <v>1124</v>
      </c>
      <c r="D31" s="11" t="s">
        <v>26</v>
      </c>
      <c r="E31" s="11" t="s">
        <v>576</v>
      </c>
      <c r="F31" s="11" t="s">
        <v>26</v>
      </c>
      <c r="G31" s="11">
        <v>112034</v>
      </c>
      <c r="H31" s="12" t="s">
        <v>4468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14">
        <v>1687.56</v>
      </c>
      <c r="S31" s="15">
        <v>0</v>
      </c>
      <c r="T31" s="15">
        <v>0</v>
      </c>
      <c r="U31" s="15">
        <v>1687.56</v>
      </c>
      <c r="V31" s="15">
        <v>1687.56</v>
      </c>
      <c r="W31" s="15">
        <v>0</v>
      </c>
      <c r="X31" s="15">
        <v>0</v>
      </c>
      <c r="Y31" s="16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338</v>
      </c>
      <c r="C32" s="11" t="s">
        <v>1125</v>
      </c>
      <c r="D32" s="11" t="s">
        <v>26</v>
      </c>
      <c r="E32" s="11" t="s">
        <v>243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15">
        <v>600</v>
      </c>
      <c r="S32" s="15">
        <v>0</v>
      </c>
      <c r="T32" s="15">
        <v>0</v>
      </c>
      <c r="U32" s="15">
        <v>600</v>
      </c>
      <c r="V32" s="15">
        <v>0</v>
      </c>
      <c r="W32" s="15">
        <v>600</v>
      </c>
      <c r="X32" s="15">
        <v>0</v>
      </c>
      <c r="Y32" s="16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1126</v>
      </c>
      <c r="C33" s="11" t="s">
        <v>1127</v>
      </c>
      <c r="D33" s="11" t="s">
        <v>26</v>
      </c>
      <c r="E33" s="11" t="s">
        <v>654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231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4">
        <v>0</v>
      </c>
      <c r="R33" s="15">
        <v>1443</v>
      </c>
      <c r="S33" s="15">
        <v>0</v>
      </c>
      <c r="T33" s="15">
        <v>0</v>
      </c>
      <c r="U33" s="15">
        <v>1443</v>
      </c>
      <c r="V33" s="15">
        <v>0</v>
      </c>
      <c r="W33" s="15">
        <v>1443</v>
      </c>
      <c r="X33" s="15">
        <v>0</v>
      </c>
      <c r="Y33" s="16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1128</v>
      </c>
      <c r="C34" s="11" t="s">
        <v>1129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14">
        <v>1450</v>
      </c>
      <c r="S34" s="15">
        <v>0</v>
      </c>
      <c r="T34" s="15">
        <v>0</v>
      </c>
      <c r="U34" s="15">
        <v>1450</v>
      </c>
      <c r="V34" s="15">
        <v>0</v>
      </c>
      <c r="W34" s="15">
        <v>1450</v>
      </c>
      <c r="X34" s="16">
        <v>0</v>
      </c>
      <c r="Y34" s="16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1130</v>
      </c>
      <c r="C35" s="11" t="s">
        <v>1131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4443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4">
        <v>0</v>
      </c>
      <c r="R35" s="15">
        <v>3786.2400000000002</v>
      </c>
      <c r="S35" s="15">
        <v>38</v>
      </c>
      <c r="T35" s="15">
        <v>1653.7600000000002</v>
      </c>
      <c r="U35" s="15">
        <v>2132.48</v>
      </c>
      <c r="V35" s="15">
        <v>2132.48</v>
      </c>
      <c r="W35" s="15">
        <v>0</v>
      </c>
      <c r="X35" s="15">
        <v>1610.24</v>
      </c>
      <c r="Y35" s="16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1132</v>
      </c>
      <c r="C36" s="11" t="s">
        <v>1133</v>
      </c>
      <c r="D36" s="11" t="s">
        <v>26</v>
      </c>
      <c r="E36" s="11" t="s">
        <v>570</v>
      </c>
      <c r="F36" s="11" t="s">
        <v>26</v>
      </c>
      <c r="G36" s="11">
        <v>111849</v>
      </c>
      <c r="H36" s="12" t="s">
        <v>4468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14">
        <v>1767.36</v>
      </c>
      <c r="S36" s="15">
        <v>0</v>
      </c>
      <c r="T36" s="15">
        <v>0</v>
      </c>
      <c r="U36" s="15">
        <v>1767.36</v>
      </c>
      <c r="V36" s="15">
        <v>1767.36</v>
      </c>
      <c r="W36" s="15">
        <v>0</v>
      </c>
      <c r="X36" s="15">
        <v>0</v>
      </c>
      <c r="Y36" s="16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650</v>
      </c>
      <c r="C37" s="11" t="s">
        <v>1134</v>
      </c>
      <c r="D37" s="11" t="s">
        <v>26</v>
      </c>
      <c r="E37" s="11" t="s">
        <v>484</v>
      </c>
      <c r="F37" s="11" t="s">
        <v>26</v>
      </c>
      <c r="G37" s="11">
        <v>73958</v>
      </c>
      <c r="H37" s="12" t="s">
        <v>4470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4">
        <v>0</v>
      </c>
      <c r="R37" s="15">
        <v>553.80000000000007</v>
      </c>
      <c r="S37" s="15">
        <v>0</v>
      </c>
      <c r="T37" s="15">
        <v>0</v>
      </c>
      <c r="U37" s="15">
        <v>553.80000000000007</v>
      </c>
      <c r="V37" s="15">
        <v>415.35</v>
      </c>
      <c r="W37" s="15">
        <v>138.45000000000005</v>
      </c>
      <c r="X37" s="15">
        <v>0</v>
      </c>
      <c r="Y37" s="16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332</v>
      </c>
      <c r="C38" s="11" t="s">
        <v>1135</v>
      </c>
      <c r="D38" s="11" t="s">
        <v>26</v>
      </c>
      <c r="E38" s="11" t="s">
        <v>522</v>
      </c>
      <c r="F38" s="11" t="s">
        <v>26</v>
      </c>
      <c r="G38" s="11">
        <v>77381</v>
      </c>
      <c r="H38" s="12" t="s">
        <v>4470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14">
        <v>553.20000000000005</v>
      </c>
      <c r="S38" s="15">
        <v>0</v>
      </c>
      <c r="T38" s="15">
        <v>0</v>
      </c>
      <c r="U38" s="15">
        <v>553.20000000000005</v>
      </c>
      <c r="V38" s="15">
        <v>414.90000000000003</v>
      </c>
      <c r="W38" s="15">
        <v>138.30000000000001</v>
      </c>
      <c r="X38" s="15">
        <v>0</v>
      </c>
      <c r="Y38" s="16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359</v>
      </c>
      <c r="C39" s="11" t="s">
        <v>1136</v>
      </c>
      <c r="D39" s="11" t="s">
        <v>26</v>
      </c>
      <c r="E39" s="11" t="s">
        <v>492</v>
      </c>
      <c r="F39" s="11" t="s">
        <v>26</v>
      </c>
      <c r="G39" s="11">
        <v>76248</v>
      </c>
      <c r="H39" s="12" t="s">
        <v>4470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14">
        <v>574.20000000000005</v>
      </c>
      <c r="S39" s="15">
        <v>0</v>
      </c>
      <c r="T39" s="15">
        <v>0</v>
      </c>
      <c r="U39" s="15">
        <v>574.20000000000005</v>
      </c>
      <c r="V39" s="15">
        <v>430.65000000000003</v>
      </c>
      <c r="W39" s="15">
        <v>143.55000000000001</v>
      </c>
      <c r="X39" s="15">
        <v>0</v>
      </c>
      <c r="Y39" s="16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1137</v>
      </c>
      <c r="C40" s="11" t="s">
        <v>1138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144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14">
        <v>524.09999999999991</v>
      </c>
      <c r="S40" s="15">
        <v>0</v>
      </c>
      <c r="T40" s="15">
        <v>0</v>
      </c>
      <c r="U40" s="15">
        <v>524.09999999999991</v>
      </c>
      <c r="V40" s="15">
        <v>0</v>
      </c>
      <c r="W40" s="15">
        <v>524.09999999999991</v>
      </c>
      <c r="X40" s="15">
        <v>0</v>
      </c>
      <c r="Y40" s="16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1139</v>
      </c>
      <c r="C41" s="11" t="s">
        <v>1140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4468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14">
        <v>1723.68</v>
      </c>
      <c r="S41" s="15">
        <v>0</v>
      </c>
      <c r="T41" s="15">
        <v>0</v>
      </c>
      <c r="U41" s="15">
        <v>1723.68</v>
      </c>
      <c r="V41" s="15">
        <v>1723.68</v>
      </c>
      <c r="W41" s="15">
        <v>0</v>
      </c>
      <c r="X41" s="15">
        <v>0</v>
      </c>
      <c r="Y41" s="16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1141</v>
      </c>
      <c r="C42" s="11" t="s">
        <v>1142</v>
      </c>
      <c r="D42" s="11" t="s">
        <v>26</v>
      </c>
      <c r="E42" s="11" t="s">
        <v>1083</v>
      </c>
      <c r="F42" s="11" t="s">
        <v>26</v>
      </c>
      <c r="G42" s="11">
        <v>111853</v>
      </c>
      <c r="H42" s="12" t="s">
        <v>4468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14">
        <v>1689.24</v>
      </c>
      <c r="S42" s="15">
        <v>0</v>
      </c>
      <c r="T42" s="15">
        <v>0</v>
      </c>
      <c r="U42" s="15">
        <v>1689.24</v>
      </c>
      <c r="V42" s="15">
        <v>1689.24</v>
      </c>
      <c r="W42" s="15">
        <v>0</v>
      </c>
      <c r="X42" s="15">
        <v>0</v>
      </c>
      <c r="Y42" s="16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1143</v>
      </c>
      <c r="C43" s="11" t="s">
        <v>1144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14">
        <v>1750</v>
      </c>
      <c r="S43" s="15">
        <v>0</v>
      </c>
      <c r="T43" s="15">
        <v>0</v>
      </c>
      <c r="U43" s="15">
        <v>1750</v>
      </c>
      <c r="V43" s="15">
        <v>1750</v>
      </c>
      <c r="W43" s="15">
        <v>0</v>
      </c>
      <c r="X43" s="15">
        <v>0</v>
      </c>
      <c r="Y43" s="16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1145</v>
      </c>
      <c r="C44" s="11" t="s">
        <v>1146</v>
      </c>
      <c r="D44" s="11" t="s">
        <v>26</v>
      </c>
      <c r="E44" s="11" t="s">
        <v>486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15">
        <v>1500</v>
      </c>
      <c r="S44" s="15">
        <v>0</v>
      </c>
      <c r="T44" s="15">
        <v>0</v>
      </c>
      <c r="U44" s="15">
        <v>1500</v>
      </c>
      <c r="V44" s="15">
        <v>0</v>
      </c>
      <c r="W44" s="15">
        <v>1500</v>
      </c>
      <c r="X44" s="15">
        <v>0</v>
      </c>
      <c r="Y44" s="16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696</v>
      </c>
      <c r="C45" s="11" t="s">
        <v>1147</v>
      </c>
      <c r="D45" s="11" t="s">
        <v>26</v>
      </c>
      <c r="E45" s="11" t="s">
        <v>1086</v>
      </c>
      <c r="F45" s="11" t="s">
        <v>26</v>
      </c>
      <c r="G45" s="11">
        <v>111855</v>
      </c>
      <c r="H45" s="12" t="s">
        <v>4468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15">
        <v>1550.64</v>
      </c>
      <c r="S45" s="15">
        <v>0</v>
      </c>
      <c r="T45" s="15">
        <v>0</v>
      </c>
      <c r="U45" s="15">
        <v>1550.64</v>
      </c>
      <c r="V45" s="15">
        <v>1550.64</v>
      </c>
      <c r="W45" s="15">
        <v>0</v>
      </c>
      <c r="X45" s="15">
        <v>0</v>
      </c>
      <c r="Y45" s="16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1148</v>
      </c>
      <c r="C46" s="11" t="s">
        <v>1149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14">
        <v>1600</v>
      </c>
      <c r="S46" s="15">
        <v>0</v>
      </c>
      <c r="T46" s="15">
        <v>0</v>
      </c>
      <c r="U46" s="15">
        <v>1600</v>
      </c>
      <c r="V46" s="15">
        <v>0</v>
      </c>
      <c r="W46" s="15">
        <v>1600</v>
      </c>
      <c r="X46" s="15">
        <v>0</v>
      </c>
      <c r="Y46" s="16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1150</v>
      </c>
      <c r="C47" s="11" t="s">
        <v>1151</v>
      </c>
      <c r="D47" s="11" t="s">
        <v>26</v>
      </c>
      <c r="E47" s="11" t="s">
        <v>1089</v>
      </c>
      <c r="F47" s="11" t="s">
        <v>26</v>
      </c>
      <c r="G47" s="11">
        <v>111854</v>
      </c>
      <c r="H47" s="12" t="s">
        <v>4468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14">
        <v>1607.76</v>
      </c>
      <c r="S47" s="15">
        <v>0</v>
      </c>
      <c r="T47" s="15">
        <v>0</v>
      </c>
      <c r="U47" s="15">
        <v>1607.76</v>
      </c>
      <c r="V47" s="15">
        <v>1607.76</v>
      </c>
      <c r="W47" s="15">
        <v>0</v>
      </c>
      <c r="X47" s="15">
        <v>0</v>
      </c>
      <c r="Y47" s="16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1152</v>
      </c>
      <c r="C48" s="11" t="s">
        <v>1153</v>
      </c>
      <c r="D48" s="11" t="s">
        <v>26</v>
      </c>
      <c r="E48" s="11" t="s">
        <v>447</v>
      </c>
      <c r="F48" s="11" t="s">
        <v>93</v>
      </c>
      <c r="G48" s="11" t="s">
        <v>35</v>
      </c>
      <c r="H48" s="12" t="s">
        <v>36</v>
      </c>
      <c r="I48" s="12" t="s">
        <v>27</v>
      </c>
      <c r="J48" s="12" t="s">
        <v>560</v>
      </c>
      <c r="K48" s="12" t="s">
        <v>561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14">
        <v>2061.6999999999998</v>
      </c>
      <c r="S48" s="15">
        <v>0</v>
      </c>
      <c r="T48" s="15">
        <v>0</v>
      </c>
      <c r="U48" s="15">
        <v>2061.6999999999998</v>
      </c>
      <c r="V48" s="15">
        <v>0</v>
      </c>
      <c r="W48" s="15">
        <v>2061.6999999999998</v>
      </c>
      <c r="X48" s="15">
        <v>0</v>
      </c>
      <c r="Y48" s="16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1154</v>
      </c>
      <c r="C49" s="11" t="s">
        <v>1155</v>
      </c>
      <c r="D49" s="11" t="s">
        <v>26</v>
      </c>
      <c r="E49" s="11" t="s">
        <v>98</v>
      </c>
      <c r="F49" s="11" t="s">
        <v>26</v>
      </c>
      <c r="G49" s="11">
        <v>5442</v>
      </c>
      <c r="H49" s="12" t="s">
        <v>4469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15">
        <v>486</v>
      </c>
      <c r="S49" s="15">
        <v>0</v>
      </c>
      <c r="T49" s="15">
        <v>0</v>
      </c>
      <c r="U49" s="15">
        <v>486</v>
      </c>
      <c r="V49" s="15">
        <v>486</v>
      </c>
      <c r="W49" s="15">
        <v>0</v>
      </c>
      <c r="X49" s="15">
        <v>0</v>
      </c>
      <c r="Y49" s="16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756</v>
      </c>
      <c r="C50" s="11" t="s">
        <v>1156</v>
      </c>
      <c r="D50" s="11" t="s">
        <v>26</v>
      </c>
      <c r="E50" s="11" t="s">
        <v>571</v>
      </c>
      <c r="F50" s="11" t="s">
        <v>26</v>
      </c>
      <c r="G50" s="11">
        <v>111856</v>
      </c>
      <c r="H50" s="12" t="s">
        <v>4468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14">
        <v>1701.8400000000001</v>
      </c>
      <c r="S50" s="15">
        <v>0</v>
      </c>
      <c r="T50" s="15">
        <v>0</v>
      </c>
      <c r="U50" s="15">
        <v>1701.8400000000001</v>
      </c>
      <c r="V50" s="15">
        <v>1701.8400000000001</v>
      </c>
      <c r="W50" s="15">
        <v>0</v>
      </c>
      <c r="X50" s="15">
        <v>0</v>
      </c>
      <c r="Y50" s="16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1157</v>
      </c>
      <c r="C51" s="11" t="s">
        <v>1158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144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14">
        <v>550.79999999999995</v>
      </c>
      <c r="S51" s="15">
        <v>0</v>
      </c>
      <c r="T51" s="15">
        <v>0</v>
      </c>
      <c r="U51" s="15">
        <v>550.79999999999995</v>
      </c>
      <c r="V51" s="15">
        <v>0</v>
      </c>
      <c r="W51" s="15">
        <v>550.79999999999995</v>
      </c>
      <c r="X51" s="15">
        <v>0</v>
      </c>
      <c r="Y51" s="16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341</v>
      </c>
      <c r="C52" s="11" t="s">
        <v>1159</v>
      </c>
      <c r="D52" s="11" t="s">
        <v>26</v>
      </c>
      <c r="E52" s="11" t="s">
        <v>1117</v>
      </c>
      <c r="F52" s="11" t="s">
        <v>26</v>
      </c>
      <c r="G52" s="11">
        <v>111857</v>
      </c>
      <c r="H52" s="12" t="s">
        <v>4468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15">
        <v>1638.8400000000001</v>
      </c>
      <c r="S52" s="15">
        <v>0</v>
      </c>
      <c r="T52" s="15">
        <v>0</v>
      </c>
      <c r="U52" s="15">
        <v>1638.8400000000001</v>
      </c>
      <c r="V52" s="15">
        <v>1638.8400000000001</v>
      </c>
      <c r="W52" s="15">
        <v>0</v>
      </c>
      <c r="X52" s="15">
        <v>0</v>
      </c>
      <c r="Y52" s="16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1160</v>
      </c>
      <c r="C53" s="11" t="s">
        <v>1161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144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15">
        <v>555.30000000000007</v>
      </c>
      <c r="S53" s="15">
        <v>0</v>
      </c>
      <c r="T53" s="15">
        <v>0</v>
      </c>
      <c r="U53" s="15">
        <v>555.30000000000007</v>
      </c>
      <c r="V53" s="15">
        <v>0</v>
      </c>
      <c r="W53" s="15">
        <v>555.30000000000007</v>
      </c>
      <c r="X53" s="15">
        <v>0</v>
      </c>
      <c r="Y53" s="16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1162</v>
      </c>
      <c r="C54" s="11" t="s">
        <v>1163</v>
      </c>
      <c r="D54" s="11" t="s">
        <v>26</v>
      </c>
      <c r="E54" s="11" t="s">
        <v>512</v>
      </c>
      <c r="F54" s="11" t="s">
        <v>26</v>
      </c>
      <c r="G54" s="11" t="s">
        <v>26</v>
      </c>
      <c r="H54" s="12" t="s">
        <v>4443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15">
        <v>3451</v>
      </c>
      <c r="S54" s="15">
        <v>38</v>
      </c>
      <c r="T54" s="15">
        <v>1542.8</v>
      </c>
      <c r="U54" s="15">
        <v>1908.2</v>
      </c>
      <c r="V54" s="15">
        <v>1908.2</v>
      </c>
      <c r="W54" s="15">
        <v>0</v>
      </c>
      <c r="X54" s="15">
        <v>1461.6000000000001</v>
      </c>
      <c r="Y54" s="16">
        <v>81.199999999999818</v>
      </c>
      <c r="Z54" s="69" t="s">
        <v>144</v>
      </c>
      <c r="AA54" s="12" t="s">
        <v>78</v>
      </c>
    </row>
    <row r="55" spans="1:27" x14ac:dyDescent="0.25">
      <c r="A55" s="10">
        <v>45658</v>
      </c>
      <c r="B55" s="11" t="s">
        <v>1164</v>
      </c>
      <c r="C55" s="11" t="s">
        <v>1165</v>
      </c>
      <c r="D55" s="11" t="s">
        <v>26</v>
      </c>
      <c r="E55" s="11" t="s">
        <v>230</v>
      </c>
      <c r="F55" s="11" t="s">
        <v>26</v>
      </c>
      <c r="G55" s="11">
        <v>957</v>
      </c>
      <c r="H55" s="12" t="s">
        <v>166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15">
        <v>1400</v>
      </c>
      <c r="S55" s="15">
        <v>0</v>
      </c>
      <c r="T55" s="15">
        <v>0</v>
      </c>
      <c r="U55" s="15">
        <v>1400</v>
      </c>
      <c r="V55" s="15">
        <v>0</v>
      </c>
      <c r="W55" s="15">
        <v>1400</v>
      </c>
      <c r="X55" s="15">
        <v>0</v>
      </c>
      <c r="Y55" s="16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1166</v>
      </c>
      <c r="C56" s="11" t="s">
        <v>1167</v>
      </c>
      <c r="D56" s="11" t="s">
        <v>26</v>
      </c>
      <c r="E56" s="11" t="s">
        <v>607</v>
      </c>
      <c r="F56" s="11" t="s">
        <v>26</v>
      </c>
      <c r="G56" s="11" t="s">
        <v>26</v>
      </c>
      <c r="H56" s="12" t="s">
        <v>4443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15">
        <v>3420.4</v>
      </c>
      <c r="S56" s="15">
        <v>38</v>
      </c>
      <c r="T56" s="15">
        <v>1529.1200000000001</v>
      </c>
      <c r="U56" s="15">
        <v>1891.28</v>
      </c>
      <c r="V56" s="15">
        <v>1891.28</v>
      </c>
      <c r="W56" s="15">
        <v>0</v>
      </c>
      <c r="X56" s="15">
        <v>1448.64</v>
      </c>
      <c r="Y56" s="16">
        <v>80.480000000000018</v>
      </c>
      <c r="Z56" s="69" t="s">
        <v>144</v>
      </c>
      <c r="AA56" s="12" t="s">
        <v>78</v>
      </c>
    </row>
    <row r="57" spans="1:27" x14ac:dyDescent="0.25">
      <c r="A57" s="10">
        <v>45658</v>
      </c>
      <c r="B57" s="11" t="s">
        <v>1168</v>
      </c>
      <c r="C57" s="11" t="s">
        <v>1169</v>
      </c>
      <c r="D57" s="11" t="s">
        <v>26</v>
      </c>
      <c r="E57" s="11" t="s">
        <v>542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15">
        <v>1600</v>
      </c>
      <c r="S57" s="15">
        <v>0</v>
      </c>
      <c r="T57" s="15">
        <v>0</v>
      </c>
      <c r="U57" s="15">
        <v>1600</v>
      </c>
      <c r="V57" s="15">
        <v>0</v>
      </c>
      <c r="W57" s="15">
        <v>1600</v>
      </c>
      <c r="X57" s="15">
        <v>0</v>
      </c>
      <c r="Y57" s="16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627</v>
      </c>
      <c r="C58" s="11" t="s">
        <v>1170</v>
      </c>
      <c r="D58" s="11" t="s">
        <v>26</v>
      </c>
      <c r="E58" s="11" t="s">
        <v>434</v>
      </c>
      <c r="F58" s="11" t="s">
        <v>26</v>
      </c>
      <c r="G58" s="11">
        <v>128</v>
      </c>
      <c r="H58" s="12" t="s">
        <v>115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15">
        <v>1674.5</v>
      </c>
      <c r="S58" s="15">
        <v>0</v>
      </c>
      <c r="T58" s="15">
        <v>0</v>
      </c>
      <c r="U58" s="15">
        <v>1674.5</v>
      </c>
      <c r="V58" s="15">
        <v>0</v>
      </c>
      <c r="W58" s="15">
        <v>1674.5</v>
      </c>
      <c r="X58" s="15">
        <v>0</v>
      </c>
      <c r="Y58" s="16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1171</v>
      </c>
      <c r="C59" s="11" t="s">
        <v>1172</v>
      </c>
      <c r="D59" s="11" t="s">
        <v>26</v>
      </c>
      <c r="E59" s="11" t="s">
        <v>572</v>
      </c>
      <c r="F59" s="11" t="s">
        <v>26</v>
      </c>
      <c r="G59" s="11">
        <v>111727</v>
      </c>
      <c r="H59" s="12" t="s">
        <v>4468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15">
        <v>1735.44</v>
      </c>
      <c r="S59" s="15">
        <v>0</v>
      </c>
      <c r="T59" s="15">
        <v>0</v>
      </c>
      <c r="U59" s="15">
        <v>1735.44</v>
      </c>
      <c r="V59" s="15">
        <v>1735.44</v>
      </c>
      <c r="W59" s="15">
        <v>0</v>
      </c>
      <c r="X59" s="15">
        <v>0</v>
      </c>
      <c r="Y59" s="16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1173</v>
      </c>
      <c r="C60" s="11" t="s">
        <v>1174</v>
      </c>
      <c r="D60" s="11" t="s">
        <v>26</v>
      </c>
      <c r="E60" s="11" t="s">
        <v>574</v>
      </c>
      <c r="F60" s="11" t="s">
        <v>26</v>
      </c>
      <c r="G60" s="11">
        <v>111904</v>
      </c>
      <c r="H60" s="12" t="s">
        <v>4468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4">
        <v>0</v>
      </c>
      <c r="R60" s="15">
        <v>1577.52</v>
      </c>
      <c r="S60" s="15">
        <v>0</v>
      </c>
      <c r="T60" s="15">
        <v>0</v>
      </c>
      <c r="U60" s="15">
        <v>1577.52</v>
      </c>
      <c r="V60" s="15">
        <v>1577.52</v>
      </c>
      <c r="W60" s="15">
        <v>0</v>
      </c>
      <c r="X60" s="15">
        <v>0</v>
      </c>
      <c r="Y60" s="16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432</v>
      </c>
      <c r="C61" s="11" t="s">
        <v>1175</v>
      </c>
      <c r="D61" s="11" t="s">
        <v>26</v>
      </c>
      <c r="E61" s="11" t="s">
        <v>484</v>
      </c>
      <c r="F61" s="11" t="s">
        <v>26</v>
      </c>
      <c r="G61" s="11">
        <v>73959</v>
      </c>
      <c r="H61" s="12" t="s">
        <v>4470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4">
        <v>0</v>
      </c>
      <c r="R61" s="15">
        <v>1754.4</v>
      </c>
      <c r="S61" s="15">
        <v>0</v>
      </c>
      <c r="T61" s="15">
        <v>0</v>
      </c>
      <c r="U61" s="15">
        <v>1754.4</v>
      </c>
      <c r="V61" s="15">
        <v>1315.8000000000002</v>
      </c>
      <c r="W61" s="15">
        <v>438.59999999999991</v>
      </c>
      <c r="X61" s="15">
        <v>0</v>
      </c>
      <c r="Y61" s="16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1176</v>
      </c>
      <c r="C62" s="11" t="s">
        <v>1177</v>
      </c>
      <c r="D62" s="11" t="s">
        <v>26</v>
      </c>
      <c r="E62" s="11" t="s">
        <v>522</v>
      </c>
      <c r="F62" s="11" t="s">
        <v>26</v>
      </c>
      <c r="G62" s="11">
        <v>77382</v>
      </c>
      <c r="H62" s="12" t="s">
        <v>4470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14">
        <v>1824.1000000000001</v>
      </c>
      <c r="S62" s="15">
        <v>0</v>
      </c>
      <c r="T62" s="15">
        <v>0</v>
      </c>
      <c r="U62" s="15">
        <v>1824.1000000000001</v>
      </c>
      <c r="V62" s="15">
        <v>1368.075</v>
      </c>
      <c r="W62" s="15">
        <v>456.02500000000009</v>
      </c>
      <c r="X62" s="15">
        <v>0</v>
      </c>
      <c r="Y62" s="16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1178</v>
      </c>
      <c r="C63" s="11" t="s">
        <v>1179</v>
      </c>
      <c r="D63" s="11" t="s">
        <v>26</v>
      </c>
      <c r="E63" s="11" t="s">
        <v>247</v>
      </c>
      <c r="F63" s="11" t="s">
        <v>26</v>
      </c>
      <c r="G63" s="11">
        <v>468</v>
      </c>
      <c r="H63" s="12" t="s">
        <v>144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14">
        <v>1033.56</v>
      </c>
      <c r="S63" s="15">
        <v>0</v>
      </c>
      <c r="T63" s="15">
        <v>0</v>
      </c>
      <c r="U63" s="15">
        <v>1033.56</v>
      </c>
      <c r="V63" s="15">
        <v>0</v>
      </c>
      <c r="W63" s="15">
        <v>1033.56</v>
      </c>
      <c r="X63" s="15">
        <v>0</v>
      </c>
      <c r="Y63" s="16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1180</v>
      </c>
      <c r="C64" s="11" t="s">
        <v>1181</v>
      </c>
      <c r="D64" s="11" t="s">
        <v>26</v>
      </c>
      <c r="E64" s="11" t="s">
        <v>492</v>
      </c>
      <c r="F64" s="11" t="s">
        <v>26</v>
      </c>
      <c r="G64" s="11">
        <v>76249</v>
      </c>
      <c r="H64" s="12" t="s">
        <v>4470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4">
        <v>0</v>
      </c>
      <c r="R64" s="15">
        <v>1781.6000000000001</v>
      </c>
      <c r="S64" s="15">
        <v>0</v>
      </c>
      <c r="T64" s="15">
        <v>0</v>
      </c>
      <c r="U64" s="15">
        <v>1781.6000000000001</v>
      </c>
      <c r="V64" s="15">
        <v>1336.2</v>
      </c>
      <c r="W64" s="15">
        <v>445.40000000000009</v>
      </c>
      <c r="X64" s="15">
        <v>0</v>
      </c>
      <c r="Y64" s="16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1182</v>
      </c>
      <c r="C65" s="11" t="s">
        <v>1183</v>
      </c>
      <c r="D65" s="11" t="s">
        <v>26</v>
      </c>
      <c r="E65" s="11" t="s">
        <v>504</v>
      </c>
      <c r="F65" s="11" t="s">
        <v>26</v>
      </c>
      <c r="G65" s="11">
        <v>469</v>
      </c>
      <c r="H65" s="12" t="s">
        <v>144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15">
        <v>1626.3999999999999</v>
      </c>
      <c r="S65" s="15">
        <v>0</v>
      </c>
      <c r="T65" s="15">
        <v>0</v>
      </c>
      <c r="U65" s="15">
        <v>1626.3999999999999</v>
      </c>
      <c r="V65" s="15">
        <v>0</v>
      </c>
      <c r="W65" s="15">
        <v>1626.3999999999999</v>
      </c>
      <c r="X65" s="15">
        <v>0</v>
      </c>
      <c r="Y65" s="16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424</v>
      </c>
      <c r="C66" s="11" t="s">
        <v>1184</v>
      </c>
      <c r="D66" s="11" t="s">
        <v>26</v>
      </c>
      <c r="E66" s="11" t="s">
        <v>576</v>
      </c>
      <c r="F66" s="11" t="s">
        <v>26</v>
      </c>
      <c r="G66" s="11">
        <v>112035</v>
      </c>
      <c r="H66" s="12" t="s">
        <v>4468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14">
        <v>1730.4</v>
      </c>
      <c r="S66" s="15">
        <v>0</v>
      </c>
      <c r="T66" s="15">
        <v>0</v>
      </c>
      <c r="U66" s="15">
        <v>1730.4</v>
      </c>
      <c r="V66" s="15">
        <v>1730.4</v>
      </c>
      <c r="W66" s="15">
        <v>0</v>
      </c>
      <c r="X66" s="15">
        <v>0</v>
      </c>
      <c r="Y66" s="16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1185</v>
      </c>
      <c r="C67" s="11" t="s">
        <v>1186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14">
        <v>448.50000000000006</v>
      </c>
      <c r="S67" s="15">
        <v>0</v>
      </c>
      <c r="T67" s="15">
        <v>0</v>
      </c>
      <c r="U67" s="15">
        <v>448.50000000000006</v>
      </c>
      <c r="V67" s="15">
        <v>0</v>
      </c>
      <c r="W67" s="15">
        <v>448.50000000000006</v>
      </c>
      <c r="X67" s="15">
        <v>0</v>
      </c>
      <c r="Y67" s="16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1187</v>
      </c>
      <c r="C68" s="11" t="s">
        <v>1188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144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14">
        <v>557.4</v>
      </c>
      <c r="S68" s="15">
        <v>0</v>
      </c>
      <c r="T68" s="15">
        <v>0</v>
      </c>
      <c r="U68" s="15">
        <v>557.4</v>
      </c>
      <c r="V68" s="15">
        <v>0</v>
      </c>
      <c r="W68" s="15">
        <v>557.4</v>
      </c>
      <c r="X68" s="15">
        <v>0</v>
      </c>
      <c r="Y68" s="16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139</v>
      </c>
      <c r="C69" s="11" t="s">
        <v>1189</v>
      </c>
      <c r="D69" s="11" t="s">
        <v>26</v>
      </c>
      <c r="E69" s="11" t="s">
        <v>570</v>
      </c>
      <c r="F69" s="11" t="s">
        <v>26</v>
      </c>
      <c r="G69" s="11">
        <v>111858</v>
      </c>
      <c r="H69" s="12" t="s">
        <v>4468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14">
        <v>1795.9199999999998</v>
      </c>
      <c r="S69" s="15">
        <v>0</v>
      </c>
      <c r="T69" s="15">
        <v>0</v>
      </c>
      <c r="U69" s="15">
        <v>1795.9199999999998</v>
      </c>
      <c r="V69" s="15">
        <v>1795.9199999999998</v>
      </c>
      <c r="W69" s="15">
        <v>0</v>
      </c>
      <c r="X69" s="15">
        <v>0</v>
      </c>
      <c r="Y69" s="16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198</v>
      </c>
      <c r="C70" s="11" t="s">
        <v>1190</v>
      </c>
      <c r="D70" s="11" t="s">
        <v>26</v>
      </c>
      <c r="E70" s="11" t="s">
        <v>578</v>
      </c>
      <c r="F70" s="11" t="s">
        <v>26</v>
      </c>
      <c r="G70" s="11">
        <v>111629</v>
      </c>
      <c r="H70" s="12" t="s">
        <v>4468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15">
        <v>1767.36</v>
      </c>
      <c r="S70" s="15">
        <v>0</v>
      </c>
      <c r="T70" s="15">
        <v>0</v>
      </c>
      <c r="U70" s="15">
        <v>1767.36</v>
      </c>
      <c r="V70" s="15">
        <v>1767.36</v>
      </c>
      <c r="W70" s="15">
        <v>0</v>
      </c>
      <c r="X70" s="15">
        <v>0</v>
      </c>
      <c r="Y70" s="16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278</v>
      </c>
      <c r="C71" s="11" t="s">
        <v>1191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14">
        <v>440.09999999999997</v>
      </c>
      <c r="S71" s="15">
        <v>0</v>
      </c>
      <c r="T71" s="15">
        <v>0</v>
      </c>
      <c r="U71" s="15">
        <v>440.09999999999997</v>
      </c>
      <c r="V71" s="15">
        <v>0</v>
      </c>
      <c r="W71" s="15">
        <v>440.09999999999997</v>
      </c>
      <c r="X71" s="15">
        <v>0</v>
      </c>
      <c r="Y71" s="16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1192</v>
      </c>
      <c r="C72" s="11" t="s">
        <v>1193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4468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15">
        <v>1664.04</v>
      </c>
      <c r="S72" s="15">
        <v>0</v>
      </c>
      <c r="T72" s="15">
        <v>0</v>
      </c>
      <c r="U72" s="15">
        <v>1664.04</v>
      </c>
      <c r="V72" s="15">
        <v>1664.04</v>
      </c>
      <c r="W72" s="15">
        <v>0</v>
      </c>
      <c r="X72" s="15">
        <v>0</v>
      </c>
      <c r="Y72" s="16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1194</v>
      </c>
      <c r="C73" s="11" t="s">
        <v>1195</v>
      </c>
      <c r="D73" s="11" t="s">
        <v>26</v>
      </c>
      <c r="E73" s="11" t="s">
        <v>512</v>
      </c>
      <c r="F73" s="11" t="s">
        <v>26</v>
      </c>
      <c r="G73" s="11">
        <v>471</v>
      </c>
      <c r="H73" s="12" t="s">
        <v>144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15">
        <v>1756</v>
      </c>
      <c r="S73" s="15">
        <v>0</v>
      </c>
      <c r="T73" s="15">
        <v>0</v>
      </c>
      <c r="U73" s="15">
        <v>1756</v>
      </c>
      <c r="V73" s="15">
        <v>0</v>
      </c>
      <c r="W73" s="15">
        <v>1756</v>
      </c>
      <c r="X73" s="15">
        <v>0</v>
      </c>
      <c r="Y73" s="16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1196</v>
      </c>
      <c r="C74" s="11" t="s">
        <v>1197</v>
      </c>
      <c r="D74" s="11" t="s">
        <v>26</v>
      </c>
      <c r="E74" s="11" t="s">
        <v>230</v>
      </c>
      <c r="F74" s="11" t="s">
        <v>26</v>
      </c>
      <c r="G74" s="11">
        <v>958</v>
      </c>
      <c r="H74" s="12" t="s">
        <v>166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15">
        <v>1400</v>
      </c>
      <c r="S74" s="15">
        <v>0</v>
      </c>
      <c r="T74" s="15">
        <v>0</v>
      </c>
      <c r="U74" s="15">
        <v>1400</v>
      </c>
      <c r="V74" s="15">
        <v>0</v>
      </c>
      <c r="W74" s="15">
        <v>1400</v>
      </c>
      <c r="X74" s="15">
        <v>0</v>
      </c>
      <c r="Y74" s="16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1198</v>
      </c>
      <c r="C75" s="11" t="s">
        <v>1199</v>
      </c>
      <c r="D75" s="11" t="s">
        <v>26</v>
      </c>
      <c r="E75" s="11" t="s">
        <v>241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231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15">
        <v>1259.48</v>
      </c>
      <c r="S75" s="15">
        <v>0</v>
      </c>
      <c r="T75" s="15">
        <v>0</v>
      </c>
      <c r="U75" s="15">
        <v>1259.48</v>
      </c>
      <c r="V75" s="15">
        <v>0</v>
      </c>
      <c r="W75" s="15">
        <v>1259.48</v>
      </c>
      <c r="X75" s="15">
        <v>0</v>
      </c>
      <c r="Y75" s="16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1200</v>
      </c>
      <c r="C76" s="11" t="s">
        <v>1201</v>
      </c>
      <c r="D76" s="11" t="s">
        <v>26</v>
      </c>
      <c r="E76" s="11" t="s">
        <v>243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569</v>
      </c>
      <c r="K76" s="12" t="s">
        <v>553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15">
        <v>1102.5</v>
      </c>
      <c r="S76" s="15">
        <v>0</v>
      </c>
      <c r="T76" s="15">
        <v>0</v>
      </c>
      <c r="U76" s="15">
        <v>1102.5</v>
      </c>
      <c r="V76" s="15">
        <v>0</v>
      </c>
      <c r="W76" s="15">
        <v>1102.5</v>
      </c>
      <c r="X76" s="15">
        <v>0</v>
      </c>
      <c r="Y76" s="16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1202</v>
      </c>
      <c r="C77" s="11" t="s">
        <v>1203</v>
      </c>
      <c r="D77" s="11" t="s">
        <v>26</v>
      </c>
      <c r="E77" s="11" t="s">
        <v>573</v>
      </c>
      <c r="F77" s="11" t="s">
        <v>26</v>
      </c>
      <c r="G77" s="11">
        <v>10306</v>
      </c>
      <c r="H77" s="12" t="s">
        <v>143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15">
        <v>1433.6000000000001</v>
      </c>
      <c r="S77" s="15">
        <v>0</v>
      </c>
      <c r="T77" s="15">
        <v>0</v>
      </c>
      <c r="U77" s="15">
        <v>1433.6000000000001</v>
      </c>
      <c r="V77" s="15">
        <v>0</v>
      </c>
      <c r="W77" s="15">
        <v>1433.6000000000001</v>
      </c>
      <c r="X77" s="15">
        <v>0</v>
      </c>
      <c r="Y77" s="16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1204</v>
      </c>
      <c r="C78" s="11" t="s">
        <v>1205</v>
      </c>
      <c r="D78" s="11" t="s">
        <v>26</v>
      </c>
      <c r="E78" s="11" t="s">
        <v>249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569</v>
      </c>
      <c r="K78" s="12" t="s">
        <v>553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14">
        <v>1115.5</v>
      </c>
      <c r="S78" s="15">
        <v>0</v>
      </c>
      <c r="T78" s="15">
        <v>0</v>
      </c>
      <c r="U78" s="15">
        <v>1115.5</v>
      </c>
      <c r="V78" s="15">
        <v>0</v>
      </c>
      <c r="W78" s="15">
        <v>1115.5</v>
      </c>
      <c r="X78" s="15">
        <v>0</v>
      </c>
      <c r="Y78" s="16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580</v>
      </c>
      <c r="C79" s="11" t="s">
        <v>1206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143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14">
        <v>1449.7</v>
      </c>
      <c r="S79" s="15">
        <v>0</v>
      </c>
      <c r="T79" s="15">
        <v>0</v>
      </c>
      <c r="U79" s="15">
        <v>1449.7</v>
      </c>
      <c r="V79" s="15">
        <v>0</v>
      </c>
      <c r="W79" s="15">
        <v>1449.7</v>
      </c>
      <c r="X79" s="15">
        <v>0</v>
      </c>
      <c r="Y79" s="16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1207</v>
      </c>
      <c r="C80" s="11" t="s">
        <v>1208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569</v>
      </c>
      <c r="K80" s="12" t="s">
        <v>553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14">
        <v>1094.5</v>
      </c>
      <c r="S80" s="15">
        <v>0</v>
      </c>
      <c r="T80" s="15">
        <v>0</v>
      </c>
      <c r="U80" s="15">
        <v>1094.5</v>
      </c>
      <c r="V80" s="15">
        <v>0</v>
      </c>
      <c r="W80" s="15">
        <v>1094.5</v>
      </c>
      <c r="X80" s="15">
        <v>0</v>
      </c>
      <c r="Y80" s="16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631</v>
      </c>
      <c r="C81" s="11" t="s">
        <v>1209</v>
      </c>
      <c r="D81" s="11" t="s">
        <v>26</v>
      </c>
      <c r="E81" s="11" t="s">
        <v>533</v>
      </c>
      <c r="F81" s="11" t="s">
        <v>26</v>
      </c>
      <c r="G81" s="11">
        <v>959</v>
      </c>
      <c r="H81" s="12" t="s">
        <v>166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15">
        <v>1400</v>
      </c>
      <c r="S81" s="15">
        <v>0</v>
      </c>
      <c r="T81" s="15">
        <v>0</v>
      </c>
      <c r="U81" s="15">
        <v>1400</v>
      </c>
      <c r="V81" s="15">
        <v>0</v>
      </c>
      <c r="W81" s="15">
        <v>1400</v>
      </c>
      <c r="X81" s="15">
        <v>0</v>
      </c>
      <c r="Y81" s="16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360</v>
      </c>
      <c r="C82" s="11" t="s">
        <v>1210</v>
      </c>
      <c r="D82" s="11" t="s">
        <v>26</v>
      </c>
      <c r="E82" s="11" t="s">
        <v>447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15">
        <v>682.8</v>
      </c>
      <c r="S82" s="15">
        <v>0</v>
      </c>
      <c r="T82" s="15">
        <v>0</v>
      </c>
      <c r="U82" s="15">
        <v>682.8</v>
      </c>
      <c r="V82" s="15">
        <v>0</v>
      </c>
      <c r="W82" s="15">
        <v>682.8</v>
      </c>
      <c r="X82" s="15">
        <v>0</v>
      </c>
      <c r="Y82" s="16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1211</v>
      </c>
      <c r="C83" s="11" t="s">
        <v>1212</v>
      </c>
      <c r="D83" s="11" t="s">
        <v>26</v>
      </c>
      <c r="E83" s="11" t="s">
        <v>509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14">
        <v>1450</v>
      </c>
      <c r="S83" s="15">
        <v>0</v>
      </c>
      <c r="T83" s="15">
        <v>0</v>
      </c>
      <c r="U83" s="15">
        <v>1450</v>
      </c>
      <c r="V83" s="15">
        <v>0</v>
      </c>
      <c r="W83" s="15">
        <v>1450</v>
      </c>
      <c r="X83" s="16">
        <v>0</v>
      </c>
      <c r="Y83" s="16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1213</v>
      </c>
      <c r="C84" s="11" t="s">
        <v>1214</v>
      </c>
      <c r="D84" s="11" t="s">
        <v>26</v>
      </c>
      <c r="E84" s="11" t="s">
        <v>570</v>
      </c>
      <c r="F84" s="11" t="s">
        <v>26</v>
      </c>
      <c r="G84" s="11">
        <v>111865</v>
      </c>
      <c r="H84" s="12" t="s">
        <v>4468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15">
        <v>1680</v>
      </c>
      <c r="S84" s="15">
        <v>0</v>
      </c>
      <c r="T84" s="15">
        <v>0</v>
      </c>
      <c r="U84" s="15">
        <v>1680</v>
      </c>
      <c r="V84" s="15">
        <v>1680</v>
      </c>
      <c r="W84" s="15">
        <v>0</v>
      </c>
      <c r="X84" s="15">
        <v>0</v>
      </c>
      <c r="Y84" s="16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1215</v>
      </c>
      <c r="C85" s="11" t="s">
        <v>1216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4470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4">
        <v>0</v>
      </c>
      <c r="R85" s="15">
        <v>1836.7716</v>
      </c>
      <c r="S85" s="15">
        <v>0</v>
      </c>
      <c r="T85" s="15">
        <v>0</v>
      </c>
      <c r="U85" s="15">
        <v>1836.7716</v>
      </c>
      <c r="V85" s="15">
        <v>1377.5787</v>
      </c>
      <c r="W85" s="15">
        <v>459.19290000000001</v>
      </c>
      <c r="X85" s="15">
        <v>0</v>
      </c>
      <c r="Y85" s="16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1217</v>
      </c>
      <c r="C86" s="11" t="s">
        <v>1218</v>
      </c>
      <c r="D86" s="11" t="s">
        <v>26</v>
      </c>
      <c r="E86" s="11" t="s">
        <v>509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15">
        <v>691.2</v>
      </c>
      <c r="S86" s="15">
        <v>0</v>
      </c>
      <c r="T86" s="15">
        <v>0</v>
      </c>
      <c r="U86" s="15">
        <v>691.2</v>
      </c>
      <c r="V86" s="15">
        <v>0</v>
      </c>
      <c r="W86" s="15">
        <v>691.2</v>
      </c>
      <c r="X86" s="15">
        <v>0</v>
      </c>
      <c r="Y86" s="16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1219</v>
      </c>
      <c r="C87" s="11" t="s">
        <v>1220</v>
      </c>
      <c r="D87" s="11" t="s">
        <v>26</v>
      </c>
      <c r="E87" s="11" t="s">
        <v>504</v>
      </c>
      <c r="F87" s="11" t="s">
        <v>26</v>
      </c>
      <c r="G87" s="11" t="s">
        <v>26</v>
      </c>
      <c r="H87" s="12" t="s">
        <v>4443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15">
        <v>3676.62</v>
      </c>
      <c r="S87" s="15">
        <v>38</v>
      </c>
      <c r="T87" s="15">
        <v>1605.8799999999999</v>
      </c>
      <c r="U87" s="15">
        <v>2070.7399999999998</v>
      </c>
      <c r="V87" s="15">
        <v>2070.7399999999998</v>
      </c>
      <c r="W87" s="15">
        <v>0</v>
      </c>
      <c r="X87" s="15">
        <v>1521.36</v>
      </c>
      <c r="Y87" s="16">
        <v>84.519999999999982</v>
      </c>
      <c r="Z87" s="69" t="s">
        <v>144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187</v>
      </c>
      <c r="F88" s="11" t="s">
        <v>26</v>
      </c>
      <c r="G88" s="11" t="s">
        <v>26</v>
      </c>
      <c r="H88" s="12" t="s">
        <v>4443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14">
        <v>3612.2400000000002</v>
      </c>
      <c r="S88" s="15">
        <v>38</v>
      </c>
      <c r="T88" s="15">
        <v>1577.7600000000002</v>
      </c>
      <c r="U88" s="15">
        <v>2034.48</v>
      </c>
      <c r="V88" s="15">
        <v>2034.48</v>
      </c>
      <c r="W88" s="15">
        <v>0</v>
      </c>
      <c r="X88" s="16">
        <v>1494.72</v>
      </c>
      <c r="Y88" s="16">
        <v>83.040000000000191</v>
      </c>
      <c r="Z88" s="69" t="s">
        <v>144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608</v>
      </c>
      <c r="F89" s="11" t="s">
        <v>26</v>
      </c>
      <c r="G89" s="11" t="s">
        <v>26</v>
      </c>
      <c r="H89" s="12" t="s">
        <v>4443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15">
        <v>3523.5</v>
      </c>
      <c r="S89" s="15">
        <v>38</v>
      </c>
      <c r="T89" s="15">
        <v>1539</v>
      </c>
      <c r="U89" s="15">
        <v>1984.5</v>
      </c>
      <c r="V89" s="15">
        <v>1984.5</v>
      </c>
      <c r="W89" s="15">
        <v>0</v>
      </c>
      <c r="X89" s="15">
        <v>1458</v>
      </c>
      <c r="Y89" s="16">
        <v>81</v>
      </c>
      <c r="Z89" s="69" t="s">
        <v>144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573</v>
      </c>
      <c r="F90" s="11" t="s">
        <v>26</v>
      </c>
      <c r="G90" s="11">
        <v>10307</v>
      </c>
      <c r="H90" s="12" t="s">
        <v>143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14">
        <v>1740</v>
      </c>
      <c r="S90" s="15">
        <v>0</v>
      </c>
      <c r="T90" s="15">
        <v>0</v>
      </c>
      <c r="U90" s="15">
        <v>1740</v>
      </c>
      <c r="V90" s="15">
        <v>0</v>
      </c>
      <c r="W90" s="15">
        <v>1740</v>
      </c>
      <c r="X90" s="15">
        <v>0</v>
      </c>
      <c r="Y90" s="16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4443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14">
        <v>3665.2</v>
      </c>
      <c r="S91" s="15">
        <v>38</v>
      </c>
      <c r="T91" s="15">
        <v>1638.56</v>
      </c>
      <c r="U91" s="15">
        <v>2026.6399999999999</v>
      </c>
      <c r="V91" s="15">
        <v>2026.6399999999999</v>
      </c>
      <c r="W91" s="15">
        <v>0</v>
      </c>
      <c r="X91" s="15">
        <v>1595.4399999999998</v>
      </c>
      <c r="Y91" s="16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143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14">
        <v>1740</v>
      </c>
      <c r="S92" s="15">
        <v>0</v>
      </c>
      <c r="T92" s="15">
        <v>0</v>
      </c>
      <c r="U92" s="15">
        <v>1740</v>
      </c>
      <c r="V92" s="15">
        <v>0</v>
      </c>
      <c r="W92" s="15">
        <v>1740</v>
      </c>
      <c r="X92" s="15">
        <v>0</v>
      </c>
      <c r="Y92" s="16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249</v>
      </c>
      <c r="F93" s="11" t="s">
        <v>26</v>
      </c>
      <c r="G93" s="11" t="s">
        <v>26</v>
      </c>
      <c r="H93" s="12" t="s">
        <v>149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14">
        <v>3992.1699999999996</v>
      </c>
      <c r="S93" s="15">
        <v>40</v>
      </c>
      <c r="T93" s="15">
        <v>1754.8</v>
      </c>
      <c r="U93" s="15">
        <v>2237.37</v>
      </c>
      <c r="V93" s="15">
        <v>2237.37</v>
      </c>
      <c r="W93" s="15">
        <v>0</v>
      </c>
      <c r="X93" s="15">
        <v>1623.1899999999998</v>
      </c>
      <c r="Y93" s="16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149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15">
        <v>3932.11</v>
      </c>
      <c r="S94" s="15">
        <v>40</v>
      </c>
      <c r="T94" s="15">
        <v>1728.4</v>
      </c>
      <c r="U94" s="15">
        <v>2203.71</v>
      </c>
      <c r="V94" s="15">
        <v>2203.71</v>
      </c>
      <c r="W94" s="15">
        <v>0</v>
      </c>
      <c r="X94" s="15">
        <v>1598.77</v>
      </c>
      <c r="Y94" s="16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542</v>
      </c>
      <c r="F95" s="11" t="s">
        <v>26</v>
      </c>
      <c r="G95" s="11" t="s">
        <v>26</v>
      </c>
      <c r="H95" s="12" t="s">
        <v>149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15">
        <v>3937.57</v>
      </c>
      <c r="S95" s="15">
        <v>40</v>
      </c>
      <c r="T95" s="15">
        <v>1730.8000000000002</v>
      </c>
      <c r="U95" s="15">
        <v>2206.77</v>
      </c>
      <c r="V95" s="15">
        <v>2206.77</v>
      </c>
      <c r="W95" s="15">
        <v>0</v>
      </c>
      <c r="X95" s="15">
        <v>1600.99</v>
      </c>
      <c r="Y95" s="16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247</v>
      </c>
      <c r="F96" s="11" t="s">
        <v>26</v>
      </c>
      <c r="G96" s="11" t="s">
        <v>26</v>
      </c>
      <c r="H96" s="12" t="s">
        <v>4443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14">
        <v>3710.1000000000004</v>
      </c>
      <c r="S96" s="15">
        <v>38</v>
      </c>
      <c r="T96" s="15">
        <v>1698.6000000000001</v>
      </c>
      <c r="U96" s="15">
        <v>2011.5000000000002</v>
      </c>
      <c r="V96" s="15">
        <v>2011.5000000000002</v>
      </c>
      <c r="W96" s="15">
        <v>0</v>
      </c>
      <c r="X96" s="15">
        <v>1609.2</v>
      </c>
      <c r="Y96" s="16">
        <v>89.400000000000091</v>
      </c>
      <c r="Z96" s="69" t="s">
        <v>144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569</v>
      </c>
      <c r="K97" s="12" t="s">
        <v>553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14">
        <v>1000</v>
      </c>
      <c r="S97" s="15">
        <v>0</v>
      </c>
      <c r="T97" s="15">
        <v>0</v>
      </c>
      <c r="U97" s="15">
        <v>1000</v>
      </c>
      <c r="V97" s="15">
        <v>0</v>
      </c>
      <c r="W97" s="15">
        <v>1000</v>
      </c>
      <c r="X97" s="15">
        <v>0</v>
      </c>
      <c r="Y97" s="16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1221</v>
      </c>
      <c r="F98" s="11" t="s">
        <v>26</v>
      </c>
      <c r="G98" s="11">
        <v>960</v>
      </c>
      <c r="H98" s="12" t="s">
        <v>166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15">
        <v>1450</v>
      </c>
      <c r="S98" s="15">
        <v>0</v>
      </c>
      <c r="T98" s="15">
        <v>0</v>
      </c>
      <c r="U98" s="15">
        <v>1450</v>
      </c>
      <c r="V98" s="15">
        <v>0</v>
      </c>
      <c r="W98" s="15">
        <v>1450</v>
      </c>
      <c r="X98" s="15">
        <v>0</v>
      </c>
      <c r="Y98" s="16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566</v>
      </c>
      <c r="F99" s="11" t="s">
        <v>26</v>
      </c>
      <c r="G99" s="11" t="s">
        <v>26</v>
      </c>
      <c r="H99" s="12" t="s">
        <v>4467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15">
        <v>1364</v>
      </c>
      <c r="S99" s="15">
        <v>37</v>
      </c>
      <c r="T99" s="15">
        <v>814</v>
      </c>
      <c r="U99" s="15">
        <v>550</v>
      </c>
      <c r="V99" s="15">
        <v>550</v>
      </c>
      <c r="W99" s="15">
        <v>0</v>
      </c>
      <c r="X99" s="15">
        <v>858</v>
      </c>
      <c r="Y99" s="16">
        <v>-44</v>
      </c>
      <c r="Z99" s="69" t="s">
        <v>144</v>
      </c>
      <c r="AA99" s="12" t="s">
        <v>448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570</v>
      </c>
      <c r="F100" s="11" t="s">
        <v>26</v>
      </c>
      <c r="G100" s="11">
        <v>111867</v>
      </c>
      <c r="H100" s="12" t="s">
        <v>4468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14">
        <v>1680</v>
      </c>
      <c r="S100" s="15">
        <v>0</v>
      </c>
      <c r="T100" s="15">
        <v>0</v>
      </c>
      <c r="U100" s="15">
        <v>1680</v>
      </c>
      <c r="V100" s="15">
        <v>1680</v>
      </c>
      <c r="W100" s="15">
        <v>0</v>
      </c>
      <c r="X100" s="15">
        <v>0</v>
      </c>
      <c r="Y100" s="16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1222</v>
      </c>
      <c r="F101" s="11" t="s">
        <v>26</v>
      </c>
      <c r="G101" s="11">
        <v>472</v>
      </c>
      <c r="H101" s="12" t="s">
        <v>144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14">
        <v>600</v>
      </c>
      <c r="S101" s="15">
        <v>0</v>
      </c>
      <c r="T101" s="15">
        <v>0</v>
      </c>
      <c r="U101" s="15">
        <v>600</v>
      </c>
      <c r="V101" s="15">
        <v>0</v>
      </c>
      <c r="W101" s="15">
        <v>600</v>
      </c>
      <c r="X101" s="15">
        <v>0</v>
      </c>
      <c r="Y101" s="16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607</v>
      </c>
      <c r="F102" s="11" t="s">
        <v>26</v>
      </c>
      <c r="G102" s="11" t="s">
        <v>26</v>
      </c>
      <c r="H102" s="12" t="s">
        <v>4443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4">
        <v>0</v>
      </c>
      <c r="R102" s="15">
        <v>3408.5</v>
      </c>
      <c r="S102" s="15">
        <v>38</v>
      </c>
      <c r="T102" s="15">
        <v>1523.8</v>
      </c>
      <c r="U102" s="15">
        <v>1884.7</v>
      </c>
      <c r="V102" s="15">
        <v>1884.7</v>
      </c>
      <c r="W102" s="15">
        <v>0</v>
      </c>
      <c r="X102" s="15">
        <v>1443.6000000000001</v>
      </c>
      <c r="Y102" s="16">
        <v>80.199999999999818</v>
      </c>
      <c r="Z102" s="69" t="s">
        <v>144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574</v>
      </c>
      <c r="F103" s="11" t="s">
        <v>26</v>
      </c>
      <c r="G103" s="11">
        <v>111906</v>
      </c>
      <c r="H103" s="12" t="s">
        <v>4468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14">
        <v>1650</v>
      </c>
      <c r="S103" s="15">
        <v>0</v>
      </c>
      <c r="T103" s="15">
        <v>0</v>
      </c>
      <c r="U103" s="15">
        <v>1650</v>
      </c>
      <c r="V103" s="15">
        <v>1650</v>
      </c>
      <c r="W103" s="15">
        <v>0</v>
      </c>
      <c r="X103" s="15">
        <v>0</v>
      </c>
      <c r="Y103" s="16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99</v>
      </c>
      <c r="F104" s="11" t="s">
        <v>26</v>
      </c>
      <c r="G104" s="11">
        <v>10120</v>
      </c>
      <c r="H104" s="12" t="s">
        <v>143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4">
        <v>0</v>
      </c>
      <c r="R104" s="15">
        <v>1400</v>
      </c>
      <c r="S104" s="15">
        <v>0</v>
      </c>
      <c r="T104" s="15">
        <v>0</v>
      </c>
      <c r="U104" s="15">
        <v>1400</v>
      </c>
      <c r="V104" s="15">
        <v>0</v>
      </c>
      <c r="W104" s="15">
        <v>1400</v>
      </c>
      <c r="X104" s="15">
        <v>0</v>
      </c>
      <c r="Y104" s="16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512</v>
      </c>
      <c r="F105" s="11" t="s">
        <v>26</v>
      </c>
      <c r="G105" s="11" t="s">
        <v>26</v>
      </c>
      <c r="H105" s="12" t="s">
        <v>4443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14">
        <v>3637.9999999999995</v>
      </c>
      <c r="S105" s="15">
        <v>38</v>
      </c>
      <c r="T105" s="15">
        <v>1626.3999999999999</v>
      </c>
      <c r="U105" s="15">
        <v>2011.5999999999997</v>
      </c>
      <c r="V105" s="15">
        <v>2011.5999999999997</v>
      </c>
      <c r="W105" s="15">
        <v>0</v>
      </c>
      <c r="X105" s="15">
        <v>1540.8</v>
      </c>
      <c r="Y105" s="16">
        <v>85.599999999999909</v>
      </c>
      <c r="Z105" s="69" t="s">
        <v>144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4">
        <v>0</v>
      </c>
      <c r="R106" s="15">
        <v>1550</v>
      </c>
      <c r="S106" s="15">
        <v>0</v>
      </c>
      <c r="T106" s="15">
        <v>0</v>
      </c>
      <c r="U106" s="15">
        <v>1550</v>
      </c>
      <c r="V106" s="15">
        <v>0</v>
      </c>
      <c r="W106" s="15">
        <v>1550</v>
      </c>
      <c r="X106" s="15">
        <v>0</v>
      </c>
      <c r="Y106" s="16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568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572</v>
      </c>
      <c r="F108" s="11" t="s">
        <v>26</v>
      </c>
      <c r="G108" s="11">
        <v>111729</v>
      </c>
      <c r="H108" s="12" t="s">
        <v>4468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208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575</v>
      </c>
      <c r="F110" s="11" t="s">
        <v>26</v>
      </c>
      <c r="G110" s="11">
        <v>111583</v>
      </c>
      <c r="H110" s="12" t="s">
        <v>4468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328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144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180</v>
      </c>
      <c r="F113" s="11" t="s">
        <v>26</v>
      </c>
      <c r="G113" s="11">
        <v>474</v>
      </c>
      <c r="H113" s="12" t="s">
        <v>144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144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566</v>
      </c>
      <c r="F115" s="11" t="s">
        <v>26</v>
      </c>
      <c r="G115" s="11" t="s">
        <v>26</v>
      </c>
      <c r="H115" s="12" t="s">
        <v>4467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144</v>
      </c>
      <c r="AA115" s="12" t="s">
        <v>448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4443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578</v>
      </c>
      <c r="F117" s="11" t="s">
        <v>26</v>
      </c>
      <c r="G117" s="11">
        <v>111632</v>
      </c>
      <c r="H117" s="12" t="s">
        <v>4468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508</v>
      </c>
      <c r="F118" s="11" t="s">
        <v>26</v>
      </c>
      <c r="G118" s="11" t="s">
        <v>26</v>
      </c>
      <c r="H118" s="12" t="s">
        <v>4443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144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243</v>
      </c>
      <c r="F120" s="11" t="s">
        <v>26</v>
      </c>
      <c r="G120" s="11" t="s">
        <v>26</v>
      </c>
      <c r="H120" s="12" t="s">
        <v>4443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249</v>
      </c>
      <c r="F121" s="11" t="s">
        <v>26</v>
      </c>
      <c r="G121" s="11" t="s">
        <v>26</v>
      </c>
      <c r="H121" s="12" t="s">
        <v>4443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555</v>
      </c>
      <c r="F122" s="11" t="s">
        <v>26</v>
      </c>
      <c r="G122" s="11">
        <v>57540</v>
      </c>
      <c r="H122" s="12" t="s">
        <v>4444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607</v>
      </c>
      <c r="F123" s="11" t="s">
        <v>26</v>
      </c>
      <c r="G123" s="11" t="s">
        <v>26</v>
      </c>
      <c r="H123" s="12" t="s">
        <v>4443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144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566</v>
      </c>
      <c r="F124" s="11" t="s">
        <v>26</v>
      </c>
      <c r="G124" s="11" t="s">
        <v>26</v>
      </c>
      <c r="H124" s="12" t="s">
        <v>4467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144</v>
      </c>
      <c r="AA124" s="12" t="s">
        <v>448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569</v>
      </c>
      <c r="K125" s="12" t="s">
        <v>553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227</v>
      </c>
      <c r="F126" s="11" t="s">
        <v>26</v>
      </c>
      <c r="G126" s="11">
        <v>57827</v>
      </c>
      <c r="H126" s="12" t="s">
        <v>4444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542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569</v>
      </c>
      <c r="K127" s="12" t="s">
        <v>553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592</v>
      </c>
      <c r="F128" s="11" t="s">
        <v>26</v>
      </c>
      <c r="G128" s="11">
        <v>69540</v>
      </c>
      <c r="H128" s="12" t="s">
        <v>4444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512</v>
      </c>
      <c r="F129" s="11" t="s">
        <v>26</v>
      </c>
      <c r="G129" s="11" t="s">
        <v>26</v>
      </c>
      <c r="H129" s="12" t="s">
        <v>4443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144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547</v>
      </c>
      <c r="F130" s="11" t="s">
        <v>26</v>
      </c>
      <c r="G130" s="11">
        <v>70141</v>
      </c>
      <c r="H130" s="12" t="s">
        <v>4470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244</v>
      </c>
      <c r="F133" s="11" t="s">
        <v>26</v>
      </c>
      <c r="G133" s="11">
        <v>71090</v>
      </c>
      <c r="H133" s="12" t="s">
        <v>4470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528</v>
      </c>
      <c r="F134" s="11" t="s">
        <v>26</v>
      </c>
      <c r="G134" s="11">
        <v>76537</v>
      </c>
      <c r="H134" s="12" t="s">
        <v>4470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570</v>
      </c>
      <c r="F135" s="11" t="s">
        <v>26</v>
      </c>
      <c r="G135" s="11">
        <v>111869</v>
      </c>
      <c r="H135" s="12" t="s">
        <v>4468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1221</v>
      </c>
      <c r="F136" s="11" t="s">
        <v>26</v>
      </c>
      <c r="G136" s="11">
        <v>961</v>
      </c>
      <c r="H136" s="12" t="s">
        <v>166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98</v>
      </c>
      <c r="F137" s="11" t="s">
        <v>26</v>
      </c>
      <c r="G137" s="11">
        <v>5443</v>
      </c>
      <c r="H137" s="12" t="s">
        <v>4469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572</v>
      </c>
      <c r="F138" s="11" t="s">
        <v>26</v>
      </c>
      <c r="G138" s="11">
        <v>111730</v>
      </c>
      <c r="H138" s="12" t="s">
        <v>4468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574</v>
      </c>
      <c r="F139" s="11" t="s">
        <v>26</v>
      </c>
      <c r="G139" s="11">
        <v>111907</v>
      </c>
      <c r="H139" s="12" t="s">
        <v>4468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493</v>
      </c>
      <c r="F140" s="11" t="s">
        <v>26</v>
      </c>
      <c r="G140" s="11">
        <v>77524</v>
      </c>
      <c r="H140" s="12" t="s">
        <v>4470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573</v>
      </c>
      <c r="F143" s="11" t="s">
        <v>26</v>
      </c>
      <c r="G143" s="11">
        <v>10308</v>
      </c>
      <c r="H143" s="12" t="s">
        <v>143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243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508</v>
      </c>
      <c r="F145" s="11" t="s">
        <v>26</v>
      </c>
      <c r="G145" s="11">
        <v>476</v>
      </c>
      <c r="H145" s="12" t="s">
        <v>144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607</v>
      </c>
      <c r="F147" s="11" t="s">
        <v>26</v>
      </c>
      <c r="G147" s="11">
        <v>477</v>
      </c>
      <c r="H147" s="12" t="s">
        <v>144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249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596</v>
      </c>
      <c r="F151" s="11" t="s">
        <v>26</v>
      </c>
      <c r="G151" s="11">
        <v>59469</v>
      </c>
      <c r="H151" s="12" t="s">
        <v>4444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187</v>
      </c>
      <c r="F152" s="11" t="s">
        <v>26</v>
      </c>
      <c r="G152" s="11">
        <v>478</v>
      </c>
      <c r="H152" s="12" t="s">
        <v>144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247</v>
      </c>
      <c r="F153" s="11" t="s">
        <v>26</v>
      </c>
      <c r="G153" s="11">
        <v>479</v>
      </c>
      <c r="H153" s="12" t="s">
        <v>144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504</v>
      </c>
      <c r="F154" s="11" t="s">
        <v>26</v>
      </c>
      <c r="G154" s="11">
        <v>480</v>
      </c>
      <c r="H154" s="12" t="s">
        <v>144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486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569</v>
      </c>
      <c r="K155" s="12" t="s">
        <v>553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143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512</v>
      </c>
      <c r="F157" s="11" t="s">
        <v>26</v>
      </c>
      <c r="G157" s="11">
        <v>481</v>
      </c>
      <c r="H157" s="12" t="s">
        <v>144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569</v>
      </c>
      <c r="K158" s="12" t="s">
        <v>553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1221</v>
      </c>
      <c r="F160" s="11" t="s">
        <v>26</v>
      </c>
      <c r="G160" s="11">
        <v>962</v>
      </c>
      <c r="H160" s="12" t="s">
        <v>166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/>
      <c r="C161" s="11">
        <v>14662</v>
      </c>
      <c r="D161" s="11" t="s">
        <v>26</v>
      </c>
      <c r="E161" s="11" t="s">
        <v>434</v>
      </c>
      <c r="F161" s="11" t="s">
        <v>26</v>
      </c>
      <c r="G161" s="11">
        <v>129</v>
      </c>
      <c r="H161" s="12" t="s">
        <v>115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/>
      <c r="C162" s="11">
        <v>14663</v>
      </c>
      <c r="D162" s="11" t="s">
        <v>26</v>
      </c>
      <c r="E162" s="11" t="s">
        <v>577</v>
      </c>
      <c r="F162" s="11" t="s">
        <v>26</v>
      </c>
      <c r="G162" s="11" t="s">
        <v>26</v>
      </c>
      <c r="H162" s="12" t="s">
        <v>4443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144</v>
      </c>
      <c r="AA162" s="12" t="s">
        <v>78</v>
      </c>
    </row>
    <row r="163" spans="1:27" x14ac:dyDescent="0.25">
      <c r="A163" s="10">
        <v>45660</v>
      </c>
      <c r="B163" s="11"/>
      <c r="C163" s="11">
        <v>14664</v>
      </c>
      <c r="D163" s="11" t="s">
        <v>26</v>
      </c>
      <c r="E163" s="11" t="s">
        <v>187</v>
      </c>
      <c r="F163" s="11" t="s">
        <v>26</v>
      </c>
      <c r="G163" s="11" t="s">
        <v>26</v>
      </c>
      <c r="H163" s="12" t="s">
        <v>4443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144</v>
      </c>
      <c r="AA163" s="12" t="s">
        <v>78</v>
      </c>
    </row>
    <row r="164" spans="1:27" x14ac:dyDescent="0.25">
      <c r="A164" s="10">
        <v>45660</v>
      </c>
      <c r="B164" s="11"/>
      <c r="C164" s="11">
        <v>14665</v>
      </c>
      <c r="D164" s="11" t="s">
        <v>26</v>
      </c>
      <c r="E164" s="11" t="s">
        <v>249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231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/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4470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/>
      <c r="C166" s="11">
        <v>14667</v>
      </c>
      <c r="D166" s="11" t="s">
        <v>26</v>
      </c>
      <c r="E166" s="11" t="s">
        <v>504</v>
      </c>
      <c r="F166" s="11" t="s">
        <v>26</v>
      </c>
      <c r="G166" s="11" t="s">
        <v>26</v>
      </c>
      <c r="H166" s="12" t="s">
        <v>4443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144</v>
      </c>
      <c r="AA166" s="12" t="s">
        <v>78</v>
      </c>
    </row>
    <row r="167" spans="1:27" x14ac:dyDescent="0.25">
      <c r="A167" s="10">
        <v>45660</v>
      </c>
      <c r="B167" s="11"/>
      <c r="C167" s="11">
        <v>14668</v>
      </c>
      <c r="D167" s="11" t="s">
        <v>26</v>
      </c>
      <c r="E167" s="11" t="s">
        <v>608</v>
      </c>
      <c r="F167" s="11" t="s">
        <v>26</v>
      </c>
      <c r="G167" s="11" t="s">
        <v>26</v>
      </c>
      <c r="H167" s="12" t="s">
        <v>4443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144</v>
      </c>
      <c r="AA167" s="12" t="s">
        <v>78</v>
      </c>
    </row>
    <row r="168" spans="1:27" x14ac:dyDescent="0.25">
      <c r="A168" s="10">
        <v>45660</v>
      </c>
      <c r="B168" s="11"/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4443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/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4443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/>
      <c r="C170" s="11">
        <v>14671</v>
      </c>
      <c r="D170" s="11" t="s">
        <v>26</v>
      </c>
      <c r="E170" s="11" t="s">
        <v>573</v>
      </c>
      <c r="F170" s="11" t="s">
        <v>26</v>
      </c>
      <c r="G170" s="11">
        <v>10309</v>
      </c>
      <c r="H170" s="12" t="s">
        <v>143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/>
      <c r="C171" s="11">
        <v>14672</v>
      </c>
      <c r="D171" s="11" t="s">
        <v>26</v>
      </c>
      <c r="E171" s="11" t="s">
        <v>523</v>
      </c>
      <c r="F171" s="11" t="s">
        <v>26</v>
      </c>
      <c r="G171" s="11">
        <v>4360</v>
      </c>
      <c r="H171" s="12" t="s">
        <v>143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/>
      <c r="C172" s="11">
        <v>14673</v>
      </c>
      <c r="D172" s="11" t="s">
        <v>26</v>
      </c>
      <c r="E172" s="11" t="s">
        <v>542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569</v>
      </c>
      <c r="K172" s="12" t="s">
        <v>553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/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/>
      <c r="C174" s="11">
        <v>14675</v>
      </c>
      <c r="D174" s="11" t="s">
        <v>26</v>
      </c>
      <c r="E174" s="11" t="s">
        <v>438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231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/>
      <c r="C175" s="11">
        <v>14676</v>
      </c>
      <c r="D175" s="11" t="s">
        <v>26</v>
      </c>
      <c r="E175" s="11" t="s">
        <v>555</v>
      </c>
      <c r="F175" s="11" t="s">
        <v>26</v>
      </c>
      <c r="G175" s="11">
        <v>57542</v>
      </c>
      <c r="H175" s="12" t="s">
        <v>4444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/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/>
      <c r="C177" s="11">
        <v>14678</v>
      </c>
      <c r="D177" s="11" t="s">
        <v>26</v>
      </c>
      <c r="E177" s="11" t="s">
        <v>520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/>
      <c r="C178" s="11">
        <v>14679</v>
      </c>
      <c r="D178" s="11" t="s">
        <v>26</v>
      </c>
      <c r="E178" s="11" t="s">
        <v>114</v>
      </c>
      <c r="F178" s="11" t="s">
        <v>26</v>
      </c>
      <c r="G178" s="11">
        <v>688</v>
      </c>
      <c r="H178" s="12" t="s">
        <v>115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/>
      <c r="C179" s="11">
        <v>14680</v>
      </c>
      <c r="D179" s="11" t="s">
        <v>26</v>
      </c>
      <c r="E179" s="11" t="s">
        <v>1223</v>
      </c>
      <c r="F179" s="11" t="s">
        <v>26</v>
      </c>
      <c r="G179" s="11" t="s">
        <v>26</v>
      </c>
      <c r="H179" s="12" t="s">
        <v>4443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144</v>
      </c>
      <c r="AA179" s="12" t="s">
        <v>78</v>
      </c>
    </row>
    <row r="180" spans="1:27" x14ac:dyDescent="0.25">
      <c r="A180" s="10">
        <v>45660</v>
      </c>
      <c r="B180" s="11"/>
      <c r="C180" s="11">
        <v>14681</v>
      </c>
      <c r="D180" s="11" t="s">
        <v>26</v>
      </c>
      <c r="E180" s="11" t="s">
        <v>512</v>
      </c>
      <c r="F180" s="11" t="s">
        <v>26</v>
      </c>
      <c r="G180" s="11" t="s">
        <v>26</v>
      </c>
      <c r="H180" s="12" t="s">
        <v>4443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144</v>
      </c>
      <c r="AA180" s="12" t="s">
        <v>78</v>
      </c>
    </row>
    <row r="181" spans="1:27" x14ac:dyDescent="0.25">
      <c r="A181" s="10">
        <v>45660</v>
      </c>
      <c r="B181" s="11"/>
      <c r="C181" s="11">
        <v>14682</v>
      </c>
      <c r="D181" s="11" t="s">
        <v>26</v>
      </c>
      <c r="E181" s="11" t="s">
        <v>243</v>
      </c>
      <c r="F181" s="11" t="s">
        <v>26</v>
      </c>
      <c r="G181" s="11" t="s">
        <v>26</v>
      </c>
      <c r="H181" s="12" t="s">
        <v>149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/>
      <c r="C182" s="11">
        <v>14683</v>
      </c>
      <c r="D182" s="11" t="s">
        <v>26</v>
      </c>
      <c r="E182" s="11" t="s">
        <v>227</v>
      </c>
      <c r="F182" s="11" t="s">
        <v>26</v>
      </c>
      <c r="G182" s="11">
        <v>57828</v>
      </c>
      <c r="H182" s="12" t="s">
        <v>4444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/>
      <c r="C183" s="11">
        <v>14684</v>
      </c>
      <c r="D183" s="11" t="s">
        <v>26</v>
      </c>
      <c r="E183" s="11" t="s">
        <v>607</v>
      </c>
      <c r="F183" s="11" t="s">
        <v>26</v>
      </c>
      <c r="G183" s="11" t="s">
        <v>26</v>
      </c>
      <c r="H183" s="12" t="s">
        <v>4443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144</v>
      </c>
      <c r="AA183" s="12" t="s">
        <v>78</v>
      </c>
    </row>
    <row r="184" spans="1:27" x14ac:dyDescent="0.25">
      <c r="A184" s="10">
        <v>45660</v>
      </c>
      <c r="B184" s="11"/>
      <c r="C184" s="11">
        <v>14685</v>
      </c>
      <c r="D184" s="11" t="s">
        <v>26</v>
      </c>
      <c r="E184" s="11" t="s">
        <v>592</v>
      </c>
      <c r="F184" s="11" t="s">
        <v>26</v>
      </c>
      <c r="G184" s="11">
        <v>69541</v>
      </c>
      <c r="H184" s="12" t="s">
        <v>4444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/>
      <c r="C185" s="11">
        <v>14686</v>
      </c>
      <c r="D185" s="11" t="s">
        <v>26</v>
      </c>
      <c r="E185" s="11" t="s">
        <v>570</v>
      </c>
      <c r="F185" s="11" t="s">
        <v>26</v>
      </c>
      <c r="G185" s="11">
        <v>111871</v>
      </c>
      <c r="H185" s="12" t="s">
        <v>4468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/>
      <c r="C186" s="11">
        <v>14687</v>
      </c>
      <c r="D186" s="11" t="s">
        <v>26</v>
      </c>
      <c r="E186" s="11" t="s">
        <v>662</v>
      </c>
      <c r="F186" s="11" t="s">
        <v>26</v>
      </c>
      <c r="G186" s="11" t="s">
        <v>26</v>
      </c>
      <c r="H186" s="12" t="s">
        <v>4443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144</v>
      </c>
      <c r="AA186" s="12" t="s">
        <v>78</v>
      </c>
    </row>
    <row r="187" spans="1:27" x14ac:dyDescent="0.25">
      <c r="A187" s="10">
        <v>45660</v>
      </c>
      <c r="B187" s="11"/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568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/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143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/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4443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/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4443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/>
      <c r="C191" s="11">
        <v>14692</v>
      </c>
      <c r="D191" s="11" t="s">
        <v>26</v>
      </c>
      <c r="E191" s="11" t="s">
        <v>504</v>
      </c>
      <c r="F191" s="11" t="s">
        <v>26</v>
      </c>
      <c r="G191" s="11" t="s">
        <v>26</v>
      </c>
      <c r="H191" s="12" t="s">
        <v>4443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144</v>
      </c>
      <c r="AA191" s="12" t="s">
        <v>78</v>
      </c>
    </row>
    <row r="192" spans="1:27" x14ac:dyDescent="0.25">
      <c r="A192" s="10">
        <v>45660</v>
      </c>
      <c r="B192" s="11"/>
      <c r="C192" s="11">
        <v>14693</v>
      </c>
      <c r="D192" s="11" t="s">
        <v>26</v>
      </c>
      <c r="E192" s="11" t="s">
        <v>99</v>
      </c>
      <c r="F192" s="11" t="s">
        <v>26</v>
      </c>
      <c r="G192" s="11">
        <v>10122</v>
      </c>
      <c r="H192" s="12" t="s">
        <v>143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/>
      <c r="C193" s="11">
        <v>14694</v>
      </c>
      <c r="D193" s="11" t="s">
        <v>26</v>
      </c>
      <c r="E193" s="11" t="s">
        <v>509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/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/>
      <c r="C195" s="11">
        <v>14696</v>
      </c>
      <c r="D195" s="11" t="s">
        <v>26</v>
      </c>
      <c r="E195" s="11" t="s">
        <v>247</v>
      </c>
      <c r="F195" s="11" t="s">
        <v>26</v>
      </c>
      <c r="G195" s="11">
        <v>482</v>
      </c>
      <c r="H195" s="12" t="s">
        <v>144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/>
      <c r="C196" s="11">
        <v>14697</v>
      </c>
      <c r="D196" s="11" t="s">
        <v>26</v>
      </c>
      <c r="E196" s="11" t="s">
        <v>555</v>
      </c>
      <c r="F196" s="11" t="s">
        <v>26</v>
      </c>
      <c r="G196" s="11">
        <v>57543</v>
      </c>
      <c r="H196" s="12" t="s">
        <v>4444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/>
      <c r="C197" s="11">
        <v>14698</v>
      </c>
      <c r="D197" s="11" t="s">
        <v>26</v>
      </c>
      <c r="E197" s="11" t="s">
        <v>523</v>
      </c>
      <c r="F197" s="11" t="s">
        <v>26</v>
      </c>
      <c r="G197" s="11">
        <v>4361</v>
      </c>
      <c r="H197" s="12" t="s">
        <v>143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/>
      <c r="C198" s="11">
        <v>14699</v>
      </c>
      <c r="D198" s="11" t="s">
        <v>26</v>
      </c>
      <c r="E198" s="11" t="s">
        <v>249</v>
      </c>
      <c r="F198" s="11" t="s">
        <v>26</v>
      </c>
      <c r="G198" s="11" t="s">
        <v>26</v>
      </c>
      <c r="H198" s="12" t="s">
        <v>4443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/>
      <c r="C199" s="11">
        <v>14700</v>
      </c>
      <c r="D199" s="11" t="s">
        <v>26</v>
      </c>
      <c r="E199" s="11" t="s">
        <v>512</v>
      </c>
      <c r="F199" s="11" t="s">
        <v>26</v>
      </c>
      <c r="G199" s="11" t="s">
        <v>26</v>
      </c>
      <c r="H199" s="12" t="s">
        <v>4443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144</v>
      </c>
      <c r="AA199" s="12" t="s">
        <v>78</v>
      </c>
    </row>
    <row r="200" spans="1:27" x14ac:dyDescent="0.25">
      <c r="A200" s="10">
        <v>45660</v>
      </c>
      <c r="B200" s="11"/>
      <c r="C200" s="11">
        <v>14701</v>
      </c>
      <c r="D200" s="11" t="s">
        <v>26</v>
      </c>
      <c r="E200" s="11" t="s">
        <v>243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/>
      <c r="C201" s="11">
        <v>14702</v>
      </c>
      <c r="D201" s="11" t="s">
        <v>26</v>
      </c>
      <c r="E201" s="11" t="s">
        <v>434</v>
      </c>
      <c r="F201" s="11" t="s">
        <v>26</v>
      </c>
      <c r="G201" s="11">
        <v>130</v>
      </c>
      <c r="H201" s="12" t="s">
        <v>115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/>
      <c r="C202" s="11">
        <v>14703</v>
      </c>
      <c r="D202" s="11" t="s">
        <v>26</v>
      </c>
      <c r="E202" s="11" t="s">
        <v>607</v>
      </c>
      <c r="F202" s="11" t="s">
        <v>26</v>
      </c>
      <c r="G202" s="11">
        <v>483</v>
      </c>
      <c r="H202" s="12" t="s">
        <v>144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/>
      <c r="C203" s="11">
        <v>14704</v>
      </c>
      <c r="D203" s="11" t="s">
        <v>26</v>
      </c>
      <c r="E203" s="11" t="s">
        <v>542</v>
      </c>
      <c r="F203" s="11" t="s">
        <v>26</v>
      </c>
      <c r="G203" s="11" t="s">
        <v>26</v>
      </c>
      <c r="H203" s="12" t="s">
        <v>149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/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/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1224</v>
      </c>
      <c r="C206" s="11" t="s">
        <v>1225</v>
      </c>
      <c r="D206" s="11" t="s">
        <v>26</v>
      </c>
      <c r="E206" s="11" t="s">
        <v>486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284</v>
      </c>
      <c r="C207" s="11" t="s">
        <v>1226</v>
      </c>
      <c r="D207" s="11" t="s">
        <v>26</v>
      </c>
      <c r="E207" s="11" t="s">
        <v>570</v>
      </c>
      <c r="F207" s="11" t="s">
        <v>26</v>
      </c>
      <c r="G207" s="11">
        <v>111874</v>
      </c>
      <c r="H207" s="12" t="s">
        <v>4468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419</v>
      </c>
      <c r="C208" s="11" t="s">
        <v>1227</v>
      </c>
      <c r="D208" s="11" t="s">
        <v>26</v>
      </c>
      <c r="E208" s="11" t="s">
        <v>574</v>
      </c>
      <c r="F208" s="11" t="s">
        <v>26</v>
      </c>
      <c r="G208" s="11">
        <v>111909</v>
      </c>
      <c r="H208" s="12" t="s">
        <v>4468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723</v>
      </c>
      <c r="C209" s="11" t="s">
        <v>1228</v>
      </c>
      <c r="D209" s="11" t="s">
        <v>26</v>
      </c>
      <c r="E209" s="11" t="s">
        <v>576</v>
      </c>
      <c r="F209" s="11" t="s">
        <v>26</v>
      </c>
      <c r="G209" s="11">
        <v>112040</v>
      </c>
      <c r="H209" s="12" t="s">
        <v>4468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1229</v>
      </c>
      <c r="C210" s="11" t="s">
        <v>1230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4444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519</v>
      </c>
      <c r="C211" s="11" t="s">
        <v>1231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560</v>
      </c>
      <c r="K211" s="12" t="s">
        <v>561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1232</v>
      </c>
      <c r="C212" s="11" t="s">
        <v>1233</v>
      </c>
      <c r="D212" s="11" t="s">
        <v>26</v>
      </c>
      <c r="E212" s="11" t="s">
        <v>100</v>
      </c>
      <c r="F212" s="11" t="s">
        <v>26</v>
      </c>
      <c r="G212" s="11">
        <v>57960</v>
      </c>
      <c r="H212" s="12" t="s">
        <v>4444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254</v>
      </c>
      <c r="C213" s="11" t="s">
        <v>1234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595</v>
      </c>
      <c r="C214" s="11" t="s">
        <v>1235</v>
      </c>
      <c r="D214" s="11" t="s">
        <v>26</v>
      </c>
      <c r="E214" s="11" t="s">
        <v>573</v>
      </c>
      <c r="F214" s="11" t="s">
        <v>26</v>
      </c>
      <c r="G214" s="11">
        <v>10310</v>
      </c>
      <c r="H214" s="12" t="s">
        <v>143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1236</v>
      </c>
      <c r="C215" s="11" t="s">
        <v>1237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1238</v>
      </c>
      <c r="C216" s="11" t="s">
        <v>1239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1240</v>
      </c>
      <c r="C217" s="11" t="s">
        <v>1241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4468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1242</v>
      </c>
      <c r="C218" s="11" t="s">
        <v>1243</v>
      </c>
      <c r="D218" s="11" t="s">
        <v>26</v>
      </c>
      <c r="E218" s="11" t="s">
        <v>490</v>
      </c>
      <c r="F218" s="11" t="s">
        <v>26</v>
      </c>
      <c r="G218" s="11">
        <v>20136</v>
      </c>
      <c r="H218" s="12" t="s">
        <v>4470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1244</v>
      </c>
      <c r="C219" s="11" t="s">
        <v>1245</v>
      </c>
      <c r="D219" s="11" t="s">
        <v>26</v>
      </c>
      <c r="E219" s="11" t="s">
        <v>99</v>
      </c>
      <c r="F219" s="11" t="s">
        <v>26</v>
      </c>
      <c r="G219" s="11">
        <v>10123</v>
      </c>
      <c r="H219" s="12" t="s">
        <v>143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1246</v>
      </c>
      <c r="C220" s="11" t="s">
        <v>1247</v>
      </c>
      <c r="D220" s="11" t="s">
        <v>26</v>
      </c>
      <c r="E220" s="11" t="s">
        <v>592</v>
      </c>
      <c r="F220" s="11" t="s">
        <v>26</v>
      </c>
      <c r="G220" s="11">
        <v>69542</v>
      </c>
      <c r="H220" s="12" t="s">
        <v>4444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1248</v>
      </c>
      <c r="C221" s="11" t="s">
        <v>1249</v>
      </c>
      <c r="D221" s="11" t="s">
        <v>26</v>
      </c>
      <c r="E221" s="11" t="s">
        <v>559</v>
      </c>
      <c r="F221" s="11" t="s">
        <v>26</v>
      </c>
      <c r="G221" s="11">
        <v>10272</v>
      </c>
      <c r="H221" s="12" t="s">
        <v>143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1250</v>
      </c>
      <c r="C222" s="11" t="s">
        <v>1251</v>
      </c>
      <c r="D222" s="11" t="s">
        <v>26</v>
      </c>
      <c r="E222" s="11" t="s">
        <v>662</v>
      </c>
      <c r="F222" s="11" t="s">
        <v>26</v>
      </c>
      <c r="G222" s="11">
        <v>484</v>
      </c>
      <c r="H222" s="12" t="s">
        <v>144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1252</v>
      </c>
      <c r="C223" s="11" t="s">
        <v>1253</v>
      </c>
      <c r="D223" s="11" t="s">
        <v>26</v>
      </c>
      <c r="E223" s="11" t="s">
        <v>227</v>
      </c>
      <c r="F223" s="11" t="s">
        <v>26</v>
      </c>
      <c r="G223" s="11">
        <v>57829</v>
      </c>
      <c r="H223" s="12" t="s">
        <v>4444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1254</v>
      </c>
      <c r="C224" s="11" t="s">
        <v>1255</v>
      </c>
      <c r="D224" s="11" t="s">
        <v>26</v>
      </c>
      <c r="E224" s="11" t="s">
        <v>489</v>
      </c>
      <c r="F224" s="11" t="s">
        <v>26</v>
      </c>
      <c r="G224" s="11">
        <v>72859</v>
      </c>
      <c r="H224" s="12" t="s">
        <v>4470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1256</v>
      </c>
      <c r="C225" s="11" t="s">
        <v>1257</v>
      </c>
      <c r="D225" s="11" t="s">
        <v>26</v>
      </c>
      <c r="E225" s="11" t="s">
        <v>96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1258</v>
      </c>
      <c r="C226" s="11" t="s">
        <v>1259</v>
      </c>
      <c r="D226" s="11" t="s">
        <v>26</v>
      </c>
      <c r="E226" s="11" t="s">
        <v>596</v>
      </c>
      <c r="F226" s="11" t="s">
        <v>26</v>
      </c>
      <c r="G226" s="11">
        <v>59471</v>
      </c>
      <c r="H226" s="12" t="s">
        <v>4444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1260</v>
      </c>
      <c r="C227" s="11" t="s">
        <v>1261</v>
      </c>
      <c r="D227" s="11" t="s">
        <v>26</v>
      </c>
      <c r="E227" s="11" t="s">
        <v>504</v>
      </c>
      <c r="F227" s="11" t="s">
        <v>26</v>
      </c>
      <c r="G227" s="11">
        <v>485</v>
      </c>
      <c r="H227" s="12" t="s">
        <v>144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701</v>
      </c>
      <c r="C228" s="11" t="s">
        <v>1262</v>
      </c>
      <c r="D228" s="11" t="s">
        <v>26</v>
      </c>
      <c r="E228" s="11" t="s">
        <v>555</v>
      </c>
      <c r="F228" s="11" t="s">
        <v>26</v>
      </c>
      <c r="G228" s="11">
        <v>57544</v>
      </c>
      <c r="H228" s="12" t="s">
        <v>4444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1263</v>
      </c>
      <c r="C229" s="11" t="s">
        <v>1264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4443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1265</v>
      </c>
      <c r="C230" s="11" t="s">
        <v>1266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4444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1267</v>
      </c>
      <c r="C231" s="11" t="s">
        <v>1268</v>
      </c>
      <c r="D231" s="11" t="s">
        <v>26</v>
      </c>
      <c r="E231" s="11" t="s">
        <v>577</v>
      </c>
      <c r="F231" s="11" t="s">
        <v>26</v>
      </c>
      <c r="G231" s="11">
        <v>486</v>
      </c>
      <c r="H231" s="12" t="s">
        <v>144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715</v>
      </c>
      <c r="C232" s="11" t="s">
        <v>1269</v>
      </c>
      <c r="D232" s="11" t="s">
        <v>26</v>
      </c>
      <c r="E232" s="11" t="s">
        <v>608</v>
      </c>
      <c r="F232" s="11" t="s">
        <v>26</v>
      </c>
      <c r="G232" s="11">
        <v>487</v>
      </c>
      <c r="H232" s="12" t="s">
        <v>144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1270</v>
      </c>
      <c r="C233" s="11" t="s">
        <v>1271</v>
      </c>
      <c r="D233" s="11" t="s">
        <v>26</v>
      </c>
      <c r="E233" s="11" t="s">
        <v>607</v>
      </c>
      <c r="F233" s="11" t="s">
        <v>26</v>
      </c>
      <c r="G233" s="11">
        <v>488</v>
      </c>
      <c r="H233" s="12" t="s">
        <v>144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1272</v>
      </c>
      <c r="C234" s="11" t="s">
        <v>1273</v>
      </c>
      <c r="D234" s="11" t="s">
        <v>26</v>
      </c>
      <c r="E234" s="11" t="s">
        <v>249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1274</v>
      </c>
      <c r="C235" s="11" t="s">
        <v>1275</v>
      </c>
      <c r="D235" s="11" t="s">
        <v>26</v>
      </c>
      <c r="E235" s="11" t="s">
        <v>570</v>
      </c>
      <c r="F235" s="11" t="s">
        <v>26</v>
      </c>
      <c r="G235" s="11">
        <v>111877</v>
      </c>
      <c r="H235" s="12" t="s">
        <v>4468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1276</v>
      </c>
      <c r="C236" s="11" t="s">
        <v>1277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143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1278</v>
      </c>
      <c r="C237" s="11" t="s">
        <v>1279</v>
      </c>
      <c r="D237" s="11" t="s">
        <v>26</v>
      </c>
      <c r="E237" s="11" t="s">
        <v>486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1280</v>
      </c>
      <c r="C238" s="11" t="s">
        <v>1281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569</v>
      </c>
      <c r="K238" s="12" t="s">
        <v>553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1282</v>
      </c>
      <c r="C239" s="11" t="s">
        <v>1283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4468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1284</v>
      </c>
      <c r="C240" s="11" t="s">
        <v>1285</v>
      </c>
      <c r="D240" s="11" t="s">
        <v>26</v>
      </c>
      <c r="E240" s="11" t="s">
        <v>244</v>
      </c>
      <c r="F240" s="11" t="s">
        <v>26</v>
      </c>
      <c r="G240" s="11">
        <v>74951</v>
      </c>
      <c r="H240" s="12" t="s">
        <v>4470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729</v>
      </c>
      <c r="C241" s="11" t="s">
        <v>1286</v>
      </c>
      <c r="D241" s="11" t="s">
        <v>26</v>
      </c>
      <c r="E241" s="11" t="s">
        <v>434</v>
      </c>
      <c r="F241" s="11" t="s">
        <v>26</v>
      </c>
      <c r="G241" s="11" t="s">
        <v>26</v>
      </c>
      <c r="H241" s="12" t="s">
        <v>4443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115</v>
      </c>
      <c r="AA241" s="12" t="s">
        <v>78</v>
      </c>
    </row>
    <row r="242" spans="1:27" x14ac:dyDescent="0.25">
      <c r="A242" s="10">
        <v>45661</v>
      </c>
      <c r="B242" s="11" t="s">
        <v>698</v>
      </c>
      <c r="C242" s="11" t="s">
        <v>1287</v>
      </c>
      <c r="D242" s="11" t="s">
        <v>26</v>
      </c>
      <c r="E242" s="11" t="s">
        <v>607</v>
      </c>
      <c r="F242" s="11" t="s">
        <v>26</v>
      </c>
      <c r="G242" s="11" t="s">
        <v>26</v>
      </c>
      <c r="H242" s="12" t="s">
        <v>4443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144</v>
      </c>
      <c r="AA242" s="12" t="s">
        <v>78</v>
      </c>
    </row>
    <row r="243" spans="1:27" x14ac:dyDescent="0.25">
      <c r="A243" s="10">
        <v>45661</v>
      </c>
      <c r="B243" s="11" t="s">
        <v>1288</v>
      </c>
      <c r="C243" s="11" t="s">
        <v>1289</v>
      </c>
      <c r="D243" s="11" t="s">
        <v>26</v>
      </c>
      <c r="E243" s="11" t="s">
        <v>577</v>
      </c>
      <c r="F243" s="11" t="s">
        <v>26</v>
      </c>
      <c r="G243" s="11" t="s">
        <v>26</v>
      </c>
      <c r="H243" s="12" t="s">
        <v>4443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144</v>
      </c>
      <c r="AA243" s="12" t="s">
        <v>78</v>
      </c>
    </row>
    <row r="244" spans="1:27" x14ac:dyDescent="0.25">
      <c r="A244" s="10">
        <v>45661</v>
      </c>
      <c r="B244" s="11" t="s">
        <v>1290</v>
      </c>
      <c r="C244" s="11" t="s">
        <v>1291</v>
      </c>
      <c r="D244" s="11" t="s">
        <v>26</v>
      </c>
      <c r="E244" s="11" t="s">
        <v>487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1292</v>
      </c>
      <c r="C245" s="11" t="s">
        <v>1293</v>
      </c>
      <c r="D245" s="11" t="s">
        <v>26</v>
      </c>
      <c r="E245" s="11" t="s">
        <v>504</v>
      </c>
      <c r="F245" s="11" t="s">
        <v>26</v>
      </c>
      <c r="G245" s="11" t="s">
        <v>26</v>
      </c>
      <c r="H245" s="12" t="s">
        <v>4443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144</v>
      </c>
      <c r="AA245" s="12" t="s">
        <v>78</v>
      </c>
    </row>
    <row r="246" spans="1:27" x14ac:dyDescent="0.25">
      <c r="A246" s="10">
        <v>45661</v>
      </c>
      <c r="B246" s="11" t="s">
        <v>720</v>
      </c>
      <c r="C246" s="11" t="s">
        <v>1294</v>
      </c>
      <c r="D246" s="11" t="s">
        <v>26</v>
      </c>
      <c r="E246" s="11" t="s">
        <v>243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231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653</v>
      </c>
      <c r="C247" s="11" t="s">
        <v>1295</v>
      </c>
      <c r="D247" s="11" t="s">
        <v>26</v>
      </c>
      <c r="E247" s="11" t="s">
        <v>244</v>
      </c>
      <c r="F247" s="11" t="s">
        <v>26</v>
      </c>
      <c r="G247" s="11">
        <v>71092</v>
      </c>
      <c r="H247" s="12" t="s">
        <v>4470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1296</v>
      </c>
      <c r="C248" s="11" t="s">
        <v>1297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4443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1298</v>
      </c>
      <c r="C249" s="11" t="s">
        <v>1299</v>
      </c>
      <c r="D249" s="11" t="s">
        <v>26</v>
      </c>
      <c r="E249" s="11" t="s">
        <v>227</v>
      </c>
      <c r="F249" s="11" t="s">
        <v>26</v>
      </c>
      <c r="G249" s="11">
        <v>57830</v>
      </c>
      <c r="H249" s="12" t="s">
        <v>4444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1300</v>
      </c>
      <c r="C250" s="11" t="s">
        <v>1301</v>
      </c>
      <c r="D250" s="11" t="s">
        <v>26</v>
      </c>
      <c r="E250" s="11" t="s">
        <v>1302</v>
      </c>
      <c r="F250" s="11" t="s">
        <v>26</v>
      </c>
      <c r="G250" s="11" t="s">
        <v>26</v>
      </c>
      <c r="H250" s="12" t="s">
        <v>4443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144</v>
      </c>
      <c r="AA250" s="12" t="s">
        <v>78</v>
      </c>
    </row>
    <row r="251" spans="1:27" x14ac:dyDescent="0.25">
      <c r="A251" s="10">
        <v>45661</v>
      </c>
      <c r="B251" s="11" t="s">
        <v>1303</v>
      </c>
      <c r="C251" s="11" t="s">
        <v>1304</v>
      </c>
      <c r="D251" s="11" t="s">
        <v>26</v>
      </c>
      <c r="E251" s="11" t="s">
        <v>1221</v>
      </c>
      <c r="F251" s="11" t="s">
        <v>26</v>
      </c>
      <c r="G251" s="11">
        <v>963</v>
      </c>
      <c r="H251" s="12" t="s">
        <v>166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1305</v>
      </c>
      <c r="C252" s="11" t="s">
        <v>1306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4443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1307</v>
      </c>
      <c r="C253" s="11" t="s">
        <v>1308</v>
      </c>
      <c r="D253" s="11" t="s">
        <v>26</v>
      </c>
      <c r="E253" s="11" t="s">
        <v>608</v>
      </c>
      <c r="F253" s="11" t="s">
        <v>26</v>
      </c>
      <c r="G253" s="11" t="s">
        <v>26</v>
      </c>
      <c r="H253" s="12" t="s">
        <v>4443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144</v>
      </c>
      <c r="AA253" s="12" t="s">
        <v>78</v>
      </c>
    </row>
    <row r="254" spans="1:27" x14ac:dyDescent="0.25">
      <c r="A254" s="10">
        <v>45661</v>
      </c>
      <c r="B254" s="11" t="s">
        <v>1309</v>
      </c>
      <c r="C254" s="11" t="s">
        <v>1310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143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1311</v>
      </c>
      <c r="C255" s="11" t="s">
        <v>1312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1313</v>
      </c>
      <c r="C256" s="11" t="s">
        <v>1314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1315</v>
      </c>
      <c r="C257" s="11" t="s">
        <v>1316</v>
      </c>
      <c r="D257" s="11" t="s">
        <v>26</v>
      </c>
      <c r="E257" s="11" t="s">
        <v>247</v>
      </c>
      <c r="F257" s="11" t="s">
        <v>26</v>
      </c>
      <c r="G257" s="11" t="s">
        <v>26</v>
      </c>
      <c r="H257" s="12" t="s">
        <v>4443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144</v>
      </c>
      <c r="AA257" s="12" t="s">
        <v>78</v>
      </c>
    </row>
    <row r="258" spans="1:27" x14ac:dyDescent="0.25">
      <c r="A258" s="10">
        <v>45661</v>
      </c>
      <c r="B258" s="11" t="s">
        <v>1317</v>
      </c>
      <c r="C258" s="11" t="s">
        <v>1318</v>
      </c>
      <c r="D258" s="11" t="s">
        <v>26</v>
      </c>
      <c r="E258" s="11" t="s">
        <v>249</v>
      </c>
      <c r="F258" s="11" t="s">
        <v>26</v>
      </c>
      <c r="G258" s="11" t="s">
        <v>26</v>
      </c>
      <c r="H258" s="12" t="s">
        <v>4443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755</v>
      </c>
      <c r="C259" s="11" t="s">
        <v>1319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4443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1320</v>
      </c>
      <c r="C260" s="11" t="s">
        <v>1321</v>
      </c>
      <c r="D260" s="11" t="s">
        <v>26</v>
      </c>
      <c r="E260" s="11" t="s">
        <v>523</v>
      </c>
      <c r="F260" s="11" t="s">
        <v>26</v>
      </c>
      <c r="G260" s="11">
        <v>4362</v>
      </c>
      <c r="H260" s="12" t="s">
        <v>143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1322</v>
      </c>
      <c r="C261" s="11" t="s">
        <v>1323</v>
      </c>
      <c r="D261" s="11" t="s">
        <v>26</v>
      </c>
      <c r="E261" s="11" t="s">
        <v>508</v>
      </c>
      <c r="F261" s="11" t="s">
        <v>26</v>
      </c>
      <c r="G261" s="11" t="s">
        <v>26</v>
      </c>
      <c r="H261" s="12" t="s">
        <v>4443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144</v>
      </c>
      <c r="AA261" s="12" t="s">
        <v>78</v>
      </c>
    </row>
    <row r="262" spans="1:27" x14ac:dyDescent="0.25">
      <c r="A262" s="10">
        <v>45661</v>
      </c>
      <c r="B262" s="11" t="s">
        <v>1324</v>
      </c>
      <c r="C262" s="11" t="s">
        <v>1325</v>
      </c>
      <c r="D262" s="11" t="s">
        <v>26</v>
      </c>
      <c r="E262" s="11" t="s">
        <v>574</v>
      </c>
      <c r="F262" s="11" t="s">
        <v>26</v>
      </c>
      <c r="G262" s="11">
        <v>111911</v>
      </c>
      <c r="H262" s="12" t="s">
        <v>4468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704</v>
      </c>
      <c r="C263" s="11" t="s">
        <v>1326</v>
      </c>
      <c r="D263" s="11" t="s">
        <v>26</v>
      </c>
      <c r="E263" s="11" t="s">
        <v>572</v>
      </c>
      <c r="F263" s="11" t="s">
        <v>26</v>
      </c>
      <c r="G263" s="11">
        <v>111734</v>
      </c>
      <c r="H263" s="12" t="s">
        <v>4468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1327</v>
      </c>
      <c r="C264" s="11" t="s">
        <v>1328</v>
      </c>
      <c r="D264" s="11" t="s">
        <v>26</v>
      </c>
      <c r="E264" s="11" t="s">
        <v>547</v>
      </c>
      <c r="F264" s="11" t="s">
        <v>26</v>
      </c>
      <c r="G264" s="11">
        <v>70143</v>
      </c>
      <c r="H264" s="12" t="s">
        <v>4470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1329</v>
      </c>
      <c r="C265" s="11" t="s">
        <v>1330</v>
      </c>
      <c r="D265" s="11" t="s">
        <v>26</v>
      </c>
      <c r="E265" s="11" t="s">
        <v>483</v>
      </c>
      <c r="F265" s="11" t="s">
        <v>26</v>
      </c>
      <c r="G265" s="11">
        <v>74918</v>
      </c>
      <c r="H265" s="12" t="s">
        <v>4470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673</v>
      </c>
      <c r="C266" s="11" t="s">
        <v>1331</v>
      </c>
      <c r="D266" s="11" t="s">
        <v>26</v>
      </c>
      <c r="E266" s="11" t="s">
        <v>528</v>
      </c>
      <c r="F266" s="11" t="s">
        <v>26</v>
      </c>
      <c r="G266" s="11">
        <v>76542</v>
      </c>
      <c r="H266" s="12" t="s">
        <v>4470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1332</v>
      </c>
      <c r="C267" s="11" t="s">
        <v>1333</v>
      </c>
      <c r="D267" s="11" t="s">
        <v>26</v>
      </c>
      <c r="E267" s="11" t="s">
        <v>244</v>
      </c>
      <c r="F267" s="11" t="s">
        <v>26</v>
      </c>
      <c r="G267" s="11">
        <v>71093</v>
      </c>
      <c r="H267" s="12" t="s">
        <v>4470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1334</v>
      </c>
      <c r="C268" s="11" t="s">
        <v>1335</v>
      </c>
      <c r="D268" s="11" t="s">
        <v>26</v>
      </c>
      <c r="E268" s="11" t="s">
        <v>607</v>
      </c>
      <c r="F268" s="11" t="s">
        <v>26</v>
      </c>
      <c r="G268" s="11">
        <v>489</v>
      </c>
      <c r="H268" s="12" t="s">
        <v>144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1336</v>
      </c>
      <c r="C269" s="11" t="s">
        <v>1337</v>
      </c>
      <c r="D269" s="11" t="s">
        <v>26</v>
      </c>
      <c r="E269" s="11" t="s">
        <v>489</v>
      </c>
      <c r="F269" s="11" t="s">
        <v>26</v>
      </c>
      <c r="G269" s="11">
        <v>72861</v>
      </c>
      <c r="H269" s="12" t="s">
        <v>4470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1338</v>
      </c>
      <c r="C270" s="11" t="s">
        <v>1339</v>
      </c>
      <c r="D270" s="11" t="s">
        <v>26</v>
      </c>
      <c r="E270" s="11" t="s">
        <v>542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231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1340</v>
      </c>
      <c r="C271" s="11" t="s">
        <v>1341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4444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683</v>
      </c>
      <c r="C272" s="11" t="s">
        <v>1342</v>
      </c>
      <c r="D272" s="11" t="s">
        <v>26</v>
      </c>
      <c r="E272" s="11" t="s">
        <v>99</v>
      </c>
      <c r="F272" s="11" t="s">
        <v>26</v>
      </c>
      <c r="G272" s="11">
        <v>10124</v>
      </c>
      <c r="H272" s="12" t="s">
        <v>143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680</v>
      </c>
      <c r="C273" s="11" t="s">
        <v>1343</v>
      </c>
      <c r="D273" s="11" t="s">
        <v>26</v>
      </c>
      <c r="E273" s="11" t="s">
        <v>1221</v>
      </c>
      <c r="F273" s="11" t="s">
        <v>26</v>
      </c>
      <c r="G273" s="11">
        <v>964</v>
      </c>
      <c r="H273" s="12" t="s">
        <v>166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1344</v>
      </c>
      <c r="C274" s="11" t="s">
        <v>1345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143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1346</v>
      </c>
      <c r="C275" s="11" t="s">
        <v>1347</v>
      </c>
      <c r="D275" s="11" t="s">
        <v>26</v>
      </c>
      <c r="E275" s="11" t="s">
        <v>434</v>
      </c>
      <c r="F275" s="11" t="s">
        <v>26</v>
      </c>
      <c r="G275" s="11" t="s">
        <v>26</v>
      </c>
      <c r="H275" s="12" t="s">
        <v>4443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115</v>
      </c>
      <c r="AA275" s="12" t="s">
        <v>78</v>
      </c>
    </row>
    <row r="276" spans="1:27" x14ac:dyDescent="0.25">
      <c r="A276" s="10">
        <v>45661</v>
      </c>
      <c r="B276" s="11" t="s">
        <v>1348</v>
      </c>
      <c r="C276" s="11" t="s">
        <v>1349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1350</v>
      </c>
      <c r="C277" s="11" t="s">
        <v>1351</v>
      </c>
      <c r="D277" s="11" t="s">
        <v>26</v>
      </c>
      <c r="E277" s="11" t="s">
        <v>328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1352</v>
      </c>
      <c r="C278" s="11" t="s">
        <v>1353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1354</v>
      </c>
      <c r="C279" s="11" t="s">
        <v>1355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4443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1356</v>
      </c>
      <c r="C280" s="11" t="s">
        <v>1357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1358</v>
      </c>
      <c r="C281" s="11" t="s">
        <v>1359</v>
      </c>
      <c r="D281" s="11" t="s">
        <v>26</v>
      </c>
      <c r="E281" s="11" t="s">
        <v>574</v>
      </c>
      <c r="F281" s="11" t="s">
        <v>26</v>
      </c>
      <c r="G281" s="11">
        <v>111912</v>
      </c>
      <c r="H281" s="12" t="s">
        <v>4468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1360</v>
      </c>
      <c r="C282" s="11" t="s">
        <v>1361</v>
      </c>
      <c r="D282" s="11" t="s">
        <v>26</v>
      </c>
      <c r="E282" s="11" t="s">
        <v>504</v>
      </c>
      <c r="F282" s="11" t="s">
        <v>26</v>
      </c>
      <c r="G282" s="11">
        <v>490</v>
      </c>
      <c r="H282" s="12" t="s">
        <v>144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451</v>
      </c>
      <c r="C283" s="11" t="s">
        <v>1362</v>
      </c>
      <c r="D283" s="11" t="s">
        <v>26</v>
      </c>
      <c r="E283" s="11" t="s">
        <v>114</v>
      </c>
      <c r="F283" s="11" t="s">
        <v>26</v>
      </c>
      <c r="G283" s="11">
        <v>689</v>
      </c>
      <c r="H283" s="12" t="s">
        <v>115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1363</v>
      </c>
      <c r="C284" s="11" t="s">
        <v>1364</v>
      </c>
      <c r="D284" s="11" t="s">
        <v>26</v>
      </c>
      <c r="E284" s="11" t="s">
        <v>607</v>
      </c>
      <c r="F284" s="11" t="s">
        <v>26</v>
      </c>
      <c r="G284" s="11">
        <v>491</v>
      </c>
      <c r="H284" s="12" t="s">
        <v>144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478</v>
      </c>
      <c r="C285" s="11" t="s">
        <v>1365</v>
      </c>
      <c r="D285" s="11" t="s">
        <v>26</v>
      </c>
      <c r="E285" s="11" t="s">
        <v>576</v>
      </c>
      <c r="F285" s="11" t="s">
        <v>26</v>
      </c>
      <c r="G285" s="11">
        <v>112043</v>
      </c>
      <c r="H285" s="12" t="s">
        <v>4468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256</v>
      </c>
      <c r="C286" s="11" t="s">
        <v>1366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4444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1367</v>
      </c>
      <c r="C287" s="11" t="s">
        <v>1368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4444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1369</v>
      </c>
      <c r="C288" s="11" t="s">
        <v>1370</v>
      </c>
      <c r="D288" s="11" t="s">
        <v>26</v>
      </c>
      <c r="E288" s="11" t="s">
        <v>596</v>
      </c>
      <c r="F288" s="11" t="s">
        <v>26</v>
      </c>
      <c r="G288" s="11">
        <v>59473</v>
      </c>
      <c r="H288" s="12" t="s">
        <v>4444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732</v>
      </c>
      <c r="C289" s="11" t="s">
        <v>1371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144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309</v>
      </c>
      <c r="C290" s="11" t="s">
        <v>1372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144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413</v>
      </c>
      <c r="C291" s="11" t="s">
        <v>1373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1374</v>
      </c>
      <c r="C292" s="11" t="s">
        <v>1375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144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702</v>
      </c>
      <c r="C293" s="11" t="s">
        <v>1376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1377</v>
      </c>
      <c r="C294" s="11" t="s">
        <v>1378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1379</v>
      </c>
      <c r="C295" s="11" t="s">
        <v>1380</v>
      </c>
      <c r="D295" s="11" t="s">
        <v>26</v>
      </c>
      <c r="E295" s="11" t="s">
        <v>434</v>
      </c>
      <c r="F295" s="11" t="s">
        <v>26</v>
      </c>
      <c r="G295" s="11">
        <v>131</v>
      </c>
      <c r="H295" s="12" t="s">
        <v>115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1381</v>
      </c>
      <c r="C296" s="11" t="s">
        <v>1382</v>
      </c>
      <c r="D296" s="11" t="s">
        <v>26</v>
      </c>
      <c r="E296" s="11" t="s">
        <v>240</v>
      </c>
      <c r="F296" s="11" t="s">
        <v>26</v>
      </c>
      <c r="G296" s="11">
        <v>44272</v>
      </c>
      <c r="H296" s="12" t="s">
        <v>4444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1383</v>
      </c>
      <c r="C297" s="11" t="s">
        <v>1384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569</v>
      </c>
      <c r="K297" s="12" t="s">
        <v>553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1385</v>
      </c>
      <c r="C298" s="11" t="s">
        <v>1386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144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1387</v>
      </c>
      <c r="C299" s="11" t="s">
        <v>1388</v>
      </c>
      <c r="D299" s="11" t="s">
        <v>26</v>
      </c>
      <c r="E299" s="11" t="s">
        <v>577</v>
      </c>
      <c r="F299" s="11" t="s">
        <v>26</v>
      </c>
      <c r="G299" s="11" t="s">
        <v>26</v>
      </c>
      <c r="H299" s="12" t="s">
        <v>4443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144</v>
      </c>
      <c r="AA299" s="12" t="s">
        <v>78</v>
      </c>
    </row>
    <row r="300" spans="1:27" x14ac:dyDescent="0.25">
      <c r="A300" s="10">
        <v>45661</v>
      </c>
      <c r="B300" s="11" t="s">
        <v>1389</v>
      </c>
      <c r="C300" s="11" t="s">
        <v>1390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1391</v>
      </c>
      <c r="C301" s="11" t="s">
        <v>1392</v>
      </c>
      <c r="D301" s="11" t="s">
        <v>26</v>
      </c>
      <c r="E301" s="11" t="s">
        <v>608</v>
      </c>
      <c r="F301" s="11" t="s">
        <v>26</v>
      </c>
      <c r="G301" s="11">
        <v>496</v>
      </c>
      <c r="H301" s="12" t="s">
        <v>144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1393</v>
      </c>
      <c r="C302" s="11" t="s">
        <v>1394</v>
      </c>
      <c r="D302" s="11" t="s">
        <v>26</v>
      </c>
      <c r="E302" s="11" t="s">
        <v>574</v>
      </c>
      <c r="F302" s="11" t="s">
        <v>26</v>
      </c>
      <c r="G302" s="11">
        <v>111913</v>
      </c>
      <c r="H302" s="12" t="s">
        <v>4468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1395</v>
      </c>
      <c r="C303" s="11" t="s">
        <v>1396</v>
      </c>
      <c r="D303" s="11" t="s">
        <v>26</v>
      </c>
      <c r="E303" s="11" t="s">
        <v>523</v>
      </c>
      <c r="F303" s="11" t="s">
        <v>26</v>
      </c>
      <c r="G303" s="11">
        <v>4363</v>
      </c>
      <c r="H303" s="12" t="s">
        <v>143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410</v>
      </c>
      <c r="C304" s="11" t="s">
        <v>1397</v>
      </c>
      <c r="D304" s="11" t="s">
        <v>26</v>
      </c>
      <c r="E304" s="11" t="s">
        <v>578</v>
      </c>
      <c r="F304" s="11" t="s">
        <v>26</v>
      </c>
      <c r="G304" s="11">
        <v>111639</v>
      </c>
      <c r="H304" s="12" t="s">
        <v>4468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400</v>
      </c>
      <c r="C305" s="11" t="s">
        <v>1398</v>
      </c>
      <c r="D305" s="11" t="s">
        <v>26</v>
      </c>
      <c r="E305" s="11" t="s">
        <v>512</v>
      </c>
      <c r="F305" s="11" t="s">
        <v>26</v>
      </c>
      <c r="G305" s="11">
        <v>497</v>
      </c>
      <c r="H305" s="12" t="s">
        <v>144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1399</v>
      </c>
      <c r="C306" s="11" t="s">
        <v>1400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1401</v>
      </c>
      <c r="C307" s="11" t="s">
        <v>1402</v>
      </c>
      <c r="D307" s="11" t="s">
        <v>26</v>
      </c>
      <c r="E307" s="11" t="s">
        <v>504</v>
      </c>
      <c r="F307" s="11" t="s">
        <v>26</v>
      </c>
      <c r="G307" s="11">
        <v>498</v>
      </c>
      <c r="H307" s="12" t="s">
        <v>144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454</v>
      </c>
      <c r="C308" s="11" t="s">
        <v>1403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231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1404</v>
      </c>
      <c r="C309" s="11" t="s">
        <v>1405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143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708</v>
      </c>
      <c r="C310" s="11" t="s">
        <v>1406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4470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403</v>
      </c>
      <c r="C311" s="11" t="s">
        <v>1407</v>
      </c>
      <c r="D311" s="11" t="s">
        <v>26</v>
      </c>
      <c r="E311" s="11" t="s">
        <v>434</v>
      </c>
      <c r="F311" s="11" t="s">
        <v>26</v>
      </c>
      <c r="G311" s="11" t="s">
        <v>26</v>
      </c>
      <c r="H311" s="12" t="s">
        <v>4443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115</v>
      </c>
      <c r="AA311" s="12" t="s">
        <v>78</v>
      </c>
    </row>
    <row r="312" spans="1:27" x14ac:dyDescent="0.25">
      <c r="A312" s="10">
        <v>45663</v>
      </c>
      <c r="B312" s="11" t="s">
        <v>1408</v>
      </c>
      <c r="C312" s="11" t="s">
        <v>1409</v>
      </c>
      <c r="D312" s="11" t="s">
        <v>26</v>
      </c>
      <c r="E312" s="11" t="s">
        <v>504</v>
      </c>
      <c r="F312" s="11" t="s">
        <v>26</v>
      </c>
      <c r="G312" s="11" t="s">
        <v>26</v>
      </c>
      <c r="H312" s="12" t="s">
        <v>4443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144</v>
      </c>
      <c r="AA312" s="12" t="s">
        <v>78</v>
      </c>
    </row>
    <row r="313" spans="1:27" x14ac:dyDescent="0.25">
      <c r="A313" s="10">
        <v>45663</v>
      </c>
      <c r="B313" s="11" t="s">
        <v>621</v>
      </c>
      <c r="C313" s="11" t="s">
        <v>1410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4443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144</v>
      </c>
      <c r="AA313" s="12" t="s">
        <v>78</v>
      </c>
    </row>
    <row r="314" spans="1:27" x14ac:dyDescent="0.25">
      <c r="A314" s="10">
        <v>45663</v>
      </c>
      <c r="B314" s="11" t="s">
        <v>1411</v>
      </c>
      <c r="C314" s="11" t="s">
        <v>1412</v>
      </c>
      <c r="D314" s="11" t="s">
        <v>26</v>
      </c>
      <c r="E314" s="11" t="s">
        <v>241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1413</v>
      </c>
      <c r="C315" s="11" t="s">
        <v>1414</v>
      </c>
      <c r="D315" s="11" t="s">
        <v>26</v>
      </c>
      <c r="E315" s="11" t="s">
        <v>187</v>
      </c>
      <c r="F315" s="11" t="s">
        <v>26</v>
      </c>
      <c r="G315" s="11" t="s">
        <v>26</v>
      </c>
      <c r="H315" s="12" t="s">
        <v>4443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144</v>
      </c>
      <c r="AA315" s="12" t="s">
        <v>78</v>
      </c>
    </row>
    <row r="316" spans="1:27" x14ac:dyDescent="0.25">
      <c r="A316" s="10">
        <v>45663</v>
      </c>
      <c r="B316" s="11" t="s">
        <v>1415</v>
      </c>
      <c r="C316" s="11" t="s">
        <v>1416</v>
      </c>
      <c r="D316" s="11" t="s">
        <v>26</v>
      </c>
      <c r="E316" s="11" t="s">
        <v>608</v>
      </c>
      <c r="F316" s="11" t="s">
        <v>26</v>
      </c>
      <c r="G316" s="11" t="s">
        <v>26</v>
      </c>
      <c r="H316" s="12" t="s">
        <v>4443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144</v>
      </c>
      <c r="AA316" s="12" t="s">
        <v>78</v>
      </c>
    </row>
    <row r="317" spans="1:27" x14ac:dyDescent="0.25">
      <c r="A317" s="10">
        <v>45663</v>
      </c>
      <c r="B317" s="11" t="s">
        <v>1417</v>
      </c>
      <c r="C317" s="11" t="s">
        <v>1418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4443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1419</v>
      </c>
      <c r="C318" s="11" t="s">
        <v>1420</v>
      </c>
      <c r="D318" s="11" t="s">
        <v>26</v>
      </c>
      <c r="E318" s="11" t="s">
        <v>573</v>
      </c>
      <c r="F318" s="11" t="s">
        <v>26</v>
      </c>
      <c r="G318" s="11">
        <v>10311</v>
      </c>
      <c r="H318" s="12" t="s">
        <v>143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1421</v>
      </c>
      <c r="C319" s="11" t="s">
        <v>1422</v>
      </c>
      <c r="D319" s="11" t="s">
        <v>26</v>
      </c>
      <c r="E319" s="11" t="s">
        <v>542</v>
      </c>
      <c r="F319" s="11" t="s">
        <v>26</v>
      </c>
      <c r="G319" s="11" t="s">
        <v>26</v>
      </c>
      <c r="H319" s="12" t="s">
        <v>4443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1423</v>
      </c>
      <c r="C320" s="11" t="s">
        <v>1424</v>
      </c>
      <c r="D320" s="11" t="s">
        <v>26</v>
      </c>
      <c r="E320" s="11" t="s">
        <v>249</v>
      </c>
      <c r="F320" s="11" t="s">
        <v>26</v>
      </c>
      <c r="G320" s="11" t="s">
        <v>26</v>
      </c>
      <c r="H320" s="12" t="s">
        <v>4443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1425</v>
      </c>
      <c r="C321" s="11" t="s">
        <v>1426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1427</v>
      </c>
      <c r="C322" s="11" t="s">
        <v>1428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1429</v>
      </c>
      <c r="C323" s="11" t="s">
        <v>1430</v>
      </c>
      <c r="D323" s="11" t="s">
        <v>26</v>
      </c>
      <c r="E323" s="11" t="s">
        <v>1221</v>
      </c>
      <c r="F323" s="11" t="s">
        <v>26</v>
      </c>
      <c r="G323" s="11">
        <v>965</v>
      </c>
      <c r="H323" s="12" t="s">
        <v>166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1431</v>
      </c>
      <c r="C324" s="11" t="s">
        <v>1432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602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1433</v>
      </c>
      <c r="C325" s="11" t="s">
        <v>1434</v>
      </c>
      <c r="D325" s="11" t="s">
        <v>26</v>
      </c>
      <c r="E325" s="11" t="s">
        <v>607</v>
      </c>
      <c r="F325" s="11" t="s">
        <v>26</v>
      </c>
      <c r="G325" s="11" t="s">
        <v>26</v>
      </c>
      <c r="H325" s="12" t="s">
        <v>4443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144</v>
      </c>
      <c r="AA325" s="12" t="s">
        <v>78</v>
      </c>
    </row>
    <row r="326" spans="1:27" x14ac:dyDescent="0.25">
      <c r="A326" s="10">
        <v>45663</v>
      </c>
      <c r="B326" s="11" t="s">
        <v>1435</v>
      </c>
      <c r="C326" s="11" t="s">
        <v>1436</v>
      </c>
      <c r="D326" s="11" t="s">
        <v>26</v>
      </c>
      <c r="E326" s="11" t="s">
        <v>243</v>
      </c>
      <c r="F326" s="11" t="s">
        <v>26</v>
      </c>
      <c r="G326" s="11" t="s">
        <v>26</v>
      </c>
      <c r="H326" s="12" t="s">
        <v>4443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687</v>
      </c>
      <c r="C327" s="11" t="s">
        <v>1437</v>
      </c>
      <c r="D327" s="11" t="s">
        <v>26</v>
      </c>
      <c r="E327" s="11" t="s">
        <v>662</v>
      </c>
      <c r="F327" s="11" t="s">
        <v>26</v>
      </c>
      <c r="G327" s="11" t="s">
        <v>26</v>
      </c>
      <c r="H327" s="12" t="s">
        <v>4443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144</v>
      </c>
      <c r="AA327" s="12" t="s">
        <v>78</v>
      </c>
    </row>
    <row r="328" spans="1:27" x14ac:dyDescent="0.25">
      <c r="A328" s="10">
        <v>45663</v>
      </c>
      <c r="B328" s="11" t="s">
        <v>1438</v>
      </c>
      <c r="C328" s="11" t="s">
        <v>1439</v>
      </c>
      <c r="D328" s="11" t="s">
        <v>26</v>
      </c>
      <c r="E328" s="11" t="s">
        <v>244</v>
      </c>
      <c r="F328" s="11" t="s">
        <v>26</v>
      </c>
      <c r="G328" s="11">
        <v>74954</v>
      </c>
      <c r="H328" s="12" t="s">
        <v>4470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1440</v>
      </c>
      <c r="C329" s="11" t="s">
        <v>1441</v>
      </c>
      <c r="D329" s="11" t="s">
        <v>26</v>
      </c>
      <c r="E329" s="11" t="s">
        <v>98</v>
      </c>
      <c r="F329" s="11" t="s">
        <v>26</v>
      </c>
      <c r="G329" s="11">
        <v>5444</v>
      </c>
      <c r="H329" s="12" t="s">
        <v>4469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1442</v>
      </c>
      <c r="C330" s="11" t="s">
        <v>1443</v>
      </c>
      <c r="D330" s="11" t="s">
        <v>26</v>
      </c>
      <c r="E330" s="11" t="s">
        <v>227</v>
      </c>
      <c r="F330" s="11" t="s">
        <v>26</v>
      </c>
      <c r="G330" s="11">
        <v>57832</v>
      </c>
      <c r="H330" s="12" t="s">
        <v>4444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1444</v>
      </c>
      <c r="C331" s="11" t="s">
        <v>1445</v>
      </c>
      <c r="D331" s="11" t="s">
        <v>26</v>
      </c>
      <c r="E331" s="11" t="s">
        <v>576</v>
      </c>
      <c r="F331" s="11" t="s">
        <v>26</v>
      </c>
      <c r="G331" s="11">
        <v>112044</v>
      </c>
      <c r="H331" s="12" t="s">
        <v>4468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422</v>
      </c>
      <c r="C332" s="11" t="s">
        <v>1446</v>
      </c>
      <c r="D332" s="11" t="s">
        <v>26</v>
      </c>
      <c r="E332" s="11" t="s">
        <v>528</v>
      </c>
      <c r="F332" s="11" t="s">
        <v>26</v>
      </c>
      <c r="G332" s="11">
        <v>76546</v>
      </c>
      <c r="H332" s="12" t="s">
        <v>4470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304</v>
      </c>
      <c r="C333" s="11" t="s">
        <v>1447</v>
      </c>
      <c r="D333" s="11" t="s">
        <v>26</v>
      </c>
      <c r="E333" s="11" t="s">
        <v>577</v>
      </c>
      <c r="F333" s="11" t="s">
        <v>26</v>
      </c>
      <c r="G333" s="11" t="s">
        <v>26</v>
      </c>
      <c r="H333" s="12" t="s">
        <v>4443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144</v>
      </c>
      <c r="AA333" s="12" t="s">
        <v>78</v>
      </c>
    </row>
    <row r="334" spans="1:27" x14ac:dyDescent="0.25">
      <c r="A334" s="10">
        <v>45663</v>
      </c>
      <c r="B334" s="11" t="s">
        <v>1448</v>
      </c>
      <c r="C334" s="11" t="s">
        <v>1449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144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361</v>
      </c>
      <c r="C335" s="11" t="s">
        <v>1450</v>
      </c>
      <c r="D335" s="11" t="s">
        <v>26</v>
      </c>
      <c r="E335" s="11" t="s">
        <v>187</v>
      </c>
      <c r="F335" s="11" t="s">
        <v>26</v>
      </c>
      <c r="G335" s="11">
        <v>500</v>
      </c>
      <c r="H335" s="12" t="s">
        <v>144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1451</v>
      </c>
      <c r="C336" s="11" t="s">
        <v>1452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144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1453</v>
      </c>
      <c r="C337" s="11" t="s">
        <v>1454</v>
      </c>
      <c r="D337" s="11" t="s">
        <v>26</v>
      </c>
      <c r="E337" s="11" t="s">
        <v>489</v>
      </c>
      <c r="F337" s="11" t="s">
        <v>26</v>
      </c>
      <c r="G337" s="11">
        <v>72864</v>
      </c>
      <c r="H337" s="12" t="s">
        <v>4470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668</v>
      </c>
      <c r="C338" s="11" t="s">
        <v>1455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144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1456</v>
      </c>
      <c r="C339" s="11" t="s">
        <v>1457</v>
      </c>
      <c r="D339" s="11" t="s">
        <v>26</v>
      </c>
      <c r="E339" s="11" t="s">
        <v>180</v>
      </c>
      <c r="F339" s="11" t="s">
        <v>26</v>
      </c>
      <c r="G339" s="11">
        <v>603</v>
      </c>
      <c r="H339" s="12" t="s">
        <v>144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675</v>
      </c>
      <c r="C340" s="11" t="s">
        <v>1458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144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376</v>
      </c>
      <c r="C341" s="11" t="s">
        <v>1459</v>
      </c>
      <c r="D341" s="11" t="s">
        <v>26</v>
      </c>
      <c r="E341" s="11" t="s">
        <v>504</v>
      </c>
      <c r="F341" s="11" t="s">
        <v>26</v>
      </c>
      <c r="G341" s="11">
        <v>605</v>
      </c>
      <c r="H341" s="12" t="s">
        <v>144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1460</v>
      </c>
      <c r="C342" s="11" t="s">
        <v>1461</v>
      </c>
      <c r="D342" s="11" t="s">
        <v>26</v>
      </c>
      <c r="E342" s="11" t="s">
        <v>608</v>
      </c>
      <c r="F342" s="11" t="s">
        <v>26</v>
      </c>
      <c r="G342" s="11">
        <v>606</v>
      </c>
      <c r="H342" s="12" t="s">
        <v>144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1462</v>
      </c>
      <c r="C343" s="11" t="s">
        <v>1463</v>
      </c>
      <c r="D343" s="11" t="s">
        <v>26</v>
      </c>
      <c r="E343" s="11" t="s">
        <v>512</v>
      </c>
      <c r="F343" s="11" t="s">
        <v>26</v>
      </c>
      <c r="G343" s="11">
        <v>607</v>
      </c>
      <c r="H343" s="12" t="s">
        <v>144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1464</v>
      </c>
      <c r="C344" s="11" t="s">
        <v>1465</v>
      </c>
      <c r="D344" s="11" t="s">
        <v>26</v>
      </c>
      <c r="E344" s="11" t="s">
        <v>592</v>
      </c>
      <c r="F344" s="11" t="s">
        <v>26</v>
      </c>
      <c r="G344" s="11">
        <v>4563</v>
      </c>
      <c r="H344" s="12" t="s">
        <v>4444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1466</v>
      </c>
      <c r="C345" s="11" t="s">
        <v>1467</v>
      </c>
      <c r="D345" s="11" t="s">
        <v>26</v>
      </c>
      <c r="E345" s="11" t="s">
        <v>596</v>
      </c>
      <c r="F345" s="11" t="s">
        <v>26</v>
      </c>
      <c r="G345" s="11">
        <v>59474</v>
      </c>
      <c r="H345" s="12" t="s">
        <v>4444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690</v>
      </c>
      <c r="C346" s="11" t="s">
        <v>1468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4470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351</v>
      </c>
      <c r="C347" s="11" t="s">
        <v>1469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4468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1470</v>
      </c>
      <c r="C348" s="11" t="s">
        <v>1471</v>
      </c>
      <c r="D348" s="11" t="s">
        <v>26</v>
      </c>
      <c r="E348" s="11" t="s">
        <v>1221</v>
      </c>
      <c r="F348" s="11" t="s">
        <v>26</v>
      </c>
      <c r="G348" s="11">
        <v>966</v>
      </c>
      <c r="H348" s="12" t="s">
        <v>166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1472</v>
      </c>
      <c r="C349" s="11" t="s">
        <v>1473</v>
      </c>
      <c r="D349" s="11" t="s">
        <v>26</v>
      </c>
      <c r="E349" s="11" t="s">
        <v>244</v>
      </c>
      <c r="F349" s="11" t="s">
        <v>26</v>
      </c>
      <c r="G349" s="11">
        <v>74955</v>
      </c>
      <c r="H349" s="12" t="s">
        <v>4470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708</v>
      </c>
      <c r="C350" s="11" t="s">
        <v>1474</v>
      </c>
      <c r="D350" s="11" t="s">
        <v>26</v>
      </c>
      <c r="E350" s="11" t="s">
        <v>98</v>
      </c>
      <c r="F350" s="11" t="s">
        <v>26</v>
      </c>
      <c r="G350" s="11">
        <v>5445</v>
      </c>
      <c r="H350" s="12" t="s">
        <v>4469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1475</v>
      </c>
      <c r="C351" s="11" t="s">
        <v>1476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1477</v>
      </c>
      <c r="C352" s="11" t="s">
        <v>1478</v>
      </c>
      <c r="D352" s="11" t="s">
        <v>26</v>
      </c>
      <c r="E352" s="11" t="s">
        <v>436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209</v>
      </c>
      <c r="K352" s="12" t="s">
        <v>210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1479</v>
      </c>
      <c r="C353" s="11" t="s">
        <v>1480</v>
      </c>
      <c r="D353" s="11" t="s">
        <v>26</v>
      </c>
      <c r="E353" s="11" t="s">
        <v>243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569</v>
      </c>
      <c r="K353" s="12" t="s">
        <v>553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1481</v>
      </c>
      <c r="C354" s="11" t="s">
        <v>1482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4443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1483</v>
      </c>
      <c r="C355" s="11" t="s">
        <v>1484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1485</v>
      </c>
      <c r="C356" s="11" t="s">
        <v>1486</v>
      </c>
      <c r="D356" s="11" t="s">
        <v>26</v>
      </c>
      <c r="E356" s="11" t="s">
        <v>325</v>
      </c>
      <c r="F356" s="11" t="s">
        <v>26</v>
      </c>
      <c r="G356" s="11">
        <v>111888</v>
      </c>
      <c r="H356" s="12" t="s">
        <v>4468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1487</v>
      </c>
      <c r="C357" s="11" t="s">
        <v>1488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1489</v>
      </c>
      <c r="C358" s="11" t="s">
        <v>1490</v>
      </c>
      <c r="D358" s="11" t="s">
        <v>26</v>
      </c>
      <c r="E358" s="11" t="s">
        <v>509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1491</v>
      </c>
      <c r="C359" s="11" t="s">
        <v>1492</v>
      </c>
      <c r="D359" s="11" t="s">
        <v>26</v>
      </c>
      <c r="E359" s="11" t="s">
        <v>98</v>
      </c>
      <c r="F359" s="11" t="s">
        <v>26</v>
      </c>
      <c r="G359" s="11">
        <v>5435</v>
      </c>
      <c r="H359" s="12" t="s">
        <v>4469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1493</v>
      </c>
      <c r="C360" s="11" t="s">
        <v>1494</v>
      </c>
      <c r="D360" s="11" t="s">
        <v>26</v>
      </c>
      <c r="E360" s="11" t="s">
        <v>542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480</v>
      </c>
      <c r="C361" s="11" t="s">
        <v>1495</v>
      </c>
      <c r="D361" s="11" t="s">
        <v>26</v>
      </c>
      <c r="E361" s="11" t="s">
        <v>564</v>
      </c>
      <c r="F361" s="11" t="s">
        <v>26</v>
      </c>
      <c r="G361" s="11">
        <v>111892</v>
      </c>
      <c r="H361" s="12" t="s">
        <v>4468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454</v>
      </c>
      <c r="C362" s="11" t="s">
        <v>1496</v>
      </c>
      <c r="D362" s="11" t="s">
        <v>26</v>
      </c>
      <c r="E362" s="11" t="s">
        <v>206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1497</v>
      </c>
      <c r="C363" s="11" t="s">
        <v>1498</v>
      </c>
      <c r="D363" s="11" t="s">
        <v>26</v>
      </c>
      <c r="E363" s="11" t="s">
        <v>434</v>
      </c>
      <c r="F363" s="11" t="s">
        <v>26</v>
      </c>
      <c r="G363" s="11" t="s">
        <v>26</v>
      </c>
      <c r="H363" s="12" t="s">
        <v>4443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115</v>
      </c>
      <c r="AA363" s="12" t="s">
        <v>78</v>
      </c>
    </row>
    <row r="364" spans="1:27" x14ac:dyDescent="0.25">
      <c r="A364" s="10">
        <v>45663</v>
      </c>
      <c r="B364" s="11" t="s">
        <v>1499</v>
      </c>
      <c r="C364" s="11" t="s">
        <v>1500</v>
      </c>
      <c r="D364" s="11" t="s">
        <v>26</v>
      </c>
      <c r="E364" s="11" t="s">
        <v>249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1501</v>
      </c>
      <c r="C365" s="11" t="s">
        <v>1502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1503</v>
      </c>
      <c r="C366" s="11" t="s">
        <v>1504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1505</v>
      </c>
      <c r="C367" s="11" t="s">
        <v>1506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568</v>
      </c>
      <c r="I367" s="12" t="s">
        <v>55</v>
      </c>
      <c r="J367" s="12" t="s">
        <v>569</v>
      </c>
      <c r="K367" s="12" t="s">
        <v>553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1507</v>
      </c>
      <c r="C368" s="11" t="s">
        <v>1508</v>
      </c>
      <c r="D368" s="11" t="s">
        <v>26</v>
      </c>
      <c r="E368" s="11" t="s">
        <v>233</v>
      </c>
      <c r="F368" s="11" t="s">
        <v>26</v>
      </c>
      <c r="G368" s="11">
        <v>23123</v>
      </c>
      <c r="H368" s="12" t="s">
        <v>568</v>
      </c>
      <c r="I368" s="12" t="s">
        <v>55</v>
      </c>
      <c r="J368" s="12" t="s">
        <v>569</v>
      </c>
      <c r="K368" s="12" t="s">
        <v>553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1509</v>
      </c>
      <c r="C369" s="11" t="s">
        <v>1510</v>
      </c>
      <c r="D369" s="11" t="s">
        <v>26</v>
      </c>
      <c r="E369" s="11" t="s">
        <v>572</v>
      </c>
      <c r="F369" s="11" t="s">
        <v>26</v>
      </c>
      <c r="G369" s="11">
        <v>111738</v>
      </c>
      <c r="H369" s="12" t="s">
        <v>4468</v>
      </c>
      <c r="I369" s="12" t="s">
        <v>27</v>
      </c>
      <c r="J369" s="12" t="s">
        <v>560</v>
      </c>
      <c r="K369" s="12" t="s">
        <v>561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1511</v>
      </c>
      <c r="C370" s="11" t="s">
        <v>1512</v>
      </c>
      <c r="D370" s="11" t="s">
        <v>26</v>
      </c>
      <c r="E370" s="11" t="s">
        <v>512</v>
      </c>
      <c r="F370" s="11" t="s">
        <v>26</v>
      </c>
      <c r="G370" s="11" t="s">
        <v>26</v>
      </c>
      <c r="H370" s="12" t="s">
        <v>4443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144</v>
      </c>
      <c r="AA370" s="12" t="s">
        <v>78</v>
      </c>
    </row>
    <row r="371" spans="1:27" x14ac:dyDescent="0.25">
      <c r="A371" s="10">
        <v>45663</v>
      </c>
      <c r="B371" s="11" t="s">
        <v>1513</v>
      </c>
      <c r="C371" s="11" t="s">
        <v>1514</v>
      </c>
      <c r="D371" s="11" t="s">
        <v>26</v>
      </c>
      <c r="E371" s="11" t="s">
        <v>577</v>
      </c>
      <c r="F371" s="11" t="s">
        <v>26</v>
      </c>
      <c r="G371" s="11" t="s">
        <v>26</v>
      </c>
      <c r="H371" s="12" t="s">
        <v>4443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144</v>
      </c>
      <c r="AA371" s="12" t="s">
        <v>78</v>
      </c>
    </row>
    <row r="372" spans="1:27" x14ac:dyDescent="0.25">
      <c r="A372" s="10">
        <v>45663</v>
      </c>
      <c r="B372" s="11" t="s">
        <v>107</v>
      </c>
      <c r="C372" s="11" t="s">
        <v>1515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4443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1516</v>
      </c>
      <c r="C373" s="11" t="s">
        <v>1517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1379</v>
      </c>
      <c r="C374" s="11" t="s">
        <v>1518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329</v>
      </c>
      <c r="C375" s="11" t="s">
        <v>1519</v>
      </c>
      <c r="D375" s="11" t="s">
        <v>26</v>
      </c>
      <c r="E375" s="11" t="s">
        <v>577</v>
      </c>
      <c r="F375" s="11" t="s">
        <v>26</v>
      </c>
      <c r="G375" s="11" t="s">
        <v>26</v>
      </c>
      <c r="H375" s="12" t="s">
        <v>4443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144</v>
      </c>
      <c r="AA375" s="12" t="s">
        <v>78</v>
      </c>
    </row>
    <row r="376" spans="1:27" x14ac:dyDescent="0.25">
      <c r="A376" s="10">
        <v>45664</v>
      </c>
      <c r="B376" s="11" t="s">
        <v>739</v>
      </c>
      <c r="C376" s="11" t="s">
        <v>1520</v>
      </c>
      <c r="D376" s="11" t="s">
        <v>26</v>
      </c>
      <c r="E376" s="11" t="s">
        <v>504</v>
      </c>
      <c r="F376" s="11" t="s">
        <v>26</v>
      </c>
      <c r="G376" s="11" t="s">
        <v>26</v>
      </c>
      <c r="H376" s="12" t="s">
        <v>4443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144</v>
      </c>
      <c r="AA376" s="12" t="s">
        <v>78</v>
      </c>
    </row>
    <row r="377" spans="1:27" x14ac:dyDescent="0.25">
      <c r="A377" s="10">
        <v>45664</v>
      </c>
      <c r="B377" s="11" t="s">
        <v>370</v>
      </c>
      <c r="C377" s="11" t="s">
        <v>1521</v>
      </c>
      <c r="D377" s="11" t="s">
        <v>26</v>
      </c>
      <c r="E377" s="11" t="s">
        <v>449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1522</v>
      </c>
      <c r="C378" s="11" t="s">
        <v>1523</v>
      </c>
      <c r="D378" s="11" t="s">
        <v>26</v>
      </c>
      <c r="E378" s="11" t="s">
        <v>244</v>
      </c>
      <c r="F378" s="11" t="s">
        <v>26</v>
      </c>
      <c r="G378" s="11">
        <v>74956</v>
      </c>
      <c r="H378" s="12" t="s">
        <v>4470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315</v>
      </c>
      <c r="C379" s="11" t="s">
        <v>1524</v>
      </c>
      <c r="D379" s="11" t="s">
        <v>26</v>
      </c>
      <c r="E379" s="11" t="s">
        <v>187</v>
      </c>
      <c r="F379" s="11" t="s">
        <v>26</v>
      </c>
      <c r="G379" s="11" t="s">
        <v>26</v>
      </c>
      <c r="H379" s="12" t="s">
        <v>4443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144</v>
      </c>
      <c r="AA379" s="12" t="s">
        <v>78</v>
      </c>
    </row>
    <row r="380" spans="1:27" x14ac:dyDescent="0.25">
      <c r="A380" s="10">
        <v>45664</v>
      </c>
      <c r="B380" s="11" t="s">
        <v>1525</v>
      </c>
      <c r="C380" s="11" t="s">
        <v>1526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4443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144</v>
      </c>
      <c r="AA380" s="12" t="s">
        <v>78</v>
      </c>
    </row>
    <row r="381" spans="1:27" x14ac:dyDescent="0.25">
      <c r="A381" s="10">
        <v>45664</v>
      </c>
      <c r="B381" s="11" t="s">
        <v>717</v>
      </c>
      <c r="C381" s="11" t="s">
        <v>1527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4443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1528</v>
      </c>
      <c r="C382" s="11" t="s">
        <v>1529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1530</v>
      </c>
      <c r="C383" s="11" t="s">
        <v>1531</v>
      </c>
      <c r="D383" s="11" t="s">
        <v>26</v>
      </c>
      <c r="E383" s="11" t="s">
        <v>573</v>
      </c>
      <c r="F383" s="11" t="s">
        <v>26</v>
      </c>
      <c r="G383" s="11">
        <v>10312</v>
      </c>
      <c r="H383" s="12" t="s">
        <v>143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1532</v>
      </c>
      <c r="C384" s="11" t="s">
        <v>1533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143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1534</v>
      </c>
      <c r="C385" s="11" t="s">
        <v>1535</v>
      </c>
      <c r="D385" s="11" t="s">
        <v>26</v>
      </c>
      <c r="E385" s="11" t="s">
        <v>542</v>
      </c>
      <c r="F385" s="11" t="s">
        <v>26</v>
      </c>
      <c r="G385" s="11" t="s">
        <v>26</v>
      </c>
      <c r="H385" s="12" t="s">
        <v>4443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1536</v>
      </c>
      <c r="C386" s="11" t="s">
        <v>1537</v>
      </c>
      <c r="D386" s="11" t="s">
        <v>26</v>
      </c>
      <c r="E386" s="11" t="s">
        <v>249</v>
      </c>
      <c r="F386" s="11" t="s">
        <v>26</v>
      </c>
      <c r="G386" s="11" t="s">
        <v>26</v>
      </c>
      <c r="H386" s="12" t="s">
        <v>4443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1538</v>
      </c>
      <c r="C387" s="11" t="s">
        <v>1539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1540</v>
      </c>
      <c r="C388" s="11" t="s">
        <v>1541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1542</v>
      </c>
      <c r="C389" s="11" t="s">
        <v>1543</v>
      </c>
      <c r="D389" s="11" t="s">
        <v>26</v>
      </c>
      <c r="E389" s="11" t="s">
        <v>247</v>
      </c>
      <c r="F389" s="11" t="s">
        <v>26</v>
      </c>
      <c r="G389" s="11">
        <v>608</v>
      </c>
      <c r="H389" s="12" t="s">
        <v>144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744</v>
      </c>
      <c r="C390" s="11" t="s">
        <v>1544</v>
      </c>
      <c r="D390" s="11" t="s">
        <v>26</v>
      </c>
      <c r="E390" s="11" t="s">
        <v>227</v>
      </c>
      <c r="F390" s="11" t="s">
        <v>26</v>
      </c>
      <c r="G390" s="11">
        <v>57834</v>
      </c>
      <c r="H390" s="12" t="s">
        <v>4444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375</v>
      </c>
      <c r="C391" s="11" t="s">
        <v>1545</v>
      </c>
      <c r="D391" s="11" t="s">
        <v>26</v>
      </c>
      <c r="E391" s="11" t="s">
        <v>570</v>
      </c>
      <c r="F391" s="11" t="s">
        <v>26</v>
      </c>
      <c r="G391" s="11">
        <v>111898</v>
      </c>
      <c r="H391" s="12" t="s">
        <v>4468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1546</v>
      </c>
      <c r="C392" s="11" t="s">
        <v>1547</v>
      </c>
      <c r="D392" s="11" t="s">
        <v>26</v>
      </c>
      <c r="E392" s="11" t="s">
        <v>592</v>
      </c>
      <c r="F392" s="11" t="s">
        <v>26</v>
      </c>
      <c r="G392" s="11">
        <v>4564</v>
      </c>
      <c r="H392" s="12" t="s">
        <v>4444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707</v>
      </c>
      <c r="C393" s="11" t="s">
        <v>1548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568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617</v>
      </c>
      <c r="C394" s="11" t="s">
        <v>1549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4468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1550</v>
      </c>
      <c r="C395" s="11" t="s">
        <v>1551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1552</v>
      </c>
      <c r="C396" s="11" t="s">
        <v>1553</v>
      </c>
      <c r="D396" s="11" t="s">
        <v>26</v>
      </c>
      <c r="E396" s="11" t="s">
        <v>662</v>
      </c>
      <c r="F396" s="11" t="s">
        <v>26</v>
      </c>
      <c r="G396" s="11" t="s">
        <v>26</v>
      </c>
      <c r="H396" s="12" t="s">
        <v>149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144</v>
      </c>
      <c r="AA396" s="12" t="s">
        <v>79</v>
      </c>
    </row>
    <row r="397" spans="1:27" x14ac:dyDescent="0.25">
      <c r="A397" s="10">
        <v>45664</v>
      </c>
      <c r="B397" s="11" t="s">
        <v>1554</v>
      </c>
      <c r="C397" s="11" t="s">
        <v>1555</v>
      </c>
      <c r="D397" s="11" t="s">
        <v>26</v>
      </c>
      <c r="E397" s="11" t="s">
        <v>566</v>
      </c>
      <c r="F397" s="11" t="s">
        <v>26</v>
      </c>
      <c r="G397" s="11" t="s">
        <v>26</v>
      </c>
      <c r="H397" s="12" t="s">
        <v>4467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144</v>
      </c>
      <c r="AA397" s="12" t="s">
        <v>448</v>
      </c>
    </row>
    <row r="398" spans="1:27" x14ac:dyDescent="0.25">
      <c r="A398" s="10">
        <v>45664</v>
      </c>
      <c r="B398" s="11" t="s">
        <v>1556</v>
      </c>
      <c r="C398" s="11" t="s">
        <v>1557</v>
      </c>
      <c r="D398" s="11" t="s">
        <v>26</v>
      </c>
      <c r="E398" s="11" t="s">
        <v>179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270</v>
      </c>
      <c r="C399" s="11" t="s">
        <v>1558</v>
      </c>
      <c r="D399" s="11" t="s">
        <v>26</v>
      </c>
      <c r="E399" s="11" t="s">
        <v>489</v>
      </c>
      <c r="F399" s="11" t="s">
        <v>26</v>
      </c>
      <c r="G399" s="11">
        <v>72866</v>
      </c>
      <c r="H399" s="12" t="s">
        <v>4470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1559</v>
      </c>
      <c r="C400" s="11" t="s">
        <v>1560</v>
      </c>
      <c r="D400" s="11" t="s">
        <v>26</v>
      </c>
      <c r="E400" s="11" t="s">
        <v>608</v>
      </c>
      <c r="F400" s="11" t="s">
        <v>26</v>
      </c>
      <c r="G400" s="11">
        <v>609</v>
      </c>
      <c r="H400" s="12" t="s">
        <v>144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1561</v>
      </c>
      <c r="C401" s="11" t="s">
        <v>1562</v>
      </c>
      <c r="D401" s="11" t="s">
        <v>26</v>
      </c>
      <c r="E401" s="11" t="s">
        <v>1221</v>
      </c>
      <c r="F401" s="11" t="s">
        <v>26</v>
      </c>
      <c r="G401" s="11">
        <v>967</v>
      </c>
      <c r="H401" s="12" t="s">
        <v>166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1563</v>
      </c>
      <c r="C402" s="11" t="s">
        <v>1564</v>
      </c>
      <c r="D402" s="11" t="s">
        <v>26</v>
      </c>
      <c r="E402" s="11" t="s">
        <v>528</v>
      </c>
      <c r="F402" s="11" t="s">
        <v>26</v>
      </c>
      <c r="G402" s="11">
        <v>76548</v>
      </c>
      <c r="H402" s="12" t="s">
        <v>4470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1565</v>
      </c>
      <c r="C403" s="11" t="s">
        <v>1566</v>
      </c>
      <c r="D403" s="11" t="s">
        <v>26</v>
      </c>
      <c r="E403" s="11" t="s">
        <v>607</v>
      </c>
      <c r="F403" s="11" t="s">
        <v>26</v>
      </c>
      <c r="G403" s="11" t="s">
        <v>26</v>
      </c>
      <c r="H403" s="12" t="s">
        <v>149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144</v>
      </c>
      <c r="AA403" s="12" t="s">
        <v>79</v>
      </c>
    </row>
    <row r="404" spans="1:27" x14ac:dyDescent="0.25">
      <c r="A404" s="10">
        <v>45664</v>
      </c>
      <c r="B404" s="11" t="s">
        <v>192</v>
      </c>
      <c r="C404" s="11" t="s">
        <v>1567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143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1568</v>
      </c>
      <c r="C405" s="11" t="s">
        <v>1569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4444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1570</v>
      </c>
      <c r="C406" s="11" t="s">
        <v>1571</v>
      </c>
      <c r="D406" s="11" t="s">
        <v>26</v>
      </c>
      <c r="E406" s="11" t="s">
        <v>233</v>
      </c>
      <c r="F406" s="11" t="s">
        <v>26</v>
      </c>
      <c r="G406" s="11">
        <v>23124</v>
      </c>
      <c r="H406" s="12" t="s">
        <v>568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753</v>
      </c>
      <c r="C407" s="11" t="s">
        <v>1572</v>
      </c>
      <c r="D407" s="11" t="s">
        <v>26</v>
      </c>
      <c r="E407" s="11" t="s">
        <v>489</v>
      </c>
      <c r="F407" s="11" t="s">
        <v>26</v>
      </c>
      <c r="G407" s="11">
        <v>72867</v>
      </c>
      <c r="H407" s="12" t="s">
        <v>4470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1573</v>
      </c>
      <c r="C408" s="11" t="s">
        <v>1574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4443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1575</v>
      </c>
      <c r="C409" s="11" t="s">
        <v>1576</v>
      </c>
      <c r="D409" s="11" t="s">
        <v>26</v>
      </c>
      <c r="E409" s="11" t="s">
        <v>542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1577</v>
      </c>
      <c r="C410" s="11" t="s">
        <v>1578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1579</v>
      </c>
      <c r="C411" s="11" t="s">
        <v>1580</v>
      </c>
      <c r="D411" s="11" t="s">
        <v>26</v>
      </c>
      <c r="E411" s="11" t="s">
        <v>99</v>
      </c>
      <c r="F411" s="11" t="s">
        <v>26</v>
      </c>
      <c r="G411" s="11">
        <v>10126</v>
      </c>
      <c r="H411" s="12" t="s">
        <v>143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1581</v>
      </c>
      <c r="C412" s="11" t="s">
        <v>1582</v>
      </c>
      <c r="D412" s="11" t="s">
        <v>26</v>
      </c>
      <c r="E412" s="11" t="s">
        <v>249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1583</v>
      </c>
      <c r="C413" s="11" t="s">
        <v>1584</v>
      </c>
      <c r="D413" s="11" t="s">
        <v>26</v>
      </c>
      <c r="E413" s="11" t="s">
        <v>585</v>
      </c>
      <c r="F413" s="11" t="s">
        <v>26</v>
      </c>
      <c r="G413" s="11">
        <v>111900</v>
      </c>
      <c r="H413" s="12" t="s">
        <v>4468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474</v>
      </c>
      <c r="C414" s="11" t="s">
        <v>1585</v>
      </c>
      <c r="D414" s="11" t="s">
        <v>26</v>
      </c>
      <c r="E414" s="11" t="s">
        <v>522</v>
      </c>
      <c r="F414" s="11" t="s">
        <v>26</v>
      </c>
      <c r="G414" s="11">
        <v>77392</v>
      </c>
      <c r="H414" s="12" t="s">
        <v>4470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1586</v>
      </c>
      <c r="C415" s="11" t="s">
        <v>1587</v>
      </c>
      <c r="D415" s="11" t="s">
        <v>26</v>
      </c>
      <c r="E415" s="11" t="s">
        <v>504</v>
      </c>
      <c r="F415" s="11" t="s">
        <v>26</v>
      </c>
      <c r="G415" s="11">
        <v>610</v>
      </c>
      <c r="H415" s="12" t="s">
        <v>144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1588</v>
      </c>
      <c r="C416" s="11" t="s">
        <v>1589</v>
      </c>
      <c r="D416" s="11" t="s">
        <v>26</v>
      </c>
      <c r="E416" s="11" t="s">
        <v>566</v>
      </c>
      <c r="F416" s="11" t="s">
        <v>26</v>
      </c>
      <c r="G416" s="11">
        <v>611</v>
      </c>
      <c r="H416" s="12" t="s">
        <v>144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451</v>
      </c>
      <c r="C417" s="11" t="s">
        <v>1590</v>
      </c>
      <c r="D417" s="11" t="s">
        <v>26</v>
      </c>
      <c r="E417" s="11" t="s">
        <v>1221</v>
      </c>
      <c r="F417" s="11" t="s">
        <v>26</v>
      </c>
      <c r="G417" s="11">
        <v>968</v>
      </c>
      <c r="H417" s="12" t="s">
        <v>166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1591</v>
      </c>
      <c r="C418" s="11" t="s">
        <v>1592</v>
      </c>
      <c r="D418" s="11" t="s">
        <v>26</v>
      </c>
      <c r="E418" s="11" t="s">
        <v>227</v>
      </c>
      <c r="F418" s="11" t="s">
        <v>26</v>
      </c>
      <c r="G418" s="11">
        <v>57835</v>
      </c>
      <c r="H418" s="12" t="s">
        <v>4444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1593</v>
      </c>
      <c r="C419" s="11" t="s">
        <v>1594</v>
      </c>
      <c r="D419" s="11" t="s">
        <v>26</v>
      </c>
      <c r="E419" s="11" t="s">
        <v>592</v>
      </c>
      <c r="F419" s="11" t="s">
        <v>26</v>
      </c>
      <c r="G419" s="11">
        <v>4565</v>
      </c>
      <c r="H419" s="12" t="s">
        <v>4444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1595</v>
      </c>
      <c r="C420" s="11" t="s">
        <v>1596</v>
      </c>
      <c r="D420" s="11" t="s">
        <v>26</v>
      </c>
      <c r="E420" s="11" t="s">
        <v>573</v>
      </c>
      <c r="F420" s="11" t="s">
        <v>26</v>
      </c>
      <c r="G420" s="11">
        <v>10313</v>
      </c>
      <c r="H420" s="12" t="s">
        <v>143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1597</v>
      </c>
      <c r="C421" s="11" t="s">
        <v>1598</v>
      </c>
      <c r="D421" s="11" t="s">
        <v>26</v>
      </c>
      <c r="E421" s="11" t="s">
        <v>662</v>
      </c>
      <c r="F421" s="11" t="s">
        <v>26</v>
      </c>
      <c r="G421" s="11">
        <v>612</v>
      </c>
      <c r="H421" s="12" t="s">
        <v>144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638</v>
      </c>
      <c r="C422" s="11" t="s">
        <v>1599</v>
      </c>
      <c r="D422" s="11" t="s">
        <v>26</v>
      </c>
      <c r="E422" s="11" t="s">
        <v>233</v>
      </c>
      <c r="F422" s="11" t="s">
        <v>26</v>
      </c>
      <c r="G422" s="11">
        <v>23125</v>
      </c>
      <c r="H422" s="12" t="s">
        <v>568</v>
      </c>
      <c r="I422" s="12" t="s">
        <v>55</v>
      </c>
      <c r="J422" s="12" t="s">
        <v>569</v>
      </c>
      <c r="K422" s="12" t="s">
        <v>553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1600</v>
      </c>
      <c r="C423" s="11" t="s">
        <v>1601</v>
      </c>
      <c r="D423" s="11" t="s">
        <v>26</v>
      </c>
      <c r="E423" s="11" t="s">
        <v>530</v>
      </c>
      <c r="F423" s="11" t="s">
        <v>26</v>
      </c>
      <c r="G423" s="11">
        <v>970</v>
      </c>
      <c r="H423" s="12" t="s">
        <v>166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1219</v>
      </c>
      <c r="C424" s="11" t="s">
        <v>1602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1603</v>
      </c>
      <c r="C425" s="11" t="s">
        <v>1604</v>
      </c>
      <c r="D425" s="11" t="s">
        <v>26</v>
      </c>
      <c r="E425" s="11" t="s">
        <v>607</v>
      </c>
      <c r="F425" s="11" t="s">
        <v>26</v>
      </c>
      <c r="G425" s="11">
        <v>613</v>
      </c>
      <c r="H425" s="12" t="s">
        <v>144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652</v>
      </c>
      <c r="C426" s="11" t="s">
        <v>1605</v>
      </c>
      <c r="D426" s="11" t="s">
        <v>26</v>
      </c>
      <c r="E426" s="11" t="s">
        <v>555</v>
      </c>
      <c r="F426" s="11" t="s">
        <v>26</v>
      </c>
      <c r="G426" s="11">
        <v>57545</v>
      </c>
      <c r="H426" s="12" t="s">
        <v>4444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1606</v>
      </c>
      <c r="C427" s="11" t="s">
        <v>1607</v>
      </c>
      <c r="D427" s="11" t="s">
        <v>26</v>
      </c>
      <c r="E427" s="11" t="s">
        <v>230</v>
      </c>
      <c r="F427" s="11" t="s">
        <v>26</v>
      </c>
      <c r="G427" s="11">
        <v>969</v>
      </c>
      <c r="H427" s="12" t="s">
        <v>166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1608</v>
      </c>
      <c r="C428" s="11" t="s">
        <v>1609</v>
      </c>
      <c r="D428" s="11" t="s">
        <v>26</v>
      </c>
      <c r="E428" s="11" t="s">
        <v>608</v>
      </c>
      <c r="F428" s="11" t="s">
        <v>26</v>
      </c>
      <c r="G428" s="11">
        <v>614</v>
      </c>
      <c r="H428" s="12" t="s">
        <v>144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1610</v>
      </c>
      <c r="C429" s="11" t="s">
        <v>1611</v>
      </c>
      <c r="D429" s="11" t="s">
        <v>26</v>
      </c>
      <c r="E429" s="11" t="s">
        <v>559</v>
      </c>
      <c r="F429" s="11" t="s">
        <v>26</v>
      </c>
      <c r="G429" s="11">
        <v>10281</v>
      </c>
      <c r="H429" s="12" t="s">
        <v>143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1612</v>
      </c>
      <c r="C430" s="11" t="s">
        <v>1613</v>
      </c>
      <c r="D430" s="11" t="s">
        <v>26</v>
      </c>
      <c r="E430" s="11" t="s">
        <v>244</v>
      </c>
      <c r="F430" s="11" t="s">
        <v>26</v>
      </c>
      <c r="G430" s="11">
        <v>74959</v>
      </c>
      <c r="H430" s="12" t="s">
        <v>4470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397</v>
      </c>
      <c r="C431" s="11" t="s">
        <v>1614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4443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267</v>
      </c>
      <c r="C432" s="11" t="s">
        <v>1615</v>
      </c>
      <c r="D432" s="11" t="s">
        <v>26</v>
      </c>
      <c r="E432" s="11" t="s">
        <v>187</v>
      </c>
      <c r="F432" s="11" t="s">
        <v>26</v>
      </c>
      <c r="G432" s="11" t="s">
        <v>26</v>
      </c>
      <c r="H432" s="12" t="s">
        <v>4443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144</v>
      </c>
      <c r="AA432" s="12" t="s">
        <v>78</v>
      </c>
    </row>
    <row r="433" spans="1:27" x14ac:dyDescent="0.25">
      <c r="A433" s="10">
        <v>45665</v>
      </c>
      <c r="B433" s="11" t="s">
        <v>1616</v>
      </c>
      <c r="C433" s="11" t="s">
        <v>1617</v>
      </c>
      <c r="D433" s="11" t="s">
        <v>26</v>
      </c>
      <c r="E433" s="11" t="s">
        <v>585</v>
      </c>
      <c r="F433" s="11" t="s">
        <v>26</v>
      </c>
      <c r="G433" s="11">
        <v>111956</v>
      </c>
      <c r="H433" s="12" t="s">
        <v>4468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1618</v>
      </c>
      <c r="C434" s="11" t="s">
        <v>1619</v>
      </c>
      <c r="D434" s="11" t="s">
        <v>26</v>
      </c>
      <c r="E434" s="11" t="s">
        <v>555</v>
      </c>
      <c r="F434" s="11" t="s">
        <v>26</v>
      </c>
      <c r="G434" s="11">
        <v>57546</v>
      </c>
      <c r="H434" s="12" t="s">
        <v>4444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460</v>
      </c>
      <c r="C435" s="11" t="s">
        <v>1620</v>
      </c>
      <c r="D435" s="11" t="s">
        <v>26</v>
      </c>
      <c r="E435" s="11" t="s">
        <v>504</v>
      </c>
      <c r="F435" s="11" t="s">
        <v>26</v>
      </c>
      <c r="G435" s="11" t="s">
        <v>26</v>
      </c>
      <c r="H435" s="12" t="s">
        <v>4443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144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1621</v>
      </c>
      <c r="D436" s="11" t="s">
        <v>26</v>
      </c>
      <c r="E436" s="11" t="s">
        <v>325</v>
      </c>
      <c r="F436" s="11" t="s">
        <v>26</v>
      </c>
      <c r="G436" s="11">
        <v>111205</v>
      </c>
      <c r="H436" s="12" t="s">
        <v>4468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1622</v>
      </c>
      <c r="C437" s="11" t="s">
        <v>1623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4443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144</v>
      </c>
      <c r="AA437" s="12" t="s">
        <v>78</v>
      </c>
    </row>
    <row r="438" spans="1:27" x14ac:dyDescent="0.25">
      <c r="A438" s="10">
        <v>45665</v>
      </c>
      <c r="B438" s="11" t="s">
        <v>1624</v>
      </c>
      <c r="C438" s="11" t="s">
        <v>1625</v>
      </c>
      <c r="D438" s="11" t="s">
        <v>26</v>
      </c>
      <c r="E438" s="11" t="s">
        <v>577</v>
      </c>
      <c r="F438" s="11" t="s">
        <v>26</v>
      </c>
      <c r="G438" s="11" t="s">
        <v>26</v>
      </c>
      <c r="H438" s="12" t="s">
        <v>4443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144</v>
      </c>
      <c r="AA438" s="12" t="s">
        <v>78</v>
      </c>
    </row>
    <row r="439" spans="1:27" x14ac:dyDescent="0.25">
      <c r="A439" s="10">
        <v>45665</v>
      </c>
      <c r="B439" s="11" t="s">
        <v>1626</v>
      </c>
      <c r="C439" s="11" t="s">
        <v>1627</v>
      </c>
      <c r="D439" s="11" t="s">
        <v>26</v>
      </c>
      <c r="E439" s="11" t="s">
        <v>573</v>
      </c>
      <c r="F439" s="11" t="s">
        <v>26</v>
      </c>
      <c r="G439" s="11">
        <v>10314</v>
      </c>
      <c r="H439" s="12" t="s">
        <v>143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1628</v>
      </c>
      <c r="C440" s="11" t="s">
        <v>1629</v>
      </c>
      <c r="D440" s="11" t="s">
        <v>26</v>
      </c>
      <c r="E440" s="11" t="s">
        <v>608</v>
      </c>
      <c r="F440" s="11" t="s">
        <v>26</v>
      </c>
      <c r="G440" s="11">
        <v>615</v>
      </c>
      <c r="H440" s="12" t="s">
        <v>144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1630</v>
      </c>
      <c r="C441" s="11" t="s">
        <v>1631</v>
      </c>
      <c r="D441" s="11" t="s">
        <v>26</v>
      </c>
      <c r="E441" s="11" t="s">
        <v>542</v>
      </c>
      <c r="F441" s="11" t="s">
        <v>26</v>
      </c>
      <c r="G441" s="11" t="s">
        <v>26</v>
      </c>
      <c r="H441" s="12" t="s">
        <v>149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1632</v>
      </c>
      <c r="C442" s="11" t="s">
        <v>1633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1634</v>
      </c>
      <c r="C443" s="11" t="s">
        <v>1635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1636</v>
      </c>
      <c r="C444" s="11" t="s">
        <v>1637</v>
      </c>
      <c r="D444" s="11" t="s">
        <v>26</v>
      </c>
      <c r="E444" s="11" t="s">
        <v>243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1638</v>
      </c>
      <c r="C445" s="11" t="s">
        <v>1639</v>
      </c>
      <c r="D445" s="11" t="s">
        <v>26</v>
      </c>
      <c r="E445" s="11" t="s">
        <v>607</v>
      </c>
      <c r="F445" s="11" t="s">
        <v>26</v>
      </c>
      <c r="G445" s="11">
        <v>616</v>
      </c>
      <c r="H445" s="12" t="s">
        <v>144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1640</v>
      </c>
      <c r="C446" s="11" t="s">
        <v>1641</v>
      </c>
      <c r="D446" s="11" t="s">
        <v>26</v>
      </c>
      <c r="E446" s="11" t="s">
        <v>662</v>
      </c>
      <c r="F446" s="11" t="s">
        <v>26</v>
      </c>
      <c r="G446" s="11">
        <v>617</v>
      </c>
      <c r="H446" s="12" t="s">
        <v>144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1642</v>
      </c>
      <c r="C447" s="11" t="s">
        <v>1643</v>
      </c>
      <c r="D447" s="11" t="s">
        <v>26</v>
      </c>
      <c r="E447" s="11" t="s">
        <v>434</v>
      </c>
      <c r="F447" s="11" t="s">
        <v>26</v>
      </c>
      <c r="G447" s="11">
        <v>132</v>
      </c>
      <c r="H447" s="12" t="s">
        <v>115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1644</v>
      </c>
      <c r="C448" s="11" t="s">
        <v>1645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4443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568</v>
      </c>
      <c r="AA448" s="12" t="s">
        <v>78</v>
      </c>
    </row>
    <row r="449" spans="1:27" x14ac:dyDescent="0.25">
      <c r="A449" s="10">
        <v>45665</v>
      </c>
      <c r="B449" s="11" t="s">
        <v>1646</v>
      </c>
      <c r="C449" s="11" t="s">
        <v>1647</v>
      </c>
      <c r="D449" s="11" t="s">
        <v>26</v>
      </c>
      <c r="E449" s="11" t="s">
        <v>99</v>
      </c>
      <c r="F449" s="11" t="s">
        <v>26</v>
      </c>
      <c r="G449" s="11">
        <v>10128</v>
      </c>
      <c r="H449" s="12" t="s">
        <v>143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1648</v>
      </c>
      <c r="C450" s="11" t="s">
        <v>1649</v>
      </c>
      <c r="D450" s="11" t="s">
        <v>26</v>
      </c>
      <c r="E450" s="11" t="s">
        <v>249</v>
      </c>
      <c r="F450" s="11" t="s">
        <v>26</v>
      </c>
      <c r="G450" s="11" t="s">
        <v>26</v>
      </c>
      <c r="H450" s="12" t="s">
        <v>149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1650</v>
      </c>
      <c r="C451" s="11" t="s">
        <v>1651</v>
      </c>
      <c r="D451" s="11" t="s">
        <v>26</v>
      </c>
      <c r="E451" s="11" t="s">
        <v>1221</v>
      </c>
      <c r="F451" s="11" t="s">
        <v>26</v>
      </c>
      <c r="G451" s="11">
        <v>971</v>
      </c>
      <c r="H451" s="12" t="s">
        <v>166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1652</v>
      </c>
      <c r="C452" s="11" t="s">
        <v>1653</v>
      </c>
      <c r="D452" s="11" t="s">
        <v>26</v>
      </c>
      <c r="E452" s="11" t="s">
        <v>244</v>
      </c>
      <c r="F452" s="11" t="s">
        <v>26</v>
      </c>
      <c r="G452" s="11">
        <v>71094</v>
      </c>
      <c r="H452" s="12" t="s">
        <v>4470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1654</v>
      </c>
      <c r="C453" s="11" t="s">
        <v>1655</v>
      </c>
      <c r="D453" s="11" t="s">
        <v>26</v>
      </c>
      <c r="E453" s="11" t="s">
        <v>227</v>
      </c>
      <c r="F453" s="11" t="s">
        <v>26</v>
      </c>
      <c r="G453" s="11">
        <v>57836</v>
      </c>
      <c r="H453" s="12" t="s">
        <v>4444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1656</v>
      </c>
      <c r="C454" s="11" t="s">
        <v>1657</v>
      </c>
      <c r="D454" s="11" t="s">
        <v>26</v>
      </c>
      <c r="E454" s="11" t="s">
        <v>592</v>
      </c>
      <c r="F454" s="11" t="s">
        <v>26</v>
      </c>
      <c r="G454" s="11">
        <v>4566</v>
      </c>
      <c r="H454" s="12" t="s">
        <v>4444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371</v>
      </c>
      <c r="C455" s="11" t="s">
        <v>1658</v>
      </c>
      <c r="D455" s="11" t="s">
        <v>26</v>
      </c>
      <c r="E455" s="11" t="s">
        <v>523</v>
      </c>
      <c r="F455" s="11" t="s">
        <v>26</v>
      </c>
      <c r="G455" s="11">
        <v>4365</v>
      </c>
      <c r="H455" s="12" t="s">
        <v>143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1659</v>
      </c>
      <c r="C456" s="11" t="s">
        <v>1660</v>
      </c>
      <c r="D456" s="11" t="s">
        <v>26</v>
      </c>
      <c r="E456" s="11" t="s">
        <v>233</v>
      </c>
      <c r="F456" s="11" t="s">
        <v>26</v>
      </c>
      <c r="G456" s="11" t="s">
        <v>26</v>
      </c>
      <c r="H456" s="12" t="s">
        <v>4443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568</v>
      </c>
      <c r="AA456" s="12" t="s">
        <v>78</v>
      </c>
    </row>
    <row r="457" spans="1:27" x14ac:dyDescent="0.25">
      <c r="A457" s="10">
        <v>45665</v>
      </c>
      <c r="B457" s="11" t="s">
        <v>1661</v>
      </c>
      <c r="C457" s="11" t="s">
        <v>1662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1663</v>
      </c>
      <c r="C458" s="11" t="s">
        <v>1664</v>
      </c>
      <c r="D458" s="11" t="s">
        <v>26</v>
      </c>
      <c r="E458" s="11" t="s">
        <v>464</v>
      </c>
      <c r="F458" s="11" t="s">
        <v>26</v>
      </c>
      <c r="G458" s="11">
        <v>33</v>
      </c>
      <c r="H458" s="12" t="s">
        <v>4466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353</v>
      </c>
      <c r="C459" s="11" t="s">
        <v>1665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1666</v>
      </c>
      <c r="C460" s="11" t="s">
        <v>1667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149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1668</v>
      </c>
      <c r="C461" s="11" t="s">
        <v>1669</v>
      </c>
      <c r="D461" s="11" t="s">
        <v>26</v>
      </c>
      <c r="E461" s="11" t="s">
        <v>556</v>
      </c>
      <c r="F461" s="11" t="s">
        <v>26</v>
      </c>
      <c r="G461" s="11">
        <v>44127</v>
      </c>
      <c r="H461" s="12" t="s">
        <v>4444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1670</v>
      </c>
      <c r="C462" s="11" t="s">
        <v>1671</v>
      </c>
      <c r="D462" s="11" t="s">
        <v>26</v>
      </c>
      <c r="E462" s="11" t="s">
        <v>1672</v>
      </c>
      <c r="F462" s="11" t="s">
        <v>26</v>
      </c>
      <c r="G462" s="11">
        <v>42261</v>
      </c>
      <c r="H462" s="12" t="s">
        <v>568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736</v>
      </c>
      <c r="C463" s="11" t="s">
        <v>1673</v>
      </c>
      <c r="D463" s="11" t="s">
        <v>26</v>
      </c>
      <c r="E463" s="11" t="s">
        <v>464</v>
      </c>
      <c r="F463" s="11" t="s">
        <v>26</v>
      </c>
      <c r="G463" s="11">
        <v>31</v>
      </c>
      <c r="H463" s="12" t="s">
        <v>4466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189</v>
      </c>
      <c r="C464" s="11" t="s">
        <v>1674</v>
      </c>
      <c r="D464" s="11" t="s">
        <v>26</v>
      </c>
      <c r="E464" s="11" t="s">
        <v>607</v>
      </c>
      <c r="F464" s="11" t="s">
        <v>26</v>
      </c>
      <c r="G464" s="11">
        <v>618</v>
      </c>
      <c r="H464" s="12" t="s">
        <v>144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1675</v>
      </c>
      <c r="C465" s="11" t="s">
        <v>1676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143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345</v>
      </c>
      <c r="C466" s="11" t="s">
        <v>1677</v>
      </c>
      <c r="D466" s="11" t="s">
        <v>26</v>
      </c>
      <c r="E466" s="11" t="s">
        <v>464</v>
      </c>
      <c r="F466" s="11" t="s">
        <v>26</v>
      </c>
      <c r="G466" s="11">
        <v>32</v>
      </c>
      <c r="H466" s="12" t="s">
        <v>4466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340</v>
      </c>
      <c r="C467" s="11" t="s">
        <v>1678</v>
      </c>
      <c r="D467" s="11" t="s">
        <v>26</v>
      </c>
      <c r="E467" s="11" t="s">
        <v>244</v>
      </c>
      <c r="F467" s="11" t="s">
        <v>26</v>
      </c>
      <c r="G467" s="11">
        <v>71095</v>
      </c>
      <c r="H467" s="12" t="s">
        <v>4470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1679</v>
      </c>
      <c r="C468" s="11" t="s">
        <v>1680</v>
      </c>
      <c r="D468" s="11" t="s">
        <v>26</v>
      </c>
      <c r="E468" s="11" t="s">
        <v>1681</v>
      </c>
      <c r="F468" s="11" t="s">
        <v>26</v>
      </c>
      <c r="G468" s="11">
        <v>42262</v>
      </c>
      <c r="H468" s="12" t="s">
        <v>568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724</v>
      </c>
      <c r="C469" s="11" t="s">
        <v>1682</v>
      </c>
      <c r="D469" s="11" t="s">
        <v>26</v>
      </c>
      <c r="E469" s="11" t="s">
        <v>1221</v>
      </c>
      <c r="F469" s="11" t="s">
        <v>26</v>
      </c>
      <c r="G469" s="11">
        <v>972</v>
      </c>
      <c r="H469" s="12" t="s">
        <v>166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1683</v>
      </c>
      <c r="C470" s="11" t="s">
        <v>1684</v>
      </c>
      <c r="D470" s="11" t="s">
        <v>26</v>
      </c>
      <c r="E470" s="11" t="s">
        <v>438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1685</v>
      </c>
      <c r="C471" s="11" t="s">
        <v>1686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1687</v>
      </c>
      <c r="C472" s="11" t="s">
        <v>1688</v>
      </c>
      <c r="D472" s="11" t="s">
        <v>26</v>
      </c>
      <c r="E472" s="11" t="s">
        <v>509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1689</v>
      </c>
      <c r="C473" s="11" t="s">
        <v>1690</v>
      </c>
      <c r="D473" s="11" t="s">
        <v>26</v>
      </c>
      <c r="E473" s="11" t="s">
        <v>464</v>
      </c>
      <c r="F473" s="11" t="s">
        <v>26</v>
      </c>
      <c r="G473" s="11">
        <v>189</v>
      </c>
      <c r="H473" s="12" t="s">
        <v>4466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1691</v>
      </c>
      <c r="C474" s="11" t="s">
        <v>1692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1693</v>
      </c>
      <c r="C475" s="11" t="s">
        <v>1694</v>
      </c>
      <c r="D475" s="11" t="s">
        <v>26</v>
      </c>
      <c r="E475" s="11" t="s">
        <v>662</v>
      </c>
      <c r="F475" s="11" t="s">
        <v>26</v>
      </c>
      <c r="G475" s="11">
        <v>619</v>
      </c>
      <c r="H475" s="12" t="s">
        <v>144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1695</v>
      </c>
      <c r="C476" s="11" t="s">
        <v>1696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1697</v>
      </c>
      <c r="C477" s="11" t="s">
        <v>1698</v>
      </c>
      <c r="D477" s="11" t="s">
        <v>26</v>
      </c>
      <c r="E477" s="11" t="s">
        <v>434</v>
      </c>
      <c r="F477" s="11" t="s">
        <v>26</v>
      </c>
      <c r="G477" s="11">
        <v>133</v>
      </c>
      <c r="H477" s="12" t="s">
        <v>115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671</v>
      </c>
      <c r="C478" s="11" t="s">
        <v>1699</v>
      </c>
      <c r="D478" s="11" t="s">
        <v>26</v>
      </c>
      <c r="E478" s="11" t="s">
        <v>464</v>
      </c>
      <c r="F478" s="11" t="s">
        <v>26</v>
      </c>
      <c r="G478" s="11">
        <v>35</v>
      </c>
      <c r="H478" s="12" t="s">
        <v>4466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1700</v>
      </c>
      <c r="C479" s="11" t="s">
        <v>1701</v>
      </c>
      <c r="D479" s="11" t="s">
        <v>26</v>
      </c>
      <c r="E479" s="11" t="s">
        <v>607</v>
      </c>
      <c r="F479" s="11" t="s">
        <v>26</v>
      </c>
      <c r="G479" s="11">
        <v>620</v>
      </c>
      <c r="H479" s="12" t="s">
        <v>144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1702</v>
      </c>
      <c r="C480" s="11" t="s">
        <v>1703</v>
      </c>
      <c r="D480" s="11" t="s">
        <v>26</v>
      </c>
      <c r="E480" s="11" t="s">
        <v>512</v>
      </c>
      <c r="F480" s="11" t="s">
        <v>26</v>
      </c>
      <c r="G480" s="11" t="s">
        <v>26</v>
      </c>
      <c r="H480" s="12" t="s">
        <v>4443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144</v>
      </c>
      <c r="AA480" s="12" t="s">
        <v>78</v>
      </c>
    </row>
    <row r="481" spans="1:27" x14ac:dyDescent="0.25">
      <c r="A481" s="10">
        <v>45665</v>
      </c>
      <c r="B481" s="11" t="s">
        <v>1704</v>
      </c>
      <c r="C481" s="11" t="s">
        <v>1705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568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1706</v>
      </c>
      <c r="C482" s="11" t="s">
        <v>1707</v>
      </c>
      <c r="D482" s="11" t="s">
        <v>26</v>
      </c>
      <c r="E482" s="11" t="s">
        <v>585</v>
      </c>
      <c r="F482" s="11" t="s">
        <v>26</v>
      </c>
      <c r="G482" s="11">
        <v>111966</v>
      </c>
      <c r="H482" s="12" t="s">
        <v>4468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1708</v>
      </c>
      <c r="C483" s="11" t="s">
        <v>1709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337</v>
      </c>
      <c r="C484" s="11" t="s">
        <v>1710</v>
      </c>
      <c r="D484" s="11" t="s">
        <v>26</v>
      </c>
      <c r="E484" s="11" t="s">
        <v>1221</v>
      </c>
      <c r="F484" s="11" t="s">
        <v>26</v>
      </c>
      <c r="G484" s="11">
        <v>973</v>
      </c>
      <c r="H484" s="12" t="s">
        <v>166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1711</v>
      </c>
      <c r="C485" s="11" t="s">
        <v>1712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1713</v>
      </c>
      <c r="C486" s="11" t="s">
        <v>1714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166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1715</v>
      </c>
      <c r="C487" s="11" t="s">
        <v>1716</v>
      </c>
      <c r="D487" s="11" t="s">
        <v>26</v>
      </c>
      <c r="E487" s="11" t="s">
        <v>662</v>
      </c>
      <c r="F487" s="11" t="s">
        <v>26</v>
      </c>
      <c r="G487" s="11">
        <v>621</v>
      </c>
      <c r="H487" s="12" t="s">
        <v>144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1717</v>
      </c>
      <c r="C488" s="11" t="s">
        <v>1718</v>
      </c>
      <c r="D488" s="11" t="s">
        <v>26</v>
      </c>
      <c r="E488" s="11" t="s">
        <v>1672</v>
      </c>
      <c r="F488" s="11" t="s">
        <v>26</v>
      </c>
      <c r="G488" s="11">
        <v>42263</v>
      </c>
      <c r="H488" s="12" t="s">
        <v>568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1719</v>
      </c>
      <c r="C489" s="11" t="s">
        <v>1720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143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1721</v>
      </c>
      <c r="C490" s="11" t="s">
        <v>1722</v>
      </c>
      <c r="D490" s="11" t="s">
        <v>26</v>
      </c>
      <c r="E490" s="11" t="s">
        <v>233</v>
      </c>
      <c r="F490" s="11" t="s">
        <v>26</v>
      </c>
      <c r="G490" s="11">
        <v>23126</v>
      </c>
      <c r="H490" s="12" t="s">
        <v>568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1723</v>
      </c>
      <c r="C491" s="11" t="s">
        <v>1724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4470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1157</v>
      </c>
      <c r="C492" s="11" t="s">
        <v>1725</v>
      </c>
      <c r="D492" s="11" t="s">
        <v>26</v>
      </c>
      <c r="E492" s="11" t="s">
        <v>504</v>
      </c>
      <c r="F492" s="11" t="s">
        <v>26</v>
      </c>
      <c r="G492" s="11" t="s">
        <v>26</v>
      </c>
      <c r="H492" s="12" t="s">
        <v>4443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144</v>
      </c>
      <c r="AA492" s="12" t="s">
        <v>78</v>
      </c>
    </row>
    <row r="493" spans="1:27" x14ac:dyDescent="0.25">
      <c r="A493" s="10">
        <v>45666</v>
      </c>
      <c r="B493" s="11" t="s">
        <v>1726</v>
      </c>
      <c r="C493" s="11" t="s">
        <v>1727</v>
      </c>
      <c r="D493" s="11" t="s">
        <v>26</v>
      </c>
      <c r="E493" s="11" t="s">
        <v>244</v>
      </c>
      <c r="F493" s="11" t="s">
        <v>26</v>
      </c>
      <c r="G493" s="11">
        <v>71096</v>
      </c>
      <c r="H493" s="12" t="s">
        <v>4470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275</v>
      </c>
      <c r="C494" s="11" t="s">
        <v>1728</v>
      </c>
      <c r="D494" s="11" t="s">
        <v>26</v>
      </c>
      <c r="E494" s="11" t="s">
        <v>585</v>
      </c>
      <c r="F494" s="11" t="s">
        <v>26</v>
      </c>
      <c r="G494" s="11">
        <v>111969</v>
      </c>
      <c r="H494" s="12" t="s">
        <v>4468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375</v>
      </c>
      <c r="C495" s="11" t="s">
        <v>1729</v>
      </c>
      <c r="D495" s="11" t="s">
        <v>26</v>
      </c>
      <c r="E495" s="11" t="s">
        <v>577</v>
      </c>
      <c r="F495" s="11" t="s">
        <v>26</v>
      </c>
      <c r="G495" s="11" t="s">
        <v>26</v>
      </c>
      <c r="H495" s="12" t="s">
        <v>4443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144</v>
      </c>
      <c r="AA495" s="12" t="s">
        <v>78</v>
      </c>
    </row>
    <row r="496" spans="1:27" x14ac:dyDescent="0.25">
      <c r="A496" s="10">
        <v>45666</v>
      </c>
      <c r="B496" s="11" t="s">
        <v>263</v>
      </c>
      <c r="C496" s="11" t="s">
        <v>1730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4443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144</v>
      </c>
      <c r="AA496" s="12" t="s">
        <v>78</v>
      </c>
    </row>
    <row r="497" spans="1:27" x14ac:dyDescent="0.25">
      <c r="A497" s="10">
        <v>45666</v>
      </c>
      <c r="B497" s="11" t="s">
        <v>1731</v>
      </c>
      <c r="C497" s="11" t="s">
        <v>1732</v>
      </c>
      <c r="D497" s="11" t="s">
        <v>26</v>
      </c>
      <c r="E497" s="11" t="s">
        <v>227</v>
      </c>
      <c r="F497" s="11" t="s">
        <v>26</v>
      </c>
      <c r="G497" s="11">
        <v>57838</v>
      </c>
      <c r="H497" s="12" t="s">
        <v>4444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105</v>
      </c>
      <c r="C498" s="11" t="s">
        <v>1733</v>
      </c>
      <c r="D498" s="11" t="s">
        <v>26</v>
      </c>
      <c r="E498" s="11" t="s">
        <v>434</v>
      </c>
      <c r="F498" s="11" t="s">
        <v>26</v>
      </c>
      <c r="G498" s="11">
        <v>134</v>
      </c>
      <c r="H498" s="12" t="s">
        <v>115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1734</v>
      </c>
      <c r="C499" s="11" t="s">
        <v>1735</v>
      </c>
      <c r="D499" s="11" t="s">
        <v>26</v>
      </c>
      <c r="E499" s="11" t="s">
        <v>555</v>
      </c>
      <c r="F499" s="11" t="s">
        <v>26</v>
      </c>
      <c r="G499" s="11">
        <v>57549</v>
      </c>
      <c r="H499" s="12" t="s">
        <v>4444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1736</v>
      </c>
      <c r="C500" s="11" t="s">
        <v>1737</v>
      </c>
      <c r="D500" s="11" t="s">
        <v>26</v>
      </c>
      <c r="E500" s="11" t="s">
        <v>187</v>
      </c>
      <c r="F500" s="11" t="s">
        <v>26</v>
      </c>
      <c r="G500" s="11" t="s">
        <v>26</v>
      </c>
      <c r="H500" s="12" t="s">
        <v>4443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144</v>
      </c>
      <c r="AA500" s="12" t="s">
        <v>78</v>
      </c>
    </row>
    <row r="501" spans="1:27" x14ac:dyDescent="0.25">
      <c r="A501" s="10">
        <v>45666</v>
      </c>
      <c r="B501" s="11" t="s">
        <v>703</v>
      </c>
      <c r="C501" s="11" t="s">
        <v>1738</v>
      </c>
      <c r="D501" s="11" t="s">
        <v>26</v>
      </c>
      <c r="E501" s="11" t="s">
        <v>464</v>
      </c>
      <c r="F501" s="11" t="s">
        <v>26</v>
      </c>
      <c r="G501" s="11">
        <v>34</v>
      </c>
      <c r="H501" s="12" t="s">
        <v>4466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1739</v>
      </c>
      <c r="C502" s="11" t="s">
        <v>1740</v>
      </c>
      <c r="D502" s="11" t="s">
        <v>26</v>
      </c>
      <c r="E502" s="11" t="s">
        <v>325</v>
      </c>
      <c r="F502" s="11" t="s">
        <v>26</v>
      </c>
      <c r="G502" s="11">
        <v>111964</v>
      </c>
      <c r="H502" s="12" t="s">
        <v>4468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1741</v>
      </c>
      <c r="C503" s="11" t="s">
        <v>1742</v>
      </c>
      <c r="D503" s="11" t="s">
        <v>26</v>
      </c>
      <c r="E503" s="11" t="s">
        <v>608</v>
      </c>
      <c r="F503" s="11" t="s">
        <v>26</v>
      </c>
      <c r="G503" s="11" t="s">
        <v>26</v>
      </c>
      <c r="H503" s="12" t="s">
        <v>4443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144</v>
      </c>
      <c r="AA503" s="12" t="s">
        <v>78</v>
      </c>
    </row>
    <row r="504" spans="1:27" x14ac:dyDescent="0.25">
      <c r="A504" s="10">
        <v>45666</v>
      </c>
      <c r="B504" s="11" t="s">
        <v>1743</v>
      </c>
      <c r="C504" s="11" t="s">
        <v>1744</v>
      </c>
      <c r="D504" s="11" t="s">
        <v>26</v>
      </c>
      <c r="E504" s="11" t="s">
        <v>573</v>
      </c>
      <c r="F504" s="11" t="s">
        <v>26</v>
      </c>
      <c r="G504" s="11">
        <v>10315</v>
      </c>
      <c r="H504" s="12" t="s">
        <v>143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680</v>
      </c>
      <c r="C505" s="11" t="s">
        <v>1745</v>
      </c>
      <c r="D505" s="11" t="s">
        <v>26</v>
      </c>
      <c r="E505" s="11" t="s">
        <v>1746</v>
      </c>
      <c r="F505" s="11" t="s">
        <v>26</v>
      </c>
      <c r="G505" s="11">
        <v>3279</v>
      </c>
      <c r="H505" s="12" t="s">
        <v>4470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1747</v>
      </c>
      <c r="C506" s="11" t="s">
        <v>1748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166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361</v>
      </c>
      <c r="C507" s="11" t="s">
        <v>1749</v>
      </c>
      <c r="D507" s="11" t="s">
        <v>26</v>
      </c>
      <c r="E507" s="11" t="s">
        <v>662</v>
      </c>
      <c r="F507" s="11" t="s">
        <v>26</v>
      </c>
      <c r="G507" s="11">
        <v>622</v>
      </c>
      <c r="H507" s="12" t="s">
        <v>144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1750</v>
      </c>
      <c r="C508" s="11" t="s">
        <v>1751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143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1752</v>
      </c>
      <c r="C509" s="11" t="s">
        <v>1753</v>
      </c>
      <c r="D509" s="11" t="s">
        <v>26</v>
      </c>
      <c r="E509" s="11" t="s">
        <v>523</v>
      </c>
      <c r="F509" s="11" t="s">
        <v>26</v>
      </c>
      <c r="G509" s="11" t="s">
        <v>26</v>
      </c>
      <c r="H509" s="12" t="s">
        <v>4443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143</v>
      </c>
      <c r="AA509" s="12" t="s">
        <v>78</v>
      </c>
    </row>
    <row r="510" spans="1:27" x14ac:dyDescent="0.25">
      <c r="A510" s="10">
        <v>45666</v>
      </c>
      <c r="B510" s="11" t="s">
        <v>1754</v>
      </c>
      <c r="C510" s="11" t="s">
        <v>1755</v>
      </c>
      <c r="D510" s="11" t="s">
        <v>26</v>
      </c>
      <c r="E510" s="11" t="s">
        <v>1221</v>
      </c>
      <c r="F510" s="11" t="s">
        <v>26</v>
      </c>
      <c r="G510" s="11">
        <v>974</v>
      </c>
      <c r="H510" s="12" t="s">
        <v>166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1470</v>
      </c>
      <c r="C511" s="11" t="s">
        <v>1756</v>
      </c>
      <c r="D511" s="11" t="s">
        <v>26</v>
      </c>
      <c r="E511" s="11" t="s">
        <v>512</v>
      </c>
      <c r="F511" s="11" t="s">
        <v>26</v>
      </c>
      <c r="G511" s="11">
        <v>623</v>
      </c>
      <c r="H511" s="12" t="s">
        <v>144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399</v>
      </c>
      <c r="C512" s="11" t="s">
        <v>1757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427</v>
      </c>
      <c r="C513" s="11" t="s">
        <v>1758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1528</v>
      </c>
      <c r="C514" s="11" t="s">
        <v>1759</v>
      </c>
      <c r="D514" s="11" t="s">
        <v>26</v>
      </c>
      <c r="E514" s="11" t="s">
        <v>464</v>
      </c>
      <c r="F514" s="11" t="s">
        <v>26</v>
      </c>
      <c r="G514" s="11">
        <v>38</v>
      </c>
      <c r="H514" s="12" t="s">
        <v>4466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1760</v>
      </c>
      <c r="C515" s="11" t="s">
        <v>1761</v>
      </c>
      <c r="D515" s="11" t="s">
        <v>26</v>
      </c>
      <c r="E515" s="11" t="s">
        <v>607</v>
      </c>
      <c r="F515" s="11" t="s">
        <v>26</v>
      </c>
      <c r="G515" s="11">
        <v>624</v>
      </c>
      <c r="H515" s="12" t="s">
        <v>144</v>
      </c>
      <c r="I515" s="12" t="s">
        <v>37</v>
      </c>
      <c r="J515" s="12" t="s">
        <v>602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1762</v>
      </c>
      <c r="C516" s="11" t="s">
        <v>1763</v>
      </c>
      <c r="D516" s="11" t="s">
        <v>26</v>
      </c>
      <c r="E516" s="11" t="s">
        <v>233</v>
      </c>
      <c r="F516" s="11" t="s">
        <v>26</v>
      </c>
      <c r="G516" s="11" t="s">
        <v>26</v>
      </c>
      <c r="H516" s="12" t="s">
        <v>4443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568</v>
      </c>
      <c r="AA516" s="12" t="s">
        <v>78</v>
      </c>
    </row>
    <row r="517" spans="1:27" x14ac:dyDescent="0.25">
      <c r="A517" s="10">
        <v>45666</v>
      </c>
      <c r="B517" s="11" t="s">
        <v>321</v>
      </c>
      <c r="C517" s="11" t="s">
        <v>1764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4443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143</v>
      </c>
      <c r="AA517" s="12" t="s">
        <v>78</v>
      </c>
    </row>
    <row r="518" spans="1:27" x14ac:dyDescent="0.25">
      <c r="A518" s="10">
        <v>45666</v>
      </c>
      <c r="B518" s="11" t="s">
        <v>1765</v>
      </c>
      <c r="C518" s="11" t="s">
        <v>1766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149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1767</v>
      </c>
      <c r="C519" s="11" t="s">
        <v>1768</v>
      </c>
      <c r="D519" s="11" t="s">
        <v>26</v>
      </c>
      <c r="E519" s="11" t="s">
        <v>244</v>
      </c>
      <c r="F519" s="11" t="s">
        <v>26</v>
      </c>
      <c r="G519" s="11">
        <v>71097</v>
      </c>
      <c r="H519" s="12" t="s">
        <v>4470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1769</v>
      </c>
      <c r="C520" s="11" t="s">
        <v>1770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1771</v>
      </c>
      <c r="C521" s="11" t="s">
        <v>1772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149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382</v>
      </c>
      <c r="C522" s="11" t="s">
        <v>1773</v>
      </c>
      <c r="D522" s="11" t="s">
        <v>26</v>
      </c>
      <c r="E522" s="11" t="s">
        <v>608</v>
      </c>
      <c r="F522" s="11" t="s">
        <v>26</v>
      </c>
      <c r="G522" s="11">
        <v>625</v>
      </c>
      <c r="H522" s="12" t="s">
        <v>144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268</v>
      </c>
      <c r="C523" s="11" t="s">
        <v>1774</v>
      </c>
      <c r="D523" s="11" t="s">
        <v>26</v>
      </c>
      <c r="E523" s="11" t="s">
        <v>555</v>
      </c>
      <c r="F523" s="11" t="s">
        <v>26</v>
      </c>
      <c r="G523" s="11">
        <v>57550</v>
      </c>
      <c r="H523" s="12" t="s">
        <v>4444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1775</v>
      </c>
      <c r="C524" s="11" t="s">
        <v>1776</v>
      </c>
      <c r="D524" s="11" t="s">
        <v>26</v>
      </c>
      <c r="E524" s="11" t="s">
        <v>585</v>
      </c>
      <c r="F524" s="11" t="s">
        <v>26</v>
      </c>
      <c r="G524" s="11">
        <v>111972</v>
      </c>
      <c r="H524" s="12" t="s">
        <v>4468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317</v>
      </c>
      <c r="C525" s="11" t="s">
        <v>1777</v>
      </c>
      <c r="D525" s="11" t="s">
        <v>26</v>
      </c>
      <c r="E525" s="11" t="s">
        <v>99</v>
      </c>
      <c r="F525" s="11" t="s">
        <v>26</v>
      </c>
      <c r="G525" s="11" t="s">
        <v>26</v>
      </c>
      <c r="H525" s="12" t="s">
        <v>4443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143</v>
      </c>
      <c r="AA525" s="12" t="s">
        <v>78</v>
      </c>
    </row>
    <row r="526" spans="1:27" x14ac:dyDescent="0.25">
      <c r="A526" s="10">
        <v>45666</v>
      </c>
      <c r="B526" s="11" t="s">
        <v>1778</v>
      </c>
      <c r="C526" s="11" t="s">
        <v>1779</v>
      </c>
      <c r="D526" s="11" t="s">
        <v>26</v>
      </c>
      <c r="E526" s="11" t="s">
        <v>1221</v>
      </c>
      <c r="F526" s="11" t="s">
        <v>26</v>
      </c>
      <c r="G526" s="11">
        <v>975</v>
      </c>
      <c r="H526" s="12" t="s">
        <v>166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1780</v>
      </c>
      <c r="C527" s="11" t="s">
        <v>1781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4443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568</v>
      </c>
      <c r="AA527" s="12" t="s">
        <v>78</v>
      </c>
    </row>
    <row r="528" spans="1:27" x14ac:dyDescent="0.25">
      <c r="A528" s="10">
        <v>45666</v>
      </c>
      <c r="B528" s="11" t="s">
        <v>1782</v>
      </c>
      <c r="C528" s="11" t="s">
        <v>1783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166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1784</v>
      </c>
      <c r="C529" s="11" t="s">
        <v>1785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4444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1187</v>
      </c>
      <c r="C530" s="11" t="s">
        <v>1786</v>
      </c>
      <c r="D530" s="11" t="s">
        <v>26</v>
      </c>
      <c r="E530" s="11" t="s">
        <v>662</v>
      </c>
      <c r="F530" s="11" t="s">
        <v>26</v>
      </c>
      <c r="G530" s="11">
        <v>626</v>
      </c>
      <c r="H530" s="12" t="s">
        <v>144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305</v>
      </c>
      <c r="C531" s="11" t="s">
        <v>1787</v>
      </c>
      <c r="D531" s="11" t="s">
        <v>26</v>
      </c>
      <c r="E531" s="11" t="s">
        <v>434</v>
      </c>
      <c r="F531" s="11" t="s">
        <v>26</v>
      </c>
      <c r="G531" s="11">
        <v>135</v>
      </c>
      <c r="H531" s="12" t="s">
        <v>115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1788</v>
      </c>
      <c r="C532" s="11" t="s">
        <v>1789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754</v>
      </c>
      <c r="C533" s="11" t="s">
        <v>1790</v>
      </c>
      <c r="D533" s="11" t="s">
        <v>26</v>
      </c>
      <c r="E533" s="11" t="s">
        <v>512</v>
      </c>
      <c r="F533" s="11" t="s">
        <v>26</v>
      </c>
      <c r="G533" s="11">
        <v>627</v>
      </c>
      <c r="H533" s="12" t="s">
        <v>144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1791</v>
      </c>
      <c r="C534" s="11" t="s">
        <v>1792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1793</v>
      </c>
      <c r="C535" s="11" t="s">
        <v>1794</v>
      </c>
      <c r="D535" s="11" t="s">
        <v>26</v>
      </c>
      <c r="E535" s="11" t="s">
        <v>542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378</v>
      </c>
      <c r="C536" s="11" t="s">
        <v>1795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4443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1796</v>
      </c>
      <c r="C537" s="11" t="s">
        <v>1797</v>
      </c>
      <c r="D537" s="11" t="s">
        <v>26</v>
      </c>
      <c r="E537" s="11" t="s">
        <v>249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757</v>
      </c>
      <c r="C538" s="11" t="s">
        <v>1798</v>
      </c>
      <c r="D538" s="11" t="s">
        <v>26</v>
      </c>
      <c r="E538" s="11" t="s">
        <v>592</v>
      </c>
      <c r="F538" s="11" t="s">
        <v>26</v>
      </c>
      <c r="G538" s="11">
        <v>4569</v>
      </c>
      <c r="H538" s="12" t="s">
        <v>4444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124</v>
      </c>
      <c r="C539" s="11" t="s">
        <v>1799</v>
      </c>
      <c r="D539" s="11" t="s">
        <v>26</v>
      </c>
      <c r="E539" s="11" t="s">
        <v>438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1800</v>
      </c>
      <c r="C540" s="11" t="s">
        <v>1801</v>
      </c>
      <c r="D540" s="11" t="s">
        <v>26</v>
      </c>
      <c r="E540" s="11" t="s">
        <v>244</v>
      </c>
      <c r="F540" s="11" t="s">
        <v>26</v>
      </c>
      <c r="G540" s="11">
        <v>71099</v>
      </c>
      <c r="H540" s="12" t="s">
        <v>4470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297</v>
      </c>
      <c r="C541" s="11" t="s">
        <v>1802</v>
      </c>
      <c r="D541" s="11" t="s">
        <v>26</v>
      </c>
      <c r="E541" s="11" t="s">
        <v>1681</v>
      </c>
      <c r="F541" s="11" t="s">
        <v>26</v>
      </c>
      <c r="G541" s="11">
        <v>42266</v>
      </c>
      <c r="H541" s="12" t="s">
        <v>568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719</v>
      </c>
      <c r="C542" s="11" t="s">
        <v>1803</v>
      </c>
      <c r="D542" s="11" t="s">
        <v>26</v>
      </c>
      <c r="E542" s="11" t="s">
        <v>1672</v>
      </c>
      <c r="F542" s="11" t="s">
        <v>26</v>
      </c>
      <c r="G542" s="11">
        <v>42267</v>
      </c>
      <c r="H542" s="12" t="s">
        <v>568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1804</v>
      </c>
      <c r="C543" s="11" t="s">
        <v>1805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1806</v>
      </c>
      <c r="C544" s="11" t="s">
        <v>1807</v>
      </c>
      <c r="D544" s="11" t="s">
        <v>26</v>
      </c>
      <c r="E544" s="11" t="s">
        <v>243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560</v>
      </c>
      <c r="K544" s="12" t="s">
        <v>561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283</v>
      </c>
      <c r="C545" s="11" t="s">
        <v>1808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4443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1809</v>
      </c>
      <c r="C546" s="11" t="s">
        <v>1810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560</v>
      </c>
      <c r="K546" s="12" t="s">
        <v>561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1811</v>
      </c>
      <c r="C547" s="11" t="s">
        <v>1812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4468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279</v>
      </c>
      <c r="C548" s="11" t="s">
        <v>1813</v>
      </c>
      <c r="D548" s="11" t="s">
        <v>26</v>
      </c>
      <c r="E548" s="11" t="s">
        <v>562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639</v>
      </c>
      <c r="C549" s="11" t="s">
        <v>1814</v>
      </c>
      <c r="D549" s="11" t="s">
        <v>26</v>
      </c>
      <c r="E549" s="11" t="s">
        <v>555</v>
      </c>
      <c r="F549" s="11" t="s">
        <v>26</v>
      </c>
      <c r="G549" s="11">
        <v>69102</v>
      </c>
      <c r="H549" s="12" t="s">
        <v>4444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1815</v>
      </c>
      <c r="C550" s="11" t="s">
        <v>1816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166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1817</v>
      </c>
      <c r="C551" s="11" t="s">
        <v>1818</v>
      </c>
      <c r="D551" s="11" t="s">
        <v>26</v>
      </c>
      <c r="E551" s="11" t="s">
        <v>247</v>
      </c>
      <c r="F551" s="11" t="s">
        <v>26</v>
      </c>
      <c r="G551" s="11">
        <v>628</v>
      </c>
      <c r="H551" s="12" t="s">
        <v>144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320</v>
      </c>
      <c r="C552" s="11" t="s">
        <v>1819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4444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1820</v>
      </c>
      <c r="C553" s="11" t="s">
        <v>1821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568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632</v>
      </c>
      <c r="C554" s="11" t="s">
        <v>1822</v>
      </c>
      <c r="D554" s="11" t="s">
        <v>26</v>
      </c>
      <c r="E554" s="11" t="s">
        <v>239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1823</v>
      </c>
      <c r="C555" s="11" t="s">
        <v>1824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1825</v>
      </c>
      <c r="C556" s="11" t="s">
        <v>1826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1827</v>
      </c>
      <c r="C557" s="11" t="s">
        <v>1828</v>
      </c>
      <c r="D557" s="11" t="s">
        <v>26</v>
      </c>
      <c r="E557" s="11" t="s">
        <v>596</v>
      </c>
      <c r="F557" s="11" t="s">
        <v>26</v>
      </c>
      <c r="G557" s="11">
        <v>59479</v>
      </c>
      <c r="H557" s="12" t="s">
        <v>4444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1829</v>
      </c>
      <c r="C558" s="11" t="s">
        <v>1830</v>
      </c>
      <c r="D558" s="11" t="s">
        <v>26</v>
      </c>
      <c r="E558" s="11" t="s">
        <v>240</v>
      </c>
      <c r="F558" s="11" t="s">
        <v>26</v>
      </c>
      <c r="G558" s="11">
        <v>44281</v>
      </c>
      <c r="H558" s="12" t="s">
        <v>4444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1831</v>
      </c>
      <c r="C559" s="11" t="s">
        <v>1832</v>
      </c>
      <c r="D559" s="11" t="s">
        <v>26</v>
      </c>
      <c r="E559" s="11" t="s">
        <v>607</v>
      </c>
      <c r="F559" s="11" t="s">
        <v>26</v>
      </c>
      <c r="G559" s="11">
        <v>629</v>
      </c>
      <c r="H559" s="12" t="s">
        <v>144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727</v>
      </c>
      <c r="C560" s="11" t="s">
        <v>1833</v>
      </c>
      <c r="D560" s="11" t="s">
        <v>26</v>
      </c>
      <c r="E560" s="11" t="s">
        <v>556</v>
      </c>
      <c r="F560" s="11" t="s">
        <v>26</v>
      </c>
      <c r="G560" s="11">
        <v>44131</v>
      </c>
      <c r="H560" s="12" t="s">
        <v>4444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117</v>
      </c>
      <c r="C561" s="11" t="s">
        <v>1834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1835</v>
      </c>
      <c r="C562" s="11" t="s">
        <v>1836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143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381</v>
      </c>
      <c r="C563" s="11" t="s">
        <v>1837</v>
      </c>
      <c r="D563" s="11" t="s">
        <v>26</v>
      </c>
      <c r="E563" s="11" t="s">
        <v>243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276</v>
      </c>
      <c r="C564" s="11" t="s">
        <v>1838</v>
      </c>
      <c r="D564" s="11" t="s">
        <v>26</v>
      </c>
      <c r="E564" s="11" t="s">
        <v>541</v>
      </c>
      <c r="F564" s="11" t="s">
        <v>26</v>
      </c>
      <c r="G564" s="11">
        <v>976</v>
      </c>
      <c r="H564" s="12" t="s">
        <v>166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1839</v>
      </c>
      <c r="D565" s="11" t="s">
        <v>26</v>
      </c>
      <c r="E565" s="11" t="s">
        <v>573</v>
      </c>
      <c r="F565" s="11" t="s">
        <v>26</v>
      </c>
      <c r="G565" s="11">
        <v>10316</v>
      </c>
      <c r="H565" s="12" t="s">
        <v>143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1840</v>
      </c>
      <c r="C566" s="11" t="s">
        <v>1841</v>
      </c>
      <c r="D566" s="11" t="s">
        <v>26</v>
      </c>
      <c r="E566" s="11" t="s">
        <v>555</v>
      </c>
      <c r="F566" s="11" t="s">
        <v>26</v>
      </c>
      <c r="G566" s="11">
        <v>69101</v>
      </c>
      <c r="H566" s="12" t="s">
        <v>4444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713</v>
      </c>
      <c r="C567" s="11" t="s">
        <v>1842</v>
      </c>
      <c r="D567" s="11" t="s">
        <v>26</v>
      </c>
      <c r="E567" s="11" t="s">
        <v>187</v>
      </c>
      <c r="F567" s="11" t="s">
        <v>26</v>
      </c>
      <c r="G567" s="11" t="s">
        <v>26</v>
      </c>
      <c r="H567" s="12" t="s">
        <v>4443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144</v>
      </c>
      <c r="AA567" s="12" t="s">
        <v>78</v>
      </c>
    </row>
    <row r="568" spans="1:27" x14ac:dyDescent="0.25">
      <c r="A568" s="10">
        <v>45667</v>
      </c>
      <c r="B568" s="11" t="s">
        <v>457</v>
      </c>
      <c r="C568" s="11" t="s">
        <v>1843</v>
      </c>
      <c r="D568" s="11" t="s">
        <v>26</v>
      </c>
      <c r="E568" s="11" t="s">
        <v>244</v>
      </c>
      <c r="F568" s="11" t="s">
        <v>26</v>
      </c>
      <c r="G568" s="11">
        <v>71100</v>
      </c>
      <c r="H568" s="12" t="s">
        <v>4470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1844</v>
      </c>
      <c r="C569" s="11" t="s">
        <v>1845</v>
      </c>
      <c r="D569" s="11" t="s">
        <v>26</v>
      </c>
      <c r="E569" s="11" t="s">
        <v>504</v>
      </c>
      <c r="F569" s="11" t="s">
        <v>26</v>
      </c>
      <c r="G569" s="11" t="s">
        <v>26</v>
      </c>
      <c r="H569" s="12" t="s">
        <v>4443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144</v>
      </c>
      <c r="AA569" s="12" t="s">
        <v>78</v>
      </c>
    </row>
    <row r="570" spans="1:27" x14ac:dyDescent="0.25">
      <c r="A570" s="10">
        <v>45667</v>
      </c>
      <c r="B570" s="11" t="s">
        <v>1076</v>
      </c>
      <c r="C570" s="11" t="s">
        <v>1846</v>
      </c>
      <c r="D570" s="11" t="s">
        <v>26</v>
      </c>
      <c r="E570" s="11" t="s">
        <v>556</v>
      </c>
      <c r="F570" s="11" t="s">
        <v>26</v>
      </c>
      <c r="G570" s="11">
        <v>44133</v>
      </c>
      <c r="H570" s="12" t="s">
        <v>4444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1847</v>
      </c>
      <c r="C571" s="11" t="s">
        <v>1848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4443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144</v>
      </c>
      <c r="AA571" s="12" t="s">
        <v>78</v>
      </c>
    </row>
    <row r="572" spans="1:27" x14ac:dyDescent="0.25">
      <c r="A572" s="10">
        <v>45667</v>
      </c>
      <c r="B572" s="11" t="s">
        <v>1849</v>
      </c>
      <c r="C572" s="11" t="s">
        <v>1850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4443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1851</v>
      </c>
      <c r="C573" s="11" t="s">
        <v>1852</v>
      </c>
      <c r="D573" s="11" t="s">
        <v>26</v>
      </c>
      <c r="E573" s="11" t="s">
        <v>227</v>
      </c>
      <c r="F573" s="11" t="s">
        <v>26</v>
      </c>
      <c r="G573" s="11">
        <v>57841</v>
      </c>
      <c r="H573" s="12" t="s">
        <v>4444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1853</v>
      </c>
      <c r="C574" s="11" t="s">
        <v>1854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166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267</v>
      </c>
      <c r="C575" s="11" t="s">
        <v>1855</v>
      </c>
      <c r="D575" s="11" t="s">
        <v>26</v>
      </c>
      <c r="E575" s="11" t="s">
        <v>434</v>
      </c>
      <c r="F575" s="11" t="s">
        <v>26</v>
      </c>
      <c r="G575" s="11" t="s">
        <v>26</v>
      </c>
      <c r="H575" s="12" t="s">
        <v>4443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115</v>
      </c>
      <c r="AA575" s="12" t="s">
        <v>78</v>
      </c>
    </row>
    <row r="576" spans="1:27" x14ac:dyDescent="0.25">
      <c r="A576" s="10">
        <v>45667</v>
      </c>
      <c r="B576" s="11" t="s">
        <v>1856</v>
      </c>
      <c r="C576" s="11" t="s">
        <v>1857</v>
      </c>
      <c r="D576" s="11" t="s">
        <v>26</v>
      </c>
      <c r="E576" s="11" t="s">
        <v>607</v>
      </c>
      <c r="F576" s="11" t="s">
        <v>26</v>
      </c>
      <c r="G576" s="11" t="s">
        <v>26</v>
      </c>
      <c r="H576" s="12" t="s">
        <v>4443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144</v>
      </c>
      <c r="AA576" s="12" t="s">
        <v>78</v>
      </c>
    </row>
    <row r="577" spans="1:27" x14ac:dyDescent="0.25">
      <c r="A577" s="10">
        <v>45667</v>
      </c>
      <c r="B577" s="11" t="s">
        <v>1858</v>
      </c>
      <c r="C577" s="11" t="s">
        <v>1859</v>
      </c>
      <c r="D577" s="11" t="s">
        <v>26</v>
      </c>
      <c r="E577" s="11" t="s">
        <v>541</v>
      </c>
      <c r="F577" s="11" t="s">
        <v>26</v>
      </c>
      <c r="G577" s="11">
        <v>616</v>
      </c>
      <c r="H577" s="12" t="s">
        <v>166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1860</v>
      </c>
      <c r="C578" s="11" t="s">
        <v>1861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1862</v>
      </c>
      <c r="C579" s="11" t="s">
        <v>1863</v>
      </c>
      <c r="D579" s="11" t="s">
        <v>26</v>
      </c>
      <c r="E579" s="11" t="s">
        <v>183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1864</v>
      </c>
      <c r="C580" s="11" t="s">
        <v>1865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1866</v>
      </c>
      <c r="D581" s="11" t="s">
        <v>26</v>
      </c>
      <c r="E581" s="11" t="s">
        <v>464</v>
      </c>
      <c r="F581" s="11" t="s">
        <v>26</v>
      </c>
      <c r="G581" s="11">
        <v>36</v>
      </c>
      <c r="H581" s="12" t="s">
        <v>4466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1867</v>
      </c>
      <c r="C582" s="11" t="s">
        <v>1868</v>
      </c>
      <c r="D582" s="11" t="s">
        <v>26</v>
      </c>
      <c r="E582" s="11" t="s">
        <v>608</v>
      </c>
      <c r="F582" s="11" t="s">
        <v>26</v>
      </c>
      <c r="G582" s="11" t="s">
        <v>26</v>
      </c>
      <c r="H582" s="12" t="s">
        <v>4443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144</v>
      </c>
      <c r="AA582" s="12" t="s">
        <v>78</v>
      </c>
    </row>
    <row r="583" spans="1:27" x14ac:dyDescent="0.25">
      <c r="A583" s="10">
        <v>45667</v>
      </c>
      <c r="B583" s="11" t="s">
        <v>1869</v>
      </c>
      <c r="C583" s="11" t="s">
        <v>1870</v>
      </c>
      <c r="D583" s="11" t="s">
        <v>26</v>
      </c>
      <c r="E583" s="11" t="s">
        <v>573</v>
      </c>
      <c r="F583" s="11" t="s">
        <v>26</v>
      </c>
      <c r="G583" s="11">
        <v>10317</v>
      </c>
      <c r="H583" s="12" t="s">
        <v>143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251</v>
      </c>
      <c r="C584" s="11" t="s">
        <v>1871</v>
      </c>
      <c r="D584" s="11" t="s">
        <v>26</v>
      </c>
      <c r="E584" s="11" t="s">
        <v>662</v>
      </c>
      <c r="F584" s="11" t="s">
        <v>26</v>
      </c>
      <c r="G584" s="11">
        <v>630</v>
      </c>
      <c r="H584" s="12" t="s">
        <v>144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1150</v>
      </c>
      <c r="C585" s="11" t="s">
        <v>1872</v>
      </c>
      <c r="D585" s="11" t="s">
        <v>26</v>
      </c>
      <c r="E585" s="11" t="s">
        <v>592</v>
      </c>
      <c r="F585" s="11" t="s">
        <v>26</v>
      </c>
      <c r="G585" s="11">
        <v>4570</v>
      </c>
      <c r="H585" s="12" t="s">
        <v>4444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373</v>
      </c>
      <c r="C586" s="11" t="s">
        <v>1873</v>
      </c>
      <c r="D586" s="11" t="s">
        <v>26</v>
      </c>
      <c r="E586" s="11" t="s">
        <v>243</v>
      </c>
      <c r="F586" s="11" t="s">
        <v>26</v>
      </c>
      <c r="G586" s="11" t="s">
        <v>26</v>
      </c>
      <c r="H586" s="12" t="s">
        <v>4443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1874</v>
      </c>
      <c r="C587" s="11" t="s">
        <v>1875</v>
      </c>
      <c r="D587" s="11" t="s">
        <v>26</v>
      </c>
      <c r="E587" s="11" t="s">
        <v>464</v>
      </c>
      <c r="F587" s="11" t="s">
        <v>26</v>
      </c>
      <c r="G587" s="11">
        <v>37</v>
      </c>
      <c r="H587" s="12" t="s">
        <v>4466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138</v>
      </c>
      <c r="C588" s="11" t="s">
        <v>1876</v>
      </c>
      <c r="D588" s="11" t="s">
        <v>26</v>
      </c>
      <c r="E588" s="11" t="s">
        <v>512</v>
      </c>
      <c r="F588" s="11" t="s">
        <v>26</v>
      </c>
      <c r="G588" s="11">
        <v>631</v>
      </c>
      <c r="H588" s="12" t="s">
        <v>144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1877</v>
      </c>
      <c r="C589" s="11" t="s">
        <v>1878</v>
      </c>
      <c r="D589" s="11" t="s">
        <v>26</v>
      </c>
      <c r="E589" s="11" t="s">
        <v>1221</v>
      </c>
      <c r="F589" s="11" t="s">
        <v>26</v>
      </c>
      <c r="G589" s="11">
        <v>977</v>
      </c>
      <c r="H589" s="12" t="s">
        <v>166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1879</v>
      </c>
      <c r="C590" s="11" t="s">
        <v>1880</v>
      </c>
      <c r="D590" s="11" t="s">
        <v>26</v>
      </c>
      <c r="E590" s="11" t="s">
        <v>596</v>
      </c>
      <c r="F590" s="11" t="s">
        <v>26</v>
      </c>
      <c r="G590" s="11">
        <v>59480</v>
      </c>
      <c r="H590" s="12" t="s">
        <v>4444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1881</v>
      </c>
      <c r="C591" s="11" t="s">
        <v>1882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568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453</v>
      </c>
      <c r="C592" s="11" t="s">
        <v>1883</v>
      </c>
      <c r="D592" s="11" t="s">
        <v>26</v>
      </c>
      <c r="E592" s="11" t="s">
        <v>464</v>
      </c>
      <c r="F592" s="11" t="s">
        <v>26</v>
      </c>
      <c r="G592" s="11">
        <v>40</v>
      </c>
      <c r="H592" s="12" t="s">
        <v>4466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287</v>
      </c>
      <c r="C593" s="11" t="s">
        <v>1884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4468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343</v>
      </c>
      <c r="C594" s="11" t="s">
        <v>1885</v>
      </c>
      <c r="D594" s="11" t="s">
        <v>26</v>
      </c>
      <c r="E594" s="11" t="s">
        <v>244</v>
      </c>
      <c r="F594" s="11" t="s">
        <v>26</v>
      </c>
      <c r="G594" s="11">
        <v>74960</v>
      </c>
      <c r="H594" s="12" t="s">
        <v>4470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1886</v>
      </c>
      <c r="C595" s="11" t="s">
        <v>1887</v>
      </c>
      <c r="D595" s="11" t="s">
        <v>26</v>
      </c>
      <c r="E595" s="11" t="s">
        <v>183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1888</v>
      </c>
      <c r="C596" s="11" t="s">
        <v>1889</v>
      </c>
      <c r="D596" s="11" t="s">
        <v>26</v>
      </c>
      <c r="E596" s="11" t="s">
        <v>607</v>
      </c>
      <c r="F596" s="11" t="s">
        <v>26</v>
      </c>
      <c r="G596" s="11">
        <v>632</v>
      </c>
      <c r="H596" s="12" t="s">
        <v>144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1890</v>
      </c>
      <c r="C597" s="11" t="s">
        <v>1891</v>
      </c>
      <c r="D597" s="11" t="s">
        <v>26</v>
      </c>
      <c r="E597" s="11" t="s">
        <v>464</v>
      </c>
      <c r="F597" s="11" t="s">
        <v>26</v>
      </c>
      <c r="G597" s="11">
        <v>39</v>
      </c>
      <c r="H597" s="12" t="s">
        <v>4466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1892</v>
      </c>
      <c r="C598" s="11" t="s">
        <v>1893</v>
      </c>
      <c r="D598" s="11" t="s">
        <v>26</v>
      </c>
      <c r="E598" s="11" t="s">
        <v>555</v>
      </c>
      <c r="F598" s="11" t="s">
        <v>26</v>
      </c>
      <c r="G598" s="11">
        <v>69103</v>
      </c>
      <c r="H598" s="12" t="s">
        <v>4444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1894</v>
      </c>
      <c r="C599" s="11" t="s">
        <v>1895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166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1896</v>
      </c>
      <c r="C600" s="11" t="s">
        <v>1897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143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1898</v>
      </c>
      <c r="C601" s="11" t="s">
        <v>1899</v>
      </c>
      <c r="D601" s="11" t="s">
        <v>26</v>
      </c>
      <c r="E601" s="11" t="s">
        <v>532</v>
      </c>
      <c r="F601" s="11" t="s">
        <v>26</v>
      </c>
      <c r="G601" s="11">
        <v>617</v>
      </c>
      <c r="H601" s="12" t="s">
        <v>166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1900</v>
      </c>
      <c r="C602" s="11" t="s">
        <v>1901</v>
      </c>
      <c r="D602" s="11" t="s">
        <v>26</v>
      </c>
      <c r="E602" s="11" t="s">
        <v>434</v>
      </c>
      <c r="F602" s="11" t="s">
        <v>26</v>
      </c>
      <c r="G602" s="11" t="s">
        <v>26</v>
      </c>
      <c r="H602" s="12" t="s">
        <v>4443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115</v>
      </c>
      <c r="AA602" s="12" t="s">
        <v>78</v>
      </c>
    </row>
    <row r="603" spans="1:27" x14ac:dyDescent="0.25">
      <c r="A603" s="10">
        <v>45667</v>
      </c>
      <c r="B603" s="11" t="s">
        <v>1902</v>
      </c>
      <c r="C603" s="11" t="s">
        <v>1903</v>
      </c>
      <c r="D603" s="11" t="s">
        <v>26</v>
      </c>
      <c r="E603" s="11" t="s">
        <v>509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1904</v>
      </c>
      <c r="C604" s="11" t="s">
        <v>1905</v>
      </c>
      <c r="D604" s="11" t="s">
        <v>26</v>
      </c>
      <c r="E604" s="11" t="s">
        <v>374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1906</v>
      </c>
      <c r="C605" s="11" t="s">
        <v>1907</v>
      </c>
      <c r="D605" s="11" t="s">
        <v>26</v>
      </c>
      <c r="E605" s="11" t="s">
        <v>464</v>
      </c>
      <c r="F605" s="11" t="s">
        <v>26</v>
      </c>
      <c r="G605" s="11">
        <v>42</v>
      </c>
      <c r="H605" s="12" t="s">
        <v>4466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1908</v>
      </c>
      <c r="C606" s="11" t="s">
        <v>1909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4470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1910</v>
      </c>
      <c r="C607" s="11" t="s">
        <v>1911</v>
      </c>
      <c r="D607" s="11" t="s">
        <v>26</v>
      </c>
      <c r="E607" s="11" t="s">
        <v>541</v>
      </c>
      <c r="F607" s="11" t="s">
        <v>26</v>
      </c>
      <c r="G607" s="11">
        <v>978</v>
      </c>
      <c r="H607" s="12" t="s">
        <v>166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1912</v>
      </c>
      <c r="C608" s="11" t="s">
        <v>1913</v>
      </c>
      <c r="D608" s="11" t="s">
        <v>26</v>
      </c>
      <c r="E608" s="11" t="s">
        <v>234</v>
      </c>
      <c r="F608" s="11" t="s">
        <v>26</v>
      </c>
      <c r="G608" s="11">
        <v>73743</v>
      </c>
      <c r="H608" s="12" t="s">
        <v>4470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1914</v>
      </c>
      <c r="C609" s="11" t="s">
        <v>1915</v>
      </c>
      <c r="D609" s="11" t="s">
        <v>26</v>
      </c>
      <c r="E609" s="11" t="s">
        <v>99</v>
      </c>
      <c r="F609" s="11" t="s">
        <v>26</v>
      </c>
      <c r="G609" s="11">
        <v>10129</v>
      </c>
      <c r="H609" s="12" t="s">
        <v>143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711</v>
      </c>
      <c r="C610" s="11" t="s">
        <v>1916</v>
      </c>
      <c r="D610" s="11" t="s">
        <v>26</v>
      </c>
      <c r="E610" s="11" t="s">
        <v>183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1917</v>
      </c>
      <c r="C611" s="11" t="s">
        <v>1918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425</v>
      </c>
      <c r="C612" s="11" t="s">
        <v>1919</v>
      </c>
      <c r="D612" s="11" t="s">
        <v>26</v>
      </c>
      <c r="E612" s="11" t="s">
        <v>227</v>
      </c>
      <c r="F612" s="11" t="s">
        <v>26</v>
      </c>
      <c r="G612" s="11">
        <v>57842</v>
      </c>
      <c r="H612" s="12" t="s">
        <v>4444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1391</v>
      </c>
      <c r="C613" s="11" t="s">
        <v>1920</v>
      </c>
      <c r="D613" s="11" t="s">
        <v>26</v>
      </c>
      <c r="E613" s="11" t="s">
        <v>464</v>
      </c>
      <c r="F613" s="11" t="s">
        <v>26</v>
      </c>
      <c r="G613" s="11">
        <v>44</v>
      </c>
      <c r="H613" s="12" t="s">
        <v>4466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1921</v>
      </c>
      <c r="C614" s="11" t="s">
        <v>1922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143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293</v>
      </c>
      <c r="C615" s="11" t="s">
        <v>1923</v>
      </c>
      <c r="D615" s="11" t="s">
        <v>26</v>
      </c>
      <c r="E615" s="11" t="s">
        <v>573</v>
      </c>
      <c r="F615" s="11" t="s">
        <v>26</v>
      </c>
      <c r="G615" s="11">
        <v>10318</v>
      </c>
      <c r="H615" s="12" t="s">
        <v>143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417</v>
      </c>
      <c r="C616" s="11" t="s">
        <v>1924</v>
      </c>
      <c r="D616" s="11" t="s">
        <v>26</v>
      </c>
      <c r="E616" s="11" t="s">
        <v>1221</v>
      </c>
      <c r="F616" s="11" t="s">
        <v>26</v>
      </c>
      <c r="G616" s="11">
        <v>979</v>
      </c>
      <c r="H616" s="12" t="s">
        <v>166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1925</v>
      </c>
      <c r="C617" s="11" t="s">
        <v>1926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568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1927</v>
      </c>
      <c r="C618" s="11" t="s">
        <v>1928</v>
      </c>
      <c r="D618" s="11" t="s">
        <v>26</v>
      </c>
      <c r="E618" s="11" t="s">
        <v>592</v>
      </c>
      <c r="F618" s="11" t="s">
        <v>26</v>
      </c>
      <c r="G618" s="11">
        <v>4571</v>
      </c>
      <c r="H618" s="12" t="s">
        <v>4444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127</v>
      </c>
      <c r="C619" s="11" t="s">
        <v>1929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1930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753</v>
      </c>
      <c r="C620" s="11" t="s">
        <v>1931</v>
      </c>
      <c r="D620" s="11" t="s">
        <v>26</v>
      </c>
      <c r="E620" s="11" t="s">
        <v>464</v>
      </c>
      <c r="F620" s="11" t="s">
        <v>26</v>
      </c>
      <c r="G620" s="11">
        <v>43</v>
      </c>
      <c r="H620" s="12" t="s">
        <v>4466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1932</v>
      </c>
      <c r="C621" s="11" t="s">
        <v>1933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4443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1934</v>
      </c>
      <c r="C622" s="11" t="s">
        <v>1935</v>
      </c>
      <c r="D622" s="11" t="s">
        <v>26</v>
      </c>
      <c r="E622" s="11" t="s">
        <v>374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1936</v>
      </c>
      <c r="C623" s="11" t="s">
        <v>1937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1938</v>
      </c>
      <c r="C624" s="11" t="s">
        <v>1939</v>
      </c>
      <c r="D624" s="11" t="s">
        <v>26</v>
      </c>
      <c r="E624" s="11" t="s">
        <v>508</v>
      </c>
      <c r="F624" s="11" t="s">
        <v>26</v>
      </c>
      <c r="G624" s="11">
        <v>633</v>
      </c>
      <c r="H624" s="12" t="s">
        <v>144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1940</v>
      </c>
      <c r="C625" s="11" t="s">
        <v>1941</v>
      </c>
      <c r="D625" s="11" t="s">
        <v>26</v>
      </c>
      <c r="E625" s="11" t="s">
        <v>464</v>
      </c>
      <c r="F625" s="11" t="s">
        <v>26</v>
      </c>
      <c r="G625" s="11">
        <v>45</v>
      </c>
      <c r="H625" s="12" t="s">
        <v>4466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1942</v>
      </c>
      <c r="C626" s="11" t="s">
        <v>1943</v>
      </c>
      <c r="D626" s="11" t="s">
        <v>26</v>
      </c>
      <c r="E626" s="11" t="s">
        <v>512</v>
      </c>
      <c r="F626" s="11" t="s">
        <v>26</v>
      </c>
      <c r="G626" s="11">
        <v>634</v>
      </c>
      <c r="H626" s="12" t="s">
        <v>144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1944</v>
      </c>
      <c r="C627" s="11" t="s">
        <v>1945</v>
      </c>
      <c r="D627" s="11" t="s">
        <v>26</v>
      </c>
      <c r="E627" s="11" t="s">
        <v>662</v>
      </c>
      <c r="F627" s="11" t="s">
        <v>26</v>
      </c>
      <c r="G627" s="11">
        <v>635</v>
      </c>
      <c r="H627" s="12" t="s">
        <v>144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1946</v>
      </c>
      <c r="C628" s="11" t="s">
        <v>1947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143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1695</v>
      </c>
      <c r="C629" s="11" t="s">
        <v>1948</v>
      </c>
      <c r="D629" s="11" t="s">
        <v>26</v>
      </c>
      <c r="E629" s="11" t="s">
        <v>596</v>
      </c>
      <c r="F629" s="11" t="s">
        <v>26</v>
      </c>
      <c r="G629" s="11">
        <v>59481</v>
      </c>
      <c r="H629" s="12" t="s">
        <v>4444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1949</v>
      </c>
      <c r="C630" s="11" t="s">
        <v>1950</v>
      </c>
      <c r="D630" s="11" t="s">
        <v>26</v>
      </c>
      <c r="E630" s="11" t="s">
        <v>523</v>
      </c>
      <c r="F630" s="11" t="s">
        <v>26</v>
      </c>
      <c r="G630" s="11">
        <v>4366</v>
      </c>
      <c r="H630" s="12" t="s">
        <v>143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1951</v>
      </c>
      <c r="C631" s="11" t="s">
        <v>1952</v>
      </c>
      <c r="D631" s="11" t="s">
        <v>26</v>
      </c>
      <c r="E631" s="11" t="s">
        <v>100</v>
      </c>
      <c r="F631" s="11" t="s">
        <v>26</v>
      </c>
      <c r="G631" s="11">
        <v>57974</v>
      </c>
      <c r="H631" s="12" t="s">
        <v>4444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1953</v>
      </c>
      <c r="C632" s="11" t="s">
        <v>1954</v>
      </c>
      <c r="D632" s="11" t="s">
        <v>26</v>
      </c>
      <c r="E632" s="11" t="s">
        <v>243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569</v>
      </c>
      <c r="K632" s="12" t="s">
        <v>553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1955</v>
      </c>
      <c r="C633" s="11" t="s">
        <v>1956</v>
      </c>
      <c r="D633" s="11" t="s">
        <v>26</v>
      </c>
      <c r="E633" s="11" t="s">
        <v>555</v>
      </c>
      <c r="F633" s="11" t="s">
        <v>26</v>
      </c>
      <c r="G633" s="11">
        <v>69104</v>
      </c>
      <c r="H633" s="12" t="s">
        <v>4444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1957</v>
      </c>
      <c r="C634" s="11" t="s">
        <v>1958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1959</v>
      </c>
      <c r="C635" s="11" t="s">
        <v>1960</v>
      </c>
      <c r="D635" s="11" t="s">
        <v>26</v>
      </c>
      <c r="E635" s="11" t="s">
        <v>434</v>
      </c>
      <c r="F635" s="11" t="s">
        <v>26</v>
      </c>
      <c r="G635" s="11">
        <v>136</v>
      </c>
      <c r="H635" s="12" t="s">
        <v>115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1961</v>
      </c>
      <c r="C636" s="11" t="s">
        <v>1962</v>
      </c>
      <c r="D636" s="11" t="s">
        <v>26</v>
      </c>
      <c r="E636" s="11" t="s">
        <v>108</v>
      </c>
      <c r="F636" s="11" t="s">
        <v>26</v>
      </c>
      <c r="G636" s="11">
        <v>57622</v>
      </c>
      <c r="H636" s="12" t="s">
        <v>4444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1963</v>
      </c>
      <c r="C637" s="11" t="s">
        <v>1964</v>
      </c>
      <c r="D637" s="11" t="s">
        <v>26</v>
      </c>
      <c r="E637" s="11" t="s">
        <v>509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1965</v>
      </c>
      <c r="C638" s="11" t="s">
        <v>1966</v>
      </c>
      <c r="D638" s="11" t="s">
        <v>26</v>
      </c>
      <c r="E638" s="11" t="s">
        <v>374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1967</v>
      </c>
      <c r="C639" s="11" t="s">
        <v>1968</v>
      </c>
      <c r="D639" s="11" t="s">
        <v>26</v>
      </c>
      <c r="E639" s="11" t="s">
        <v>249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1969</v>
      </c>
      <c r="C640" s="11" t="s">
        <v>1970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143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1971</v>
      </c>
      <c r="C641" s="11" t="s">
        <v>1972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568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281</v>
      </c>
      <c r="C642" s="11" t="s">
        <v>1973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1974</v>
      </c>
      <c r="C643" s="11" t="s">
        <v>1975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166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260</v>
      </c>
      <c r="C644" s="11" t="s">
        <v>1976</v>
      </c>
      <c r="D644" s="11" t="s">
        <v>26</v>
      </c>
      <c r="E644" s="11" t="s">
        <v>610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1977</v>
      </c>
      <c r="C645" s="11" t="s">
        <v>1978</v>
      </c>
      <c r="D645" s="11" t="s">
        <v>26</v>
      </c>
      <c r="E645" s="11" t="s">
        <v>1221</v>
      </c>
      <c r="F645" s="11" t="s">
        <v>26</v>
      </c>
      <c r="G645" s="11">
        <v>980</v>
      </c>
      <c r="H645" s="12" t="s">
        <v>166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377</v>
      </c>
      <c r="C646" s="11" t="s">
        <v>1979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4470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200</v>
      </c>
      <c r="C647" s="11" t="s">
        <v>1980</v>
      </c>
      <c r="D647" s="11" t="s">
        <v>26</v>
      </c>
      <c r="E647" s="11" t="s">
        <v>227</v>
      </c>
      <c r="F647" s="11" t="s">
        <v>26</v>
      </c>
      <c r="G647" s="11">
        <v>57843</v>
      </c>
      <c r="H647" s="12" t="s">
        <v>4444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1981</v>
      </c>
      <c r="C648" s="11" t="s">
        <v>1982</v>
      </c>
      <c r="D648" s="11" t="s">
        <v>26</v>
      </c>
      <c r="E648" s="11" t="s">
        <v>100</v>
      </c>
      <c r="F648" s="11" t="s">
        <v>26</v>
      </c>
      <c r="G648" s="11">
        <v>57975</v>
      </c>
      <c r="H648" s="12" t="s">
        <v>4444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681</v>
      </c>
      <c r="C649" s="11" t="s">
        <v>1983</v>
      </c>
      <c r="D649" s="11" t="s">
        <v>26</v>
      </c>
      <c r="E649" s="11" t="s">
        <v>555</v>
      </c>
      <c r="F649" s="11" t="s">
        <v>26</v>
      </c>
      <c r="G649" s="11">
        <v>69105</v>
      </c>
      <c r="H649" s="12" t="s">
        <v>4444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372</v>
      </c>
      <c r="C650" s="11" t="s">
        <v>1984</v>
      </c>
      <c r="D650" s="11" t="s">
        <v>26</v>
      </c>
      <c r="E650" s="11" t="s">
        <v>577</v>
      </c>
      <c r="F650" s="11" t="s">
        <v>26</v>
      </c>
      <c r="G650" s="11" t="s">
        <v>26</v>
      </c>
      <c r="H650" s="12" t="s">
        <v>4443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144</v>
      </c>
      <c r="AA650" s="12" t="s">
        <v>78</v>
      </c>
    </row>
    <row r="651" spans="1:27" x14ac:dyDescent="0.25">
      <c r="A651" s="10">
        <v>45668</v>
      </c>
      <c r="B651" s="11" t="s">
        <v>1985</v>
      </c>
      <c r="C651" s="11" t="s">
        <v>1986</v>
      </c>
      <c r="D651" s="11" t="s">
        <v>26</v>
      </c>
      <c r="E651" s="11" t="s">
        <v>504</v>
      </c>
      <c r="F651" s="11" t="s">
        <v>26</v>
      </c>
      <c r="G651" s="11" t="s">
        <v>26</v>
      </c>
      <c r="H651" s="12" t="s">
        <v>4443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144</v>
      </c>
      <c r="AA651" s="12" t="s">
        <v>78</v>
      </c>
    </row>
    <row r="652" spans="1:27" x14ac:dyDescent="0.25">
      <c r="A652" s="10">
        <v>45668</v>
      </c>
      <c r="B652" s="11" t="s">
        <v>1987</v>
      </c>
      <c r="C652" s="11" t="s">
        <v>1988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4443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1989</v>
      </c>
      <c r="C653" s="11" t="s">
        <v>1990</v>
      </c>
      <c r="D653" s="11" t="s">
        <v>26</v>
      </c>
      <c r="E653" s="11" t="s">
        <v>187</v>
      </c>
      <c r="F653" s="11" t="s">
        <v>26</v>
      </c>
      <c r="G653" s="11" t="s">
        <v>26</v>
      </c>
      <c r="H653" s="12" t="s">
        <v>4443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144</v>
      </c>
      <c r="AA653" s="12" t="s">
        <v>78</v>
      </c>
    </row>
    <row r="654" spans="1:27" x14ac:dyDescent="0.25">
      <c r="A654" s="10">
        <v>45668</v>
      </c>
      <c r="B654" s="11" t="s">
        <v>1991</v>
      </c>
      <c r="C654" s="11" t="s">
        <v>1992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166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1993</v>
      </c>
      <c r="C655" s="11" t="s">
        <v>1994</v>
      </c>
      <c r="D655" s="11" t="s">
        <v>26</v>
      </c>
      <c r="E655" s="11" t="s">
        <v>607</v>
      </c>
      <c r="F655" s="11" t="s">
        <v>26</v>
      </c>
      <c r="G655" s="11">
        <v>636</v>
      </c>
      <c r="H655" s="12" t="s">
        <v>144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1995</v>
      </c>
      <c r="C656" s="11" t="s">
        <v>1996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4443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144</v>
      </c>
      <c r="AA656" s="12" t="s">
        <v>78</v>
      </c>
    </row>
    <row r="657" spans="1:27" x14ac:dyDescent="0.25">
      <c r="A657" s="10">
        <v>45668</v>
      </c>
      <c r="B657" s="11" t="s">
        <v>1997</v>
      </c>
      <c r="C657" s="11" t="s">
        <v>1998</v>
      </c>
      <c r="D657" s="11" t="s">
        <v>26</v>
      </c>
      <c r="E657" s="11" t="s">
        <v>99</v>
      </c>
      <c r="F657" s="11" t="s">
        <v>26</v>
      </c>
      <c r="G657" s="11" t="s">
        <v>26</v>
      </c>
      <c r="H657" s="12" t="s">
        <v>4443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143</v>
      </c>
      <c r="AA657" s="12" t="s">
        <v>78</v>
      </c>
    </row>
    <row r="658" spans="1:27" x14ac:dyDescent="0.25">
      <c r="A658" s="10">
        <v>45668</v>
      </c>
      <c r="B658" s="11" t="s">
        <v>1168</v>
      </c>
      <c r="C658" s="11" t="s">
        <v>1999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2000</v>
      </c>
      <c r="C659" s="11" t="s">
        <v>2001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4443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2002</v>
      </c>
      <c r="C660" s="11" t="s">
        <v>2003</v>
      </c>
      <c r="D660" s="11" t="s">
        <v>26</v>
      </c>
      <c r="E660" s="11" t="s">
        <v>542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2004</v>
      </c>
      <c r="C661" s="11" t="s">
        <v>2005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2006</v>
      </c>
      <c r="C662" s="11" t="s">
        <v>2007</v>
      </c>
      <c r="D662" s="11" t="s">
        <v>26</v>
      </c>
      <c r="E662" s="11" t="s">
        <v>374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2008</v>
      </c>
      <c r="C663" s="11" t="s">
        <v>2009</v>
      </c>
      <c r="D663" s="11" t="s">
        <v>26</v>
      </c>
      <c r="E663" s="11" t="s">
        <v>183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2010</v>
      </c>
      <c r="C664" s="11" t="s">
        <v>2011</v>
      </c>
      <c r="D664" s="11" t="s">
        <v>26</v>
      </c>
      <c r="E664" s="11" t="s">
        <v>249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2012</v>
      </c>
      <c r="C665" s="11" t="s">
        <v>2013</v>
      </c>
      <c r="D665" s="11" t="s">
        <v>26</v>
      </c>
      <c r="E665" s="11" t="s">
        <v>243</v>
      </c>
      <c r="F665" s="11" t="s">
        <v>26</v>
      </c>
      <c r="G665" s="11" t="s">
        <v>26</v>
      </c>
      <c r="H665" s="12" t="s">
        <v>4443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2014</v>
      </c>
      <c r="C666" s="11" t="s">
        <v>2015</v>
      </c>
      <c r="D666" s="11" t="s">
        <v>26</v>
      </c>
      <c r="E666" s="11" t="s">
        <v>573</v>
      </c>
      <c r="F666" s="11" t="s">
        <v>26</v>
      </c>
      <c r="G666" s="11" t="s">
        <v>26</v>
      </c>
      <c r="H666" s="12" t="s">
        <v>4443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143</v>
      </c>
      <c r="AA666" s="12" t="s">
        <v>78</v>
      </c>
    </row>
    <row r="667" spans="1:27" x14ac:dyDescent="0.25">
      <c r="A667" s="10">
        <v>45668</v>
      </c>
      <c r="B667" s="11" t="s">
        <v>2016</v>
      </c>
      <c r="C667" s="11" t="s">
        <v>2017</v>
      </c>
      <c r="D667" s="11" t="s">
        <v>26</v>
      </c>
      <c r="E667" s="11" t="s">
        <v>1221</v>
      </c>
      <c r="F667" s="11" t="s">
        <v>26</v>
      </c>
      <c r="G667" s="11">
        <v>981</v>
      </c>
      <c r="H667" s="12" t="s">
        <v>166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2018</v>
      </c>
      <c r="C668" s="11" t="s">
        <v>2019</v>
      </c>
      <c r="D668" s="11" t="s">
        <v>26</v>
      </c>
      <c r="E668" s="11" t="s">
        <v>523</v>
      </c>
      <c r="F668" s="11" t="s">
        <v>26</v>
      </c>
      <c r="G668" s="11" t="s">
        <v>26</v>
      </c>
      <c r="H668" s="12" t="s">
        <v>4443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143</v>
      </c>
      <c r="AA668" s="12" t="s">
        <v>78</v>
      </c>
    </row>
    <row r="669" spans="1:27" x14ac:dyDescent="0.25">
      <c r="A669" s="10">
        <v>45668</v>
      </c>
      <c r="B669" s="11" t="s">
        <v>2020</v>
      </c>
      <c r="C669" s="11" t="s">
        <v>2021</v>
      </c>
      <c r="D669" s="11" t="s">
        <v>26</v>
      </c>
      <c r="E669" s="11" t="s">
        <v>608</v>
      </c>
      <c r="F669" s="11" t="s">
        <v>26</v>
      </c>
      <c r="G669" s="11">
        <v>637</v>
      </c>
      <c r="H669" s="12" t="s">
        <v>144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2022</v>
      </c>
      <c r="C670" s="11" t="s">
        <v>2023</v>
      </c>
      <c r="D670" s="11" t="s">
        <v>26</v>
      </c>
      <c r="E670" s="11" t="s">
        <v>592</v>
      </c>
      <c r="F670" s="11" t="s">
        <v>26</v>
      </c>
      <c r="G670" s="11">
        <v>4572</v>
      </c>
      <c r="H670" s="12" t="s">
        <v>4444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2024</v>
      </c>
      <c r="C671" s="11" t="s">
        <v>2025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568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2026</v>
      </c>
      <c r="C672" s="11" t="s">
        <v>2027</v>
      </c>
      <c r="D672" s="11" t="s">
        <v>26</v>
      </c>
      <c r="E672" s="11" t="s">
        <v>233</v>
      </c>
      <c r="F672" s="11" t="s">
        <v>26</v>
      </c>
      <c r="G672" s="11">
        <v>23127</v>
      </c>
      <c r="H672" s="12" t="s">
        <v>568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479</v>
      </c>
      <c r="C673" s="11" t="s">
        <v>2028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4470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2029</v>
      </c>
      <c r="C674" s="11" t="s">
        <v>2030</v>
      </c>
      <c r="D674" s="11" t="s">
        <v>26</v>
      </c>
      <c r="E674" s="11" t="s">
        <v>596</v>
      </c>
      <c r="F674" s="11" t="s">
        <v>26</v>
      </c>
      <c r="G674" s="11">
        <v>59482</v>
      </c>
      <c r="H674" s="12" t="s">
        <v>4444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2031</v>
      </c>
      <c r="C675" s="11" t="s">
        <v>2032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143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2033</v>
      </c>
      <c r="C676" s="11" t="s">
        <v>2034</v>
      </c>
      <c r="D676" s="11" t="s">
        <v>26</v>
      </c>
      <c r="E676" s="11" t="s">
        <v>512</v>
      </c>
      <c r="F676" s="11" t="s">
        <v>26</v>
      </c>
      <c r="G676" s="11">
        <v>638</v>
      </c>
      <c r="H676" s="12" t="s">
        <v>144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727</v>
      </c>
      <c r="C677" s="11" t="s">
        <v>2035</v>
      </c>
      <c r="D677" s="11" t="s">
        <v>26</v>
      </c>
      <c r="E677" s="11" t="s">
        <v>99</v>
      </c>
      <c r="F677" s="11" t="s">
        <v>26</v>
      </c>
      <c r="G677" s="11">
        <v>10130</v>
      </c>
      <c r="H677" s="12" t="s">
        <v>143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2036</v>
      </c>
      <c r="C678" s="11" t="s">
        <v>2037</v>
      </c>
      <c r="D678" s="11" t="s">
        <v>26</v>
      </c>
      <c r="E678" s="11" t="s">
        <v>662</v>
      </c>
      <c r="F678" s="11" t="s">
        <v>26</v>
      </c>
      <c r="G678" s="11">
        <v>639</v>
      </c>
      <c r="H678" s="12" t="s">
        <v>144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401</v>
      </c>
      <c r="C679" s="11" t="s">
        <v>2038</v>
      </c>
      <c r="D679" s="11" t="s">
        <v>26</v>
      </c>
      <c r="E679" s="11" t="s">
        <v>183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197</v>
      </c>
      <c r="C680" s="11" t="s">
        <v>2039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569</v>
      </c>
      <c r="K680" s="12" t="s">
        <v>553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2040</v>
      </c>
      <c r="C681" s="11" t="s">
        <v>2041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2042</v>
      </c>
      <c r="C682" s="11" t="s">
        <v>2043</v>
      </c>
      <c r="D682" s="11" t="s">
        <v>26</v>
      </c>
      <c r="E682" s="11" t="s">
        <v>607</v>
      </c>
      <c r="F682" s="11" t="s">
        <v>26</v>
      </c>
      <c r="G682" s="11">
        <v>640</v>
      </c>
      <c r="H682" s="12" t="s">
        <v>144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2044</v>
      </c>
      <c r="C683" s="11" t="s">
        <v>2045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4444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254</v>
      </c>
      <c r="C684" s="11" t="s">
        <v>2046</v>
      </c>
      <c r="D684" s="11" t="s">
        <v>26</v>
      </c>
      <c r="E684" s="11" t="s">
        <v>499</v>
      </c>
      <c r="F684" s="11" t="s">
        <v>26</v>
      </c>
      <c r="G684" s="11">
        <v>79741</v>
      </c>
      <c r="H684" s="12" t="s">
        <v>4470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2047</v>
      </c>
      <c r="C685" s="11" t="s">
        <v>2048</v>
      </c>
      <c r="D685" s="11" t="s">
        <v>26</v>
      </c>
      <c r="E685" s="11" t="s">
        <v>555</v>
      </c>
      <c r="F685" s="11" t="s">
        <v>26</v>
      </c>
      <c r="G685" s="11">
        <v>69106</v>
      </c>
      <c r="H685" s="12" t="s">
        <v>4444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742</v>
      </c>
      <c r="C686" s="11" t="s">
        <v>2049</v>
      </c>
      <c r="D686" s="11" t="s">
        <v>26</v>
      </c>
      <c r="E686" s="11" t="s">
        <v>489</v>
      </c>
      <c r="F686" s="11" t="s">
        <v>26</v>
      </c>
      <c r="G686" s="11">
        <v>72874</v>
      </c>
      <c r="H686" s="12" t="s">
        <v>4470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2050</v>
      </c>
      <c r="C687" s="11" t="s">
        <v>2051</v>
      </c>
      <c r="D687" s="11" t="s">
        <v>26</v>
      </c>
      <c r="E687" s="11" t="s">
        <v>227</v>
      </c>
      <c r="F687" s="11" t="s">
        <v>26</v>
      </c>
      <c r="G687" s="11">
        <v>57844</v>
      </c>
      <c r="H687" s="12" t="s">
        <v>4444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2052</v>
      </c>
      <c r="C688" s="11" t="s">
        <v>2053</v>
      </c>
      <c r="D688" s="11" t="s">
        <v>26</v>
      </c>
      <c r="E688" s="11" t="s">
        <v>2054</v>
      </c>
      <c r="F688" s="11" t="s">
        <v>26</v>
      </c>
      <c r="G688" s="11">
        <v>137</v>
      </c>
      <c r="H688" s="12" t="s">
        <v>115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2055</v>
      </c>
      <c r="C689" s="11" t="s">
        <v>2056</v>
      </c>
      <c r="D689" s="11" t="s">
        <v>26</v>
      </c>
      <c r="E689" s="11" t="s">
        <v>2057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2058</v>
      </c>
      <c r="C690" s="11" t="s">
        <v>2059</v>
      </c>
      <c r="D690" s="11" t="s">
        <v>26</v>
      </c>
      <c r="E690" s="11" t="s">
        <v>2060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2061</v>
      </c>
      <c r="C691" s="11" t="s">
        <v>2062</v>
      </c>
      <c r="D691" s="11" t="s">
        <v>26</v>
      </c>
      <c r="E691" s="11" t="s">
        <v>565</v>
      </c>
      <c r="F691" s="11" t="s">
        <v>26</v>
      </c>
      <c r="G691" s="11">
        <v>622</v>
      </c>
      <c r="H691" s="12" t="s">
        <v>166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2063</v>
      </c>
      <c r="C692" s="11" t="s">
        <v>2064</v>
      </c>
      <c r="D692" s="11" t="s">
        <v>26</v>
      </c>
      <c r="E692" s="11" t="s">
        <v>2065</v>
      </c>
      <c r="F692" s="11" t="s">
        <v>26</v>
      </c>
      <c r="G692" s="11">
        <v>73970</v>
      </c>
      <c r="H692" s="12" t="s">
        <v>4470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2066</v>
      </c>
      <c r="C693" s="11" t="s">
        <v>2067</v>
      </c>
      <c r="D693" s="11" t="s">
        <v>26</v>
      </c>
      <c r="E693" s="11" t="s">
        <v>2068</v>
      </c>
      <c r="F693" s="11" t="s">
        <v>26</v>
      </c>
      <c r="G693" s="11">
        <v>641</v>
      </c>
      <c r="H693" s="12" t="s">
        <v>144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2069</v>
      </c>
      <c r="C694" s="11" t="s">
        <v>2070</v>
      </c>
      <c r="D694" s="11" t="s">
        <v>26</v>
      </c>
      <c r="E694" s="11" t="s">
        <v>2071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569</v>
      </c>
      <c r="K694" s="12" t="s">
        <v>553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2072</v>
      </c>
      <c r="C695" s="11" t="s">
        <v>2073</v>
      </c>
      <c r="D695" s="11" t="s">
        <v>26</v>
      </c>
      <c r="E695" s="11" t="s">
        <v>2074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2075</v>
      </c>
      <c r="C696" s="11" t="s">
        <v>2076</v>
      </c>
      <c r="D696" s="11" t="s">
        <v>26</v>
      </c>
      <c r="E696" s="11" t="s">
        <v>2077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569</v>
      </c>
      <c r="K696" s="12" t="s">
        <v>553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2078</v>
      </c>
      <c r="C697" s="11" t="s">
        <v>2079</v>
      </c>
      <c r="D697" s="11" t="s">
        <v>26</v>
      </c>
      <c r="E697" s="11" t="s">
        <v>544</v>
      </c>
      <c r="F697" s="11" t="s">
        <v>26</v>
      </c>
      <c r="G697" s="11">
        <v>4367</v>
      </c>
      <c r="H697" s="12" t="s">
        <v>143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356</v>
      </c>
      <c r="C698" s="11" t="s">
        <v>2080</v>
      </c>
      <c r="D698" s="11" t="s">
        <v>26</v>
      </c>
      <c r="E698" s="11" t="s">
        <v>194</v>
      </c>
      <c r="F698" s="11" t="s">
        <v>26</v>
      </c>
      <c r="G698" s="11">
        <v>642</v>
      </c>
      <c r="H698" s="12" t="s">
        <v>144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2081</v>
      </c>
      <c r="C699" s="11" t="s">
        <v>2082</v>
      </c>
      <c r="D699" s="11" t="s">
        <v>26</v>
      </c>
      <c r="E699" s="11" t="s">
        <v>593</v>
      </c>
      <c r="F699" s="11" t="s">
        <v>26</v>
      </c>
      <c r="G699" s="11">
        <v>10319</v>
      </c>
      <c r="H699" s="12" t="s">
        <v>143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2083</v>
      </c>
      <c r="C700" s="11" t="s">
        <v>2084</v>
      </c>
      <c r="D700" s="11" t="s">
        <v>26</v>
      </c>
      <c r="E700" s="11" t="s">
        <v>2085</v>
      </c>
      <c r="F700" s="11" t="s">
        <v>26</v>
      </c>
      <c r="G700" s="11">
        <v>42006</v>
      </c>
      <c r="H700" s="12" t="s">
        <v>568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1369</v>
      </c>
      <c r="C701" s="11" t="s">
        <v>2086</v>
      </c>
      <c r="D701" s="11" t="s">
        <v>26</v>
      </c>
      <c r="E701" s="11" t="s">
        <v>2087</v>
      </c>
      <c r="F701" s="11" t="s">
        <v>26</v>
      </c>
      <c r="G701" s="11">
        <v>982</v>
      </c>
      <c r="H701" s="12" t="s">
        <v>166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2088</v>
      </c>
      <c r="C702" s="11" t="s">
        <v>2089</v>
      </c>
      <c r="D702" s="11" t="s">
        <v>26</v>
      </c>
      <c r="E702" s="11" t="s">
        <v>2090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439</v>
      </c>
      <c r="C703" s="11" t="s">
        <v>2091</v>
      </c>
      <c r="D703" s="11" t="s">
        <v>26</v>
      </c>
      <c r="E703" s="11" t="s">
        <v>100</v>
      </c>
      <c r="F703" s="11" t="s">
        <v>26</v>
      </c>
      <c r="G703" s="11">
        <v>57977</v>
      </c>
      <c r="H703" s="12" t="s">
        <v>4444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2092</v>
      </c>
      <c r="C704" s="11" t="s">
        <v>2093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4470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2094</v>
      </c>
      <c r="C705" s="11" t="s">
        <v>2095</v>
      </c>
      <c r="D705" s="11" t="s">
        <v>26</v>
      </c>
      <c r="E705" s="11" t="s">
        <v>434</v>
      </c>
      <c r="F705" s="11" t="s">
        <v>26</v>
      </c>
      <c r="G705" s="11" t="s">
        <v>26</v>
      </c>
      <c r="H705" s="12" t="s">
        <v>4443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115</v>
      </c>
      <c r="AA705" s="12" t="s">
        <v>78</v>
      </c>
    </row>
    <row r="706" spans="1:27" x14ac:dyDescent="0.25">
      <c r="A706" s="10">
        <v>45670</v>
      </c>
      <c r="B706" s="11" t="s">
        <v>2096</v>
      </c>
      <c r="C706" s="11" t="s">
        <v>2097</v>
      </c>
      <c r="D706" s="11" t="s">
        <v>26</v>
      </c>
      <c r="E706" s="11" t="s">
        <v>555</v>
      </c>
      <c r="F706" s="11" t="s">
        <v>26</v>
      </c>
      <c r="G706" s="11">
        <v>69107</v>
      </c>
      <c r="H706" s="12" t="s">
        <v>4444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2098</v>
      </c>
      <c r="C707" s="11" t="s">
        <v>2099</v>
      </c>
      <c r="D707" s="11" t="s">
        <v>26</v>
      </c>
      <c r="E707" s="11" t="s">
        <v>101</v>
      </c>
      <c r="F707" s="11" t="s">
        <v>26</v>
      </c>
      <c r="G707" s="11">
        <v>21707</v>
      </c>
      <c r="H707" s="12" t="s">
        <v>4470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2100</v>
      </c>
      <c r="C708" s="11" t="s">
        <v>2101</v>
      </c>
      <c r="D708" s="11" t="s">
        <v>26</v>
      </c>
      <c r="E708" s="11" t="s">
        <v>509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2102</v>
      </c>
      <c r="C709" s="11" t="s">
        <v>2103</v>
      </c>
      <c r="D709" s="11" t="s">
        <v>26</v>
      </c>
      <c r="E709" s="11" t="s">
        <v>504</v>
      </c>
      <c r="F709" s="11" t="s">
        <v>26</v>
      </c>
      <c r="G709" s="11">
        <v>643</v>
      </c>
      <c r="H709" s="12" t="s">
        <v>144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2104</v>
      </c>
      <c r="C710" s="11" t="s">
        <v>2105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4443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2106</v>
      </c>
      <c r="C711" s="11" t="s">
        <v>2107</v>
      </c>
      <c r="D711" s="11" t="s">
        <v>26</v>
      </c>
      <c r="E711" s="11" t="s">
        <v>187</v>
      </c>
      <c r="F711" s="11" t="s">
        <v>26</v>
      </c>
      <c r="G711" s="11" t="s">
        <v>26</v>
      </c>
      <c r="H711" s="12" t="s">
        <v>4443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144</v>
      </c>
      <c r="AA711" s="12" t="s">
        <v>78</v>
      </c>
    </row>
    <row r="712" spans="1:27" x14ac:dyDescent="0.25">
      <c r="A712" s="10">
        <v>45670</v>
      </c>
      <c r="B712" s="11" t="s">
        <v>2108</v>
      </c>
      <c r="C712" s="11" t="s">
        <v>2109</v>
      </c>
      <c r="D712" s="11" t="s">
        <v>26</v>
      </c>
      <c r="E712" s="11" t="s">
        <v>183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2110</v>
      </c>
      <c r="C713" s="11" t="s">
        <v>2111</v>
      </c>
      <c r="D713" s="11" t="s">
        <v>26</v>
      </c>
      <c r="E713" s="11" t="s">
        <v>608</v>
      </c>
      <c r="F713" s="11" t="s">
        <v>26</v>
      </c>
      <c r="G713" s="11" t="s">
        <v>26</v>
      </c>
      <c r="H713" s="12" t="s">
        <v>4443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144</v>
      </c>
      <c r="AA713" s="12" t="s">
        <v>78</v>
      </c>
    </row>
    <row r="714" spans="1:27" x14ac:dyDescent="0.25">
      <c r="A714" s="10">
        <v>45670</v>
      </c>
      <c r="B714" s="11" t="s">
        <v>500</v>
      </c>
      <c r="C714" s="11" t="s">
        <v>2112</v>
      </c>
      <c r="D714" s="11" t="s">
        <v>26</v>
      </c>
      <c r="E714" s="11" t="s">
        <v>449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521</v>
      </c>
      <c r="C715" s="11" t="s">
        <v>2113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4443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144</v>
      </c>
      <c r="AA715" s="12" t="s">
        <v>78</v>
      </c>
    </row>
    <row r="716" spans="1:27" x14ac:dyDescent="0.25">
      <c r="A716" s="10">
        <v>45670</v>
      </c>
      <c r="B716" s="11" t="s">
        <v>515</v>
      </c>
      <c r="C716" s="11" t="s">
        <v>2114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143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2115</v>
      </c>
      <c r="C717" s="11" t="s">
        <v>2116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655</v>
      </c>
      <c r="C718" s="11" t="s">
        <v>2117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2118</v>
      </c>
      <c r="C719" s="11" t="s">
        <v>2119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4443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143</v>
      </c>
      <c r="AA719" s="12" t="s">
        <v>78</v>
      </c>
    </row>
    <row r="720" spans="1:27" x14ac:dyDescent="0.25">
      <c r="A720" s="10">
        <v>45670</v>
      </c>
      <c r="B720" s="11" t="s">
        <v>506</v>
      </c>
      <c r="C720" s="11" t="s">
        <v>2120</v>
      </c>
      <c r="D720" s="11" t="s">
        <v>26</v>
      </c>
      <c r="E720" s="11" t="s">
        <v>227</v>
      </c>
      <c r="F720" s="11" t="s">
        <v>26</v>
      </c>
      <c r="G720" s="11">
        <v>57845</v>
      </c>
      <c r="H720" s="12" t="s">
        <v>4444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611</v>
      </c>
      <c r="C721" s="11" t="s">
        <v>2121</v>
      </c>
      <c r="D721" s="11" t="s">
        <v>26</v>
      </c>
      <c r="E721" s="11" t="s">
        <v>523</v>
      </c>
      <c r="F721" s="11" t="s">
        <v>26</v>
      </c>
      <c r="G721" s="11" t="s">
        <v>26</v>
      </c>
      <c r="H721" s="12" t="s">
        <v>4443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143</v>
      </c>
      <c r="AA721" s="12" t="s">
        <v>78</v>
      </c>
    </row>
    <row r="722" spans="1:27" x14ac:dyDescent="0.25">
      <c r="A722" s="10">
        <v>45670</v>
      </c>
      <c r="B722" s="11" t="s">
        <v>2122</v>
      </c>
      <c r="C722" s="11" t="s">
        <v>2123</v>
      </c>
      <c r="D722" s="11" t="s">
        <v>26</v>
      </c>
      <c r="E722" s="11" t="s">
        <v>592</v>
      </c>
      <c r="F722" s="11" t="s">
        <v>26</v>
      </c>
      <c r="G722" s="11">
        <v>4574</v>
      </c>
      <c r="H722" s="12" t="s">
        <v>4444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2124</v>
      </c>
      <c r="C723" s="11" t="s">
        <v>2125</v>
      </c>
      <c r="D723" s="11" t="s">
        <v>26</v>
      </c>
      <c r="E723" s="11" t="s">
        <v>243</v>
      </c>
      <c r="F723" s="11" t="s">
        <v>26</v>
      </c>
      <c r="G723" s="11" t="s">
        <v>26</v>
      </c>
      <c r="H723" s="12" t="s">
        <v>4443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507</v>
      </c>
      <c r="C724" s="11" t="s">
        <v>2126</v>
      </c>
      <c r="D724" s="11" t="s">
        <v>26</v>
      </c>
      <c r="E724" s="11" t="s">
        <v>374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2127</v>
      </c>
      <c r="C725" s="11" t="s">
        <v>2128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656</v>
      </c>
      <c r="C726" s="11" t="s">
        <v>2129</v>
      </c>
      <c r="D726" s="11" t="s">
        <v>26</v>
      </c>
      <c r="E726" s="11" t="s">
        <v>2130</v>
      </c>
      <c r="F726" s="11" t="s">
        <v>26</v>
      </c>
      <c r="G726" s="11" t="s">
        <v>26</v>
      </c>
      <c r="H726" s="12" t="s">
        <v>4443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143</v>
      </c>
      <c r="AA726" s="12" t="s">
        <v>78</v>
      </c>
    </row>
    <row r="727" spans="1:27" x14ac:dyDescent="0.25">
      <c r="A727" s="10">
        <v>45670</v>
      </c>
      <c r="B727" s="11" t="s">
        <v>603</v>
      </c>
      <c r="C727" s="11" t="s">
        <v>2131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1930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2132</v>
      </c>
      <c r="C728" s="11" t="s">
        <v>2133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166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2134</v>
      </c>
      <c r="C729" s="11" t="s">
        <v>2135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2136</v>
      </c>
      <c r="C730" s="11" t="s">
        <v>2137</v>
      </c>
      <c r="D730" s="11" t="s">
        <v>26</v>
      </c>
      <c r="E730" s="11" t="s">
        <v>1221</v>
      </c>
      <c r="F730" s="11" t="s">
        <v>26</v>
      </c>
      <c r="G730" s="11">
        <v>983</v>
      </c>
      <c r="H730" s="12" t="s">
        <v>166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583</v>
      </c>
      <c r="C731" s="11" t="s">
        <v>2138</v>
      </c>
      <c r="D731" s="11" t="s">
        <v>26</v>
      </c>
      <c r="E731" s="11" t="s">
        <v>607</v>
      </c>
      <c r="F731" s="11" t="s">
        <v>26</v>
      </c>
      <c r="G731" s="11">
        <v>644</v>
      </c>
      <c r="H731" s="12" t="s">
        <v>144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2139</v>
      </c>
      <c r="C732" s="11" t="s">
        <v>2140</v>
      </c>
      <c r="D732" s="11" t="s">
        <v>26</v>
      </c>
      <c r="E732" s="11" t="s">
        <v>435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2141</v>
      </c>
      <c r="C733" s="11" t="s">
        <v>2142</v>
      </c>
      <c r="D733" s="11" t="s">
        <v>26</v>
      </c>
      <c r="E733" s="11" t="s">
        <v>183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2143</v>
      </c>
      <c r="C734" s="11" t="s">
        <v>2144</v>
      </c>
      <c r="D734" s="11" t="s">
        <v>26</v>
      </c>
      <c r="E734" s="11" t="s">
        <v>564</v>
      </c>
      <c r="F734" s="11" t="s">
        <v>26</v>
      </c>
      <c r="G734" s="11">
        <v>111993</v>
      </c>
      <c r="H734" s="12" t="s">
        <v>4468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2145</v>
      </c>
      <c r="C735" s="11" t="s">
        <v>2146</v>
      </c>
      <c r="D735" s="11" t="s">
        <v>26</v>
      </c>
      <c r="E735" s="11" t="s">
        <v>2147</v>
      </c>
      <c r="F735" s="11" t="s">
        <v>26</v>
      </c>
      <c r="G735" s="11">
        <v>111986</v>
      </c>
      <c r="H735" s="12" t="s">
        <v>4468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588</v>
      </c>
      <c r="C736" s="11" t="s">
        <v>2148</v>
      </c>
      <c r="D736" s="11" t="s">
        <v>26</v>
      </c>
      <c r="E736" s="11" t="s">
        <v>434</v>
      </c>
      <c r="F736" s="11" t="s">
        <v>26</v>
      </c>
      <c r="G736" s="11" t="s">
        <v>26</v>
      </c>
      <c r="H736" s="12" t="s">
        <v>4443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115</v>
      </c>
      <c r="AA736" s="12" t="s">
        <v>78</v>
      </c>
    </row>
    <row r="737" spans="1:27" x14ac:dyDescent="0.25">
      <c r="A737" s="10">
        <v>45670</v>
      </c>
      <c r="B737" s="11" t="s">
        <v>601</v>
      </c>
      <c r="C737" s="11" t="s">
        <v>2149</v>
      </c>
      <c r="D737" s="11" t="s">
        <v>26</v>
      </c>
      <c r="E737" s="11" t="s">
        <v>512</v>
      </c>
      <c r="F737" s="11" t="s">
        <v>26</v>
      </c>
      <c r="G737" s="11">
        <v>645</v>
      </c>
      <c r="H737" s="12" t="s">
        <v>144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2150</v>
      </c>
      <c r="C738" s="11" t="s">
        <v>2151</v>
      </c>
      <c r="D738" s="11" t="s">
        <v>26</v>
      </c>
      <c r="E738" s="11" t="s">
        <v>374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2152</v>
      </c>
      <c r="C739" s="11" t="s">
        <v>2153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149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546</v>
      </c>
      <c r="C740" s="11" t="s">
        <v>2154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539</v>
      </c>
      <c r="C741" s="11" t="s">
        <v>2155</v>
      </c>
      <c r="D741" s="11" t="s">
        <v>26</v>
      </c>
      <c r="E741" s="11" t="s">
        <v>101</v>
      </c>
      <c r="F741" s="11" t="s">
        <v>26</v>
      </c>
      <c r="G741" s="11">
        <v>21708</v>
      </c>
      <c r="H741" s="12" t="s">
        <v>4470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2156</v>
      </c>
      <c r="C742" s="11" t="s">
        <v>2157</v>
      </c>
      <c r="D742" s="11" t="s">
        <v>26</v>
      </c>
      <c r="E742" s="11" t="s">
        <v>596</v>
      </c>
      <c r="F742" s="11" t="s">
        <v>26</v>
      </c>
      <c r="G742" s="11">
        <v>59483</v>
      </c>
      <c r="H742" s="12" t="s">
        <v>4444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2158</v>
      </c>
      <c r="C743" s="11" t="s">
        <v>2159</v>
      </c>
      <c r="D743" s="11" t="s">
        <v>26</v>
      </c>
      <c r="E743" s="11" t="s">
        <v>523</v>
      </c>
      <c r="F743" s="11" t="s">
        <v>26</v>
      </c>
      <c r="G743" s="11">
        <v>4368</v>
      </c>
      <c r="H743" s="12" t="s">
        <v>143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2160</v>
      </c>
      <c r="C744" s="11" t="s">
        <v>2161</v>
      </c>
      <c r="D744" s="11" t="s">
        <v>26</v>
      </c>
      <c r="E744" s="11" t="s">
        <v>573</v>
      </c>
      <c r="F744" s="11" t="s">
        <v>26</v>
      </c>
      <c r="G744" s="11">
        <v>10320</v>
      </c>
      <c r="H744" s="12" t="s">
        <v>143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2162</v>
      </c>
      <c r="C745" s="11" t="s">
        <v>2163</v>
      </c>
      <c r="D745" s="11" t="s">
        <v>26</v>
      </c>
      <c r="E745" s="11" t="s">
        <v>114</v>
      </c>
      <c r="F745" s="11" t="s">
        <v>26</v>
      </c>
      <c r="G745" s="11">
        <v>1</v>
      </c>
      <c r="H745" s="12" t="s">
        <v>115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2164</v>
      </c>
      <c r="C746" s="11" t="s">
        <v>2165</v>
      </c>
      <c r="D746" s="11" t="s">
        <v>26</v>
      </c>
      <c r="E746" s="11" t="s">
        <v>555</v>
      </c>
      <c r="F746" s="11" t="s">
        <v>26</v>
      </c>
      <c r="G746" s="11">
        <v>69108</v>
      </c>
      <c r="H746" s="12" t="s">
        <v>4444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505</v>
      </c>
      <c r="C747" s="11" t="s">
        <v>2166</v>
      </c>
      <c r="D747" s="11" t="s">
        <v>26</v>
      </c>
      <c r="E747" s="11" t="s">
        <v>99</v>
      </c>
      <c r="F747" s="11" t="s">
        <v>26</v>
      </c>
      <c r="G747" s="11">
        <v>10133</v>
      </c>
      <c r="H747" s="12" t="s">
        <v>143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2167</v>
      </c>
      <c r="C748" s="11" t="s">
        <v>2168</v>
      </c>
      <c r="D748" s="11" t="s">
        <v>26</v>
      </c>
      <c r="E748" s="11" t="s">
        <v>662</v>
      </c>
      <c r="F748" s="11" t="s">
        <v>26</v>
      </c>
      <c r="G748" s="11">
        <v>646</v>
      </c>
      <c r="H748" s="12" t="s">
        <v>144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584</v>
      </c>
      <c r="C749" s="11" t="s">
        <v>2169</v>
      </c>
      <c r="D749" s="11" t="s">
        <v>26</v>
      </c>
      <c r="E749" s="11" t="s">
        <v>2130</v>
      </c>
      <c r="F749" s="11" t="s">
        <v>26</v>
      </c>
      <c r="G749" s="11">
        <v>10292</v>
      </c>
      <c r="H749" s="12" t="s">
        <v>143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2170</v>
      </c>
      <c r="C750" s="11" t="s">
        <v>2171</v>
      </c>
      <c r="D750" s="11" t="s">
        <v>26</v>
      </c>
      <c r="E750" s="11" t="s">
        <v>509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582</v>
      </c>
      <c r="C751" s="11" t="s">
        <v>2172</v>
      </c>
      <c r="D751" s="11" t="s">
        <v>26</v>
      </c>
      <c r="E751" s="11" t="s">
        <v>183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2173</v>
      </c>
      <c r="C752" s="11" t="s">
        <v>2174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2175</v>
      </c>
      <c r="C753" s="11" t="s">
        <v>2176</v>
      </c>
      <c r="D753" s="11" t="s">
        <v>26</v>
      </c>
      <c r="E753" s="11" t="s">
        <v>374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604</v>
      </c>
      <c r="C754" s="11" t="s">
        <v>2177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590</v>
      </c>
      <c r="C755" s="11" t="s">
        <v>2178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149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2179</v>
      </c>
      <c r="C756" s="11" t="s">
        <v>2180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166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2181</v>
      </c>
      <c r="C757" s="11" t="s">
        <v>2182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2183</v>
      </c>
      <c r="C758" s="11" t="s">
        <v>2184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602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2185</v>
      </c>
      <c r="C759" s="11" t="s">
        <v>2186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143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2187</v>
      </c>
      <c r="C760" s="11" t="s">
        <v>2188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4444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2189</v>
      </c>
      <c r="C761" s="11" t="s">
        <v>2190</v>
      </c>
      <c r="D761" s="11" t="s">
        <v>26</v>
      </c>
      <c r="E761" s="11" t="s">
        <v>434</v>
      </c>
      <c r="F761" s="11" t="s">
        <v>26</v>
      </c>
      <c r="G761" s="11">
        <v>138</v>
      </c>
      <c r="H761" s="12" t="s">
        <v>115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2191</v>
      </c>
      <c r="C762" s="11" t="s">
        <v>2192</v>
      </c>
      <c r="D762" s="11" t="s">
        <v>26</v>
      </c>
      <c r="E762" s="11" t="s">
        <v>504</v>
      </c>
      <c r="F762" s="11" t="s">
        <v>26</v>
      </c>
      <c r="G762" s="11">
        <v>647</v>
      </c>
      <c r="H762" s="12" t="s">
        <v>144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2193</v>
      </c>
      <c r="C763" s="11" t="s">
        <v>2194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510</v>
      </c>
      <c r="C764" s="11" t="s">
        <v>2195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594</v>
      </c>
      <c r="C765" s="11" t="s">
        <v>2196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602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2197</v>
      </c>
      <c r="C766" s="11" t="s">
        <v>2198</v>
      </c>
      <c r="D766" s="11" t="s">
        <v>26</v>
      </c>
      <c r="E766" s="11" t="s">
        <v>227</v>
      </c>
      <c r="F766" s="11" t="s">
        <v>26</v>
      </c>
      <c r="G766" s="11">
        <v>57846</v>
      </c>
      <c r="H766" s="12" t="s">
        <v>4444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2199</v>
      </c>
      <c r="C767" s="11" t="s">
        <v>2200</v>
      </c>
      <c r="D767" s="11" t="s">
        <v>26</v>
      </c>
      <c r="E767" s="11" t="s">
        <v>183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2201</v>
      </c>
      <c r="C768" s="11" t="s">
        <v>2202</v>
      </c>
      <c r="D768" s="11" t="s">
        <v>26</v>
      </c>
      <c r="E768" s="11" t="s">
        <v>489</v>
      </c>
      <c r="F768" s="11" t="s">
        <v>26</v>
      </c>
      <c r="G768" s="11">
        <v>72877</v>
      </c>
      <c r="H768" s="12" t="s">
        <v>4470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2203</v>
      </c>
      <c r="C769" s="11" t="s">
        <v>2204</v>
      </c>
      <c r="D769" s="11" t="s">
        <v>26</v>
      </c>
      <c r="E769" s="11" t="s">
        <v>2205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2206</v>
      </c>
      <c r="C770" s="11" t="s">
        <v>2207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4468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2208</v>
      </c>
      <c r="C771" s="11" t="s">
        <v>2209</v>
      </c>
      <c r="D771" s="11" t="s">
        <v>26</v>
      </c>
      <c r="E771" s="11" t="s">
        <v>374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2210</v>
      </c>
      <c r="C772" s="11" t="s">
        <v>2211</v>
      </c>
      <c r="D772" s="11" t="s">
        <v>26</v>
      </c>
      <c r="E772" s="11" t="s">
        <v>99</v>
      </c>
      <c r="F772" s="11" t="s">
        <v>26</v>
      </c>
      <c r="G772" s="11">
        <v>10134</v>
      </c>
      <c r="H772" s="12" t="s">
        <v>143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2212</v>
      </c>
      <c r="C773" s="11" t="s">
        <v>2213</v>
      </c>
      <c r="D773" s="11" t="s">
        <v>26</v>
      </c>
      <c r="E773" s="11" t="s">
        <v>98</v>
      </c>
      <c r="F773" s="11" t="s">
        <v>26</v>
      </c>
      <c r="G773" s="11">
        <v>5446</v>
      </c>
      <c r="H773" s="12" t="s">
        <v>4469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2214</v>
      </c>
      <c r="C774" s="11" t="s">
        <v>2215</v>
      </c>
      <c r="D774" s="11" t="s">
        <v>26</v>
      </c>
      <c r="E774" s="11" t="s">
        <v>573</v>
      </c>
      <c r="F774" s="11" t="s">
        <v>26</v>
      </c>
      <c r="G774" s="11">
        <v>10321</v>
      </c>
      <c r="H774" s="12" t="s">
        <v>143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2216</v>
      </c>
      <c r="C775" s="11" t="s">
        <v>2217</v>
      </c>
      <c r="D775" s="11" t="s">
        <v>26</v>
      </c>
      <c r="E775" s="11" t="s">
        <v>577</v>
      </c>
      <c r="F775" s="11" t="s">
        <v>26</v>
      </c>
      <c r="G775" s="11">
        <v>648</v>
      </c>
      <c r="H775" s="12" t="s">
        <v>144</v>
      </c>
      <c r="I775" s="12" t="s">
        <v>55</v>
      </c>
      <c r="J775" s="12" t="s">
        <v>569</v>
      </c>
      <c r="K775" s="12" t="s">
        <v>553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2218</v>
      </c>
      <c r="C776" s="11" t="s">
        <v>2219</v>
      </c>
      <c r="D776" s="11" t="s">
        <v>26</v>
      </c>
      <c r="E776" s="11" t="s">
        <v>2130</v>
      </c>
      <c r="F776" s="11" t="s">
        <v>26</v>
      </c>
      <c r="G776" s="11">
        <v>10135</v>
      </c>
      <c r="H776" s="12" t="s">
        <v>143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2220</v>
      </c>
      <c r="C777" s="11" t="s">
        <v>2221</v>
      </c>
      <c r="D777" s="11" t="s">
        <v>26</v>
      </c>
      <c r="E777" s="11" t="s">
        <v>493</v>
      </c>
      <c r="F777" s="11" t="s">
        <v>26</v>
      </c>
      <c r="G777" s="11">
        <v>77540</v>
      </c>
      <c r="H777" s="12" t="s">
        <v>4470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2222</v>
      </c>
      <c r="C778" s="11" t="s">
        <v>2223</v>
      </c>
      <c r="D778" s="11" t="s">
        <v>26</v>
      </c>
      <c r="E778" s="11" t="s">
        <v>607</v>
      </c>
      <c r="F778" s="11" t="s">
        <v>26</v>
      </c>
      <c r="G778" s="11">
        <v>649</v>
      </c>
      <c r="H778" s="12" t="s">
        <v>144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2224</v>
      </c>
      <c r="C779" s="11" t="s">
        <v>2225</v>
      </c>
      <c r="D779" s="11" t="s">
        <v>26</v>
      </c>
      <c r="E779" s="11" t="s">
        <v>592</v>
      </c>
      <c r="F779" s="11" t="s">
        <v>26</v>
      </c>
      <c r="G779" s="11">
        <v>4575</v>
      </c>
      <c r="H779" s="12" t="s">
        <v>4444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2226</v>
      </c>
      <c r="C780" s="11" t="s">
        <v>2227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514</v>
      </c>
      <c r="C781" s="11" t="s">
        <v>2228</v>
      </c>
      <c r="D781" s="11" t="s">
        <v>26</v>
      </c>
      <c r="E781" s="11" t="s">
        <v>542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599</v>
      </c>
      <c r="C782" s="11" t="s">
        <v>2229</v>
      </c>
      <c r="D782" s="11" t="s">
        <v>26</v>
      </c>
      <c r="E782" s="11" t="s">
        <v>512</v>
      </c>
      <c r="F782" s="11" t="s">
        <v>26</v>
      </c>
      <c r="G782" s="11">
        <v>650</v>
      </c>
      <c r="H782" s="12" t="s">
        <v>144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503</v>
      </c>
      <c r="C783" s="11" t="s">
        <v>2230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2231</v>
      </c>
      <c r="C784" s="11" t="s">
        <v>2232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143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238</v>
      </c>
      <c r="C785" s="11" t="s">
        <v>2233</v>
      </c>
      <c r="D785" s="11" t="s">
        <v>26</v>
      </c>
      <c r="E785" s="11" t="s">
        <v>1221</v>
      </c>
      <c r="F785" s="11" t="s">
        <v>26</v>
      </c>
      <c r="G785" s="11">
        <v>984</v>
      </c>
      <c r="H785" s="12" t="s">
        <v>166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2234</v>
      </c>
      <c r="C786" s="11" t="s">
        <v>2235</v>
      </c>
      <c r="D786" s="11" t="s">
        <v>26</v>
      </c>
      <c r="E786" s="11" t="s">
        <v>662</v>
      </c>
      <c r="F786" s="11" t="s">
        <v>26</v>
      </c>
      <c r="G786" s="11">
        <v>751</v>
      </c>
      <c r="H786" s="12" t="s">
        <v>144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2236</v>
      </c>
      <c r="C787" s="11" t="s">
        <v>2237</v>
      </c>
      <c r="D787" s="11" t="s">
        <v>26</v>
      </c>
      <c r="E787" s="11" t="s">
        <v>249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2238</v>
      </c>
      <c r="C788" s="11" t="s">
        <v>2239</v>
      </c>
      <c r="D788" s="11" t="s">
        <v>26</v>
      </c>
      <c r="E788" s="11" t="s">
        <v>555</v>
      </c>
      <c r="F788" s="11" t="s">
        <v>26</v>
      </c>
      <c r="G788" s="11">
        <v>69109</v>
      </c>
      <c r="H788" s="12" t="s">
        <v>4444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494</v>
      </c>
      <c r="C789" s="11" t="s">
        <v>2240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2241</v>
      </c>
      <c r="C790" s="11" t="s">
        <v>2242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586</v>
      </c>
      <c r="C791" s="11" t="s">
        <v>2243</v>
      </c>
      <c r="D791" s="11" t="s">
        <v>26</v>
      </c>
      <c r="E791" s="11" t="s">
        <v>328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605</v>
      </c>
      <c r="C792" s="11" t="s">
        <v>2244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166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135</v>
      </c>
      <c r="C793" s="11" t="s">
        <v>2245</v>
      </c>
      <c r="D793" s="11" t="s">
        <v>26</v>
      </c>
      <c r="E793" s="11" t="s">
        <v>101</v>
      </c>
      <c r="F793" s="11" t="s">
        <v>26</v>
      </c>
      <c r="G793" s="11">
        <v>21710</v>
      </c>
      <c r="H793" s="12" t="s">
        <v>4470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625</v>
      </c>
      <c r="C794" s="11" t="s">
        <v>2246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4470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2247</v>
      </c>
      <c r="C795" s="11" t="s">
        <v>2248</v>
      </c>
      <c r="D795" s="11" t="s">
        <v>26</v>
      </c>
      <c r="E795" s="11" t="s">
        <v>434</v>
      </c>
      <c r="F795" s="11" t="s">
        <v>26</v>
      </c>
      <c r="G795" s="11">
        <v>139</v>
      </c>
      <c r="H795" s="12" t="s">
        <v>115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465</v>
      </c>
      <c r="C796" s="11" t="s">
        <v>2249</v>
      </c>
      <c r="D796" s="11" t="s">
        <v>26</v>
      </c>
      <c r="E796" s="11" t="s">
        <v>555</v>
      </c>
      <c r="F796" s="11" t="s">
        <v>26</v>
      </c>
      <c r="G796" s="11">
        <v>69110</v>
      </c>
      <c r="H796" s="12" t="s">
        <v>4444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2250</v>
      </c>
      <c r="C797" s="11" t="s">
        <v>2251</v>
      </c>
      <c r="D797" s="11" t="s">
        <v>26</v>
      </c>
      <c r="E797" s="11" t="s">
        <v>504</v>
      </c>
      <c r="F797" s="11" t="s">
        <v>26</v>
      </c>
      <c r="G797" s="11" t="s">
        <v>26</v>
      </c>
      <c r="H797" s="12" t="s">
        <v>4443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144</v>
      </c>
      <c r="AA797" s="12" t="s">
        <v>78</v>
      </c>
    </row>
    <row r="798" spans="1:27" x14ac:dyDescent="0.25">
      <c r="A798" s="10">
        <v>45671</v>
      </c>
      <c r="B798" s="11" t="s">
        <v>2252</v>
      </c>
      <c r="C798" s="11" t="s">
        <v>2253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149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138</v>
      </c>
      <c r="C799" s="11" t="s">
        <v>2254</v>
      </c>
      <c r="D799" s="11" t="s">
        <v>26</v>
      </c>
      <c r="E799" s="11" t="s">
        <v>486</v>
      </c>
      <c r="F799" s="11" t="s">
        <v>26</v>
      </c>
      <c r="G799" s="11" t="s">
        <v>26</v>
      </c>
      <c r="H799" s="12" t="s">
        <v>149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176</v>
      </c>
      <c r="C800" s="11" t="s">
        <v>2255</v>
      </c>
      <c r="D800" s="11" t="s">
        <v>26</v>
      </c>
      <c r="E800" s="11" t="s">
        <v>187</v>
      </c>
      <c r="F800" s="11" t="s">
        <v>26</v>
      </c>
      <c r="G800" s="11" t="s">
        <v>26</v>
      </c>
      <c r="H800" s="12" t="s">
        <v>4443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144</v>
      </c>
      <c r="AA800" s="12" t="s">
        <v>78</v>
      </c>
    </row>
    <row r="801" spans="1:27" x14ac:dyDescent="0.25">
      <c r="A801" s="10">
        <v>45671</v>
      </c>
      <c r="B801" s="11" t="s">
        <v>2256</v>
      </c>
      <c r="C801" s="11" t="s">
        <v>2257</v>
      </c>
      <c r="D801" s="11" t="s">
        <v>26</v>
      </c>
      <c r="E801" s="11" t="s">
        <v>608</v>
      </c>
      <c r="F801" s="11" t="s">
        <v>26</v>
      </c>
      <c r="G801" s="11" t="s">
        <v>26</v>
      </c>
      <c r="H801" s="12" t="s">
        <v>4443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144</v>
      </c>
      <c r="AA801" s="12" t="s">
        <v>78</v>
      </c>
    </row>
    <row r="802" spans="1:27" x14ac:dyDescent="0.25">
      <c r="A802" s="10">
        <v>45671</v>
      </c>
      <c r="B802" s="11" t="s">
        <v>2258</v>
      </c>
      <c r="C802" s="11" t="s">
        <v>2259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166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2260</v>
      </c>
      <c r="C803" s="11" t="s">
        <v>2261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4443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2262</v>
      </c>
      <c r="C804" s="11" t="s">
        <v>2263</v>
      </c>
      <c r="D804" s="11" t="s">
        <v>26</v>
      </c>
      <c r="E804" s="11" t="s">
        <v>556</v>
      </c>
      <c r="F804" s="11" t="s">
        <v>26</v>
      </c>
      <c r="G804" s="11">
        <v>44139</v>
      </c>
      <c r="H804" s="12" t="s">
        <v>4444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1187</v>
      </c>
      <c r="C805" s="11" t="s">
        <v>2264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4443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143</v>
      </c>
      <c r="AA805" s="12" t="s">
        <v>78</v>
      </c>
    </row>
    <row r="806" spans="1:27" x14ac:dyDescent="0.25">
      <c r="A806" s="10">
        <v>45671</v>
      </c>
      <c r="B806" s="11" t="s">
        <v>2265</v>
      </c>
      <c r="C806" s="11" t="s">
        <v>2266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2267</v>
      </c>
      <c r="C807" s="11" t="s">
        <v>2268</v>
      </c>
      <c r="D807" s="11" t="s">
        <v>26</v>
      </c>
      <c r="E807" s="11" t="s">
        <v>227</v>
      </c>
      <c r="F807" s="11" t="s">
        <v>26</v>
      </c>
      <c r="G807" s="11">
        <v>57847</v>
      </c>
      <c r="H807" s="12" t="s">
        <v>4444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2269</v>
      </c>
      <c r="C808" s="11" t="s">
        <v>2270</v>
      </c>
      <c r="D808" s="11" t="s">
        <v>26</v>
      </c>
      <c r="E808" s="11" t="s">
        <v>607</v>
      </c>
      <c r="F808" s="11" t="s">
        <v>26</v>
      </c>
      <c r="G808" s="11">
        <v>752</v>
      </c>
      <c r="H808" s="12" t="s">
        <v>144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2271</v>
      </c>
      <c r="C809" s="11" t="s">
        <v>2272</v>
      </c>
      <c r="D809" s="11" t="s">
        <v>26</v>
      </c>
      <c r="E809" s="11" t="s">
        <v>243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2063</v>
      </c>
      <c r="C810" s="11" t="s">
        <v>2273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708</v>
      </c>
      <c r="C811" s="11" t="s">
        <v>2274</v>
      </c>
      <c r="D811" s="11" t="s">
        <v>26</v>
      </c>
      <c r="E811" s="11" t="s">
        <v>464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2275</v>
      </c>
      <c r="C812" s="11" t="s">
        <v>2276</v>
      </c>
      <c r="D812" s="11" t="s">
        <v>26</v>
      </c>
      <c r="E812" s="11" t="s">
        <v>592</v>
      </c>
      <c r="F812" s="11" t="s">
        <v>26</v>
      </c>
      <c r="G812" s="11">
        <v>4576</v>
      </c>
      <c r="H812" s="12" t="s">
        <v>4444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2277</v>
      </c>
      <c r="C813" s="11" t="s">
        <v>2278</v>
      </c>
      <c r="D813" s="11" t="s">
        <v>26</v>
      </c>
      <c r="E813" s="11" t="s">
        <v>573</v>
      </c>
      <c r="F813" s="11" t="s">
        <v>26</v>
      </c>
      <c r="G813" s="11">
        <v>10322</v>
      </c>
      <c r="H813" s="12" t="s">
        <v>143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1215</v>
      </c>
      <c r="C814" s="11" t="s">
        <v>2279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568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2280</v>
      </c>
      <c r="C815" s="11" t="s">
        <v>2281</v>
      </c>
      <c r="D815" s="11" t="s">
        <v>26</v>
      </c>
      <c r="E815" s="11" t="s">
        <v>523</v>
      </c>
      <c r="F815" s="11" t="s">
        <v>26</v>
      </c>
      <c r="G815" s="11" t="s">
        <v>26</v>
      </c>
      <c r="H815" s="12" t="s">
        <v>4443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143</v>
      </c>
      <c r="AA815" s="12" t="s">
        <v>78</v>
      </c>
    </row>
    <row r="816" spans="1:27" x14ac:dyDescent="0.25">
      <c r="A816" s="10">
        <v>45671</v>
      </c>
      <c r="B816" s="11" t="s">
        <v>2282</v>
      </c>
      <c r="C816" s="11" t="s">
        <v>2283</v>
      </c>
      <c r="D816" s="11" t="s">
        <v>26</v>
      </c>
      <c r="E816" s="11" t="s">
        <v>512</v>
      </c>
      <c r="F816" s="11" t="s">
        <v>26</v>
      </c>
      <c r="G816" s="11">
        <v>753</v>
      </c>
      <c r="H816" s="12" t="s">
        <v>144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458</v>
      </c>
      <c r="C817" s="11" t="s">
        <v>2284</v>
      </c>
      <c r="D817" s="11" t="s">
        <v>26</v>
      </c>
      <c r="E817" s="11" t="s">
        <v>522</v>
      </c>
      <c r="F817" s="11" t="s">
        <v>26</v>
      </c>
      <c r="G817" s="11">
        <v>70253</v>
      </c>
      <c r="H817" s="12" t="s">
        <v>4470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2285</v>
      </c>
      <c r="C818" s="11" t="s">
        <v>2286</v>
      </c>
      <c r="D818" s="11" t="s">
        <v>26</v>
      </c>
      <c r="E818" s="11" t="s">
        <v>2130</v>
      </c>
      <c r="F818" s="11" t="s">
        <v>26</v>
      </c>
      <c r="G818" s="11" t="s">
        <v>26</v>
      </c>
      <c r="H818" s="12" t="s">
        <v>4443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143</v>
      </c>
      <c r="AA818" s="12" t="s">
        <v>78</v>
      </c>
    </row>
    <row r="819" spans="1:27" x14ac:dyDescent="0.25">
      <c r="A819" s="10">
        <v>45671</v>
      </c>
      <c r="B819" s="11" t="s">
        <v>2287</v>
      </c>
      <c r="C819" s="11" t="s">
        <v>2288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4443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469</v>
      </c>
      <c r="C820" s="11" t="s">
        <v>2289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4468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2290</v>
      </c>
      <c r="C821" s="11" t="s">
        <v>2291</v>
      </c>
      <c r="D821" s="11" t="s">
        <v>26</v>
      </c>
      <c r="E821" s="11" t="s">
        <v>464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1141</v>
      </c>
      <c r="C822" s="11" t="s">
        <v>2292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166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2293</v>
      </c>
      <c r="C823" s="11" t="s">
        <v>2294</v>
      </c>
      <c r="D823" s="11" t="s">
        <v>26</v>
      </c>
      <c r="E823" s="11" t="s">
        <v>596</v>
      </c>
      <c r="F823" s="11" t="s">
        <v>26</v>
      </c>
      <c r="G823" s="11">
        <v>59485</v>
      </c>
      <c r="H823" s="12" t="s">
        <v>4444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2295</v>
      </c>
      <c r="C824" s="11" t="s">
        <v>2296</v>
      </c>
      <c r="D824" s="11" t="s">
        <v>26</v>
      </c>
      <c r="E824" s="11" t="s">
        <v>662</v>
      </c>
      <c r="F824" s="11" t="s">
        <v>26</v>
      </c>
      <c r="G824" s="11">
        <v>754</v>
      </c>
      <c r="H824" s="12" t="s">
        <v>144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2297</v>
      </c>
      <c r="C825" s="11" t="s">
        <v>2298</v>
      </c>
      <c r="D825" s="11" t="s">
        <v>26</v>
      </c>
      <c r="E825" s="11" t="s">
        <v>247</v>
      </c>
      <c r="F825" s="11" t="s">
        <v>26</v>
      </c>
      <c r="G825" s="11">
        <v>755</v>
      </c>
      <c r="H825" s="12" t="s">
        <v>144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2299</v>
      </c>
      <c r="C826" s="11" t="s">
        <v>2300</v>
      </c>
      <c r="D826" s="11" t="s">
        <v>26</v>
      </c>
      <c r="E826" s="11" t="s">
        <v>523</v>
      </c>
      <c r="F826" s="11" t="s">
        <v>26</v>
      </c>
      <c r="G826" s="11">
        <v>4369</v>
      </c>
      <c r="H826" s="12" t="s">
        <v>143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2301</v>
      </c>
      <c r="C827" s="11" t="s">
        <v>2302</v>
      </c>
      <c r="D827" s="11" t="s">
        <v>26</v>
      </c>
      <c r="E827" s="11" t="s">
        <v>504</v>
      </c>
      <c r="F827" s="11" t="s">
        <v>26</v>
      </c>
      <c r="G827" s="11">
        <v>756</v>
      </c>
      <c r="H827" s="12" t="s">
        <v>144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2303</v>
      </c>
      <c r="C828" s="11" t="s">
        <v>2304</v>
      </c>
      <c r="D828" s="11" t="s">
        <v>26</v>
      </c>
      <c r="E828" s="11" t="s">
        <v>233</v>
      </c>
      <c r="F828" s="11" t="s">
        <v>26</v>
      </c>
      <c r="G828" s="11">
        <v>23128</v>
      </c>
      <c r="H828" s="12" t="s">
        <v>568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480</v>
      </c>
      <c r="C829" s="11" t="s">
        <v>2305</v>
      </c>
      <c r="D829" s="11" t="s">
        <v>26</v>
      </c>
      <c r="E829" s="11" t="s">
        <v>99</v>
      </c>
      <c r="F829" s="11" t="s">
        <v>26</v>
      </c>
      <c r="G829" s="11">
        <v>10137</v>
      </c>
      <c r="H829" s="12" t="s">
        <v>143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339</v>
      </c>
      <c r="C830" s="11" t="s">
        <v>2306</v>
      </c>
      <c r="D830" s="11" t="s">
        <v>26</v>
      </c>
      <c r="E830" s="11" t="s">
        <v>434</v>
      </c>
      <c r="F830" s="11" t="s">
        <v>26</v>
      </c>
      <c r="G830" s="11">
        <v>140</v>
      </c>
      <c r="H830" s="12" t="s">
        <v>115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2307</v>
      </c>
      <c r="C831" s="11" t="s">
        <v>2308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2309</v>
      </c>
      <c r="C832" s="11" t="s">
        <v>2310</v>
      </c>
      <c r="D832" s="11" t="s">
        <v>26</v>
      </c>
      <c r="E832" s="11" t="s">
        <v>187</v>
      </c>
      <c r="F832" s="11" t="s">
        <v>26</v>
      </c>
      <c r="G832" s="11">
        <v>757</v>
      </c>
      <c r="H832" s="12" t="s">
        <v>144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404</v>
      </c>
      <c r="C833" s="11" t="s">
        <v>2311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143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322</v>
      </c>
      <c r="C834" s="11" t="s">
        <v>2312</v>
      </c>
      <c r="D834" s="11" t="s">
        <v>26</v>
      </c>
      <c r="E834" s="11" t="s">
        <v>489</v>
      </c>
      <c r="F834" s="11" t="s">
        <v>26</v>
      </c>
      <c r="G834" s="11">
        <v>72879</v>
      </c>
      <c r="H834" s="12" t="s">
        <v>4470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2313</v>
      </c>
      <c r="C835" s="11" t="s">
        <v>2314</v>
      </c>
      <c r="D835" s="11" t="s">
        <v>26</v>
      </c>
      <c r="E835" s="11" t="s">
        <v>486</v>
      </c>
      <c r="F835" s="11" t="s">
        <v>26</v>
      </c>
      <c r="G835" s="11" t="s">
        <v>26</v>
      </c>
      <c r="H835" s="12" t="s">
        <v>4443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2026</v>
      </c>
      <c r="C836" s="11" t="s">
        <v>2315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2316</v>
      </c>
      <c r="C837" s="11" t="s">
        <v>2317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149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2318</v>
      </c>
      <c r="C838" s="11" t="s">
        <v>2319</v>
      </c>
      <c r="D838" s="11" t="s">
        <v>26</v>
      </c>
      <c r="E838" s="11" t="s">
        <v>607</v>
      </c>
      <c r="F838" s="11" t="s">
        <v>26</v>
      </c>
      <c r="G838" s="11">
        <v>758</v>
      </c>
      <c r="H838" s="12" t="s">
        <v>144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326</v>
      </c>
      <c r="C839" s="11" t="s">
        <v>2320</v>
      </c>
      <c r="D839" s="11" t="s">
        <v>26</v>
      </c>
      <c r="E839" s="11" t="s">
        <v>101</v>
      </c>
      <c r="F839" s="11" t="s">
        <v>26</v>
      </c>
      <c r="G839" s="11">
        <v>21712</v>
      </c>
      <c r="H839" s="12" t="s">
        <v>4470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2321</v>
      </c>
      <c r="C840" s="11" t="s">
        <v>2322</v>
      </c>
      <c r="D840" s="11" t="s">
        <v>26</v>
      </c>
      <c r="E840" s="11" t="s">
        <v>509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2323</v>
      </c>
      <c r="C841" s="11" t="s">
        <v>2324</v>
      </c>
      <c r="D841" s="11" t="s">
        <v>26</v>
      </c>
      <c r="E841" s="11" t="s">
        <v>608</v>
      </c>
      <c r="F841" s="11" t="s">
        <v>26</v>
      </c>
      <c r="G841" s="11">
        <v>759</v>
      </c>
      <c r="H841" s="12" t="s">
        <v>144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450</v>
      </c>
      <c r="C842" s="11" t="s">
        <v>2325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568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2326</v>
      </c>
      <c r="C843" s="11" t="s">
        <v>2327</v>
      </c>
      <c r="D843" s="11" t="s">
        <v>26</v>
      </c>
      <c r="E843" s="11" t="s">
        <v>592</v>
      </c>
      <c r="F843" s="11" t="s">
        <v>26</v>
      </c>
      <c r="G843" s="11">
        <v>4577</v>
      </c>
      <c r="H843" s="12" t="s">
        <v>4444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2328</v>
      </c>
      <c r="C844" s="11" t="s">
        <v>2329</v>
      </c>
      <c r="D844" s="11" t="s">
        <v>26</v>
      </c>
      <c r="E844" s="11" t="s">
        <v>227</v>
      </c>
      <c r="F844" s="11" t="s">
        <v>26</v>
      </c>
      <c r="G844" s="11">
        <v>57848</v>
      </c>
      <c r="H844" s="12" t="s">
        <v>4444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2330</v>
      </c>
      <c r="C845" s="11" t="s">
        <v>2331</v>
      </c>
      <c r="D845" s="11" t="s">
        <v>26</v>
      </c>
      <c r="E845" s="11" t="s">
        <v>233</v>
      </c>
      <c r="F845" s="11" t="s">
        <v>26</v>
      </c>
      <c r="G845" s="11">
        <v>23129</v>
      </c>
      <c r="H845" s="12" t="s">
        <v>568</v>
      </c>
      <c r="I845" s="12" t="s">
        <v>55</v>
      </c>
      <c r="J845" s="12" t="s">
        <v>569</v>
      </c>
      <c r="K845" s="12" t="s">
        <v>553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2332</v>
      </c>
      <c r="C846" s="11" t="s">
        <v>2333</v>
      </c>
      <c r="D846" s="11" t="s">
        <v>26</v>
      </c>
      <c r="E846" s="11" t="s">
        <v>573</v>
      </c>
      <c r="F846" s="11" t="s">
        <v>26</v>
      </c>
      <c r="G846" s="11">
        <v>10323</v>
      </c>
      <c r="H846" s="12" t="s">
        <v>143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2334</v>
      </c>
      <c r="C847" s="11" t="s">
        <v>2335</v>
      </c>
      <c r="D847" s="11" t="s">
        <v>26</v>
      </c>
      <c r="E847" s="11" t="s">
        <v>486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569</v>
      </c>
      <c r="K847" s="12" t="s">
        <v>553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2336</v>
      </c>
      <c r="C848" s="11" t="s">
        <v>2337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166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2338</v>
      </c>
      <c r="C849" s="11" t="s">
        <v>2339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143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2340</v>
      </c>
      <c r="C850" s="11" t="s">
        <v>2341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2342</v>
      </c>
      <c r="C851" s="11" t="s">
        <v>2343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2344</v>
      </c>
      <c r="C852" s="11" t="s">
        <v>2345</v>
      </c>
      <c r="D852" s="11" t="s">
        <v>26</v>
      </c>
      <c r="E852" s="11" t="s">
        <v>100</v>
      </c>
      <c r="F852" s="11" t="s">
        <v>26</v>
      </c>
      <c r="G852" s="11">
        <v>57982</v>
      </c>
      <c r="H852" s="12" t="s">
        <v>4444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2346</v>
      </c>
      <c r="C853" s="11" t="s">
        <v>2347</v>
      </c>
      <c r="D853" s="11" t="s">
        <v>26</v>
      </c>
      <c r="E853" s="11" t="s">
        <v>101</v>
      </c>
      <c r="F853" s="11" t="s">
        <v>26</v>
      </c>
      <c r="G853" s="11">
        <v>21714</v>
      </c>
      <c r="H853" s="12" t="s">
        <v>4470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552</v>
      </c>
      <c r="C854" s="11" t="s">
        <v>2348</v>
      </c>
      <c r="D854" s="11" t="s">
        <v>26</v>
      </c>
      <c r="E854" s="11" t="s">
        <v>434</v>
      </c>
      <c r="F854" s="11" t="s">
        <v>26</v>
      </c>
      <c r="G854" s="11">
        <v>141</v>
      </c>
      <c r="H854" s="12" t="s">
        <v>115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557</v>
      </c>
      <c r="C855" s="11" t="s">
        <v>2349</v>
      </c>
      <c r="D855" s="11" t="s">
        <v>26</v>
      </c>
      <c r="E855" s="11" t="s">
        <v>555</v>
      </c>
      <c r="F855" s="11" t="s">
        <v>26</v>
      </c>
      <c r="G855" s="11">
        <v>69112</v>
      </c>
      <c r="H855" s="12" t="s">
        <v>4444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2350</v>
      </c>
      <c r="C856" s="11" t="s">
        <v>2351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4470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2352</v>
      </c>
      <c r="C857" s="11" t="s">
        <v>2353</v>
      </c>
      <c r="D857" s="11" t="s">
        <v>26</v>
      </c>
      <c r="E857" s="11" t="s">
        <v>504</v>
      </c>
      <c r="F857" s="11" t="s">
        <v>26</v>
      </c>
      <c r="G857" s="11" t="s">
        <v>26</v>
      </c>
      <c r="H857" s="12" t="s">
        <v>4443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144</v>
      </c>
      <c r="AA857" s="12" t="s">
        <v>78</v>
      </c>
    </row>
    <row r="858" spans="1:27" x14ac:dyDescent="0.25">
      <c r="A858" s="10">
        <v>45672</v>
      </c>
      <c r="B858" s="11" t="s">
        <v>2354</v>
      </c>
      <c r="C858" s="11" t="s">
        <v>2355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166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2356</v>
      </c>
      <c r="C859" s="11" t="s">
        <v>2357</v>
      </c>
      <c r="D859" s="11" t="s">
        <v>26</v>
      </c>
      <c r="E859" s="11" t="s">
        <v>2130</v>
      </c>
      <c r="F859" s="11" t="s">
        <v>26</v>
      </c>
      <c r="G859" s="11" t="s">
        <v>26</v>
      </c>
      <c r="H859" s="12" t="s">
        <v>4443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143</v>
      </c>
      <c r="AA859" s="12" t="s">
        <v>78</v>
      </c>
    </row>
    <row r="860" spans="1:27" x14ac:dyDescent="0.25">
      <c r="A860" s="10">
        <v>45672</v>
      </c>
      <c r="B860" s="11" t="s">
        <v>2358</v>
      </c>
      <c r="C860" s="11" t="s">
        <v>2359</v>
      </c>
      <c r="D860" s="11" t="s">
        <v>26</v>
      </c>
      <c r="E860" s="11" t="s">
        <v>183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235</v>
      </c>
      <c r="C861" s="11" t="s">
        <v>2360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4443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2361</v>
      </c>
      <c r="C862" s="11" t="s">
        <v>2362</v>
      </c>
      <c r="D862" s="11" t="s">
        <v>26</v>
      </c>
      <c r="E862" s="11" t="s">
        <v>374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444</v>
      </c>
      <c r="C863" s="11" t="s">
        <v>2363</v>
      </c>
      <c r="D863" s="11" t="s">
        <v>26</v>
      </c>
      <c r="E863" s="11" t="s">
        <v>562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548</v>
      </c>
      <c r="C864" s="11" t="s">
        <v>2364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441</v>
      </c>
      <c r="C865" s="11" t="s">
        <v>2365</v>
      </c>
      <c r="D865" s="11" t="s">
        <v>26</v>
      </c>
      <c r="E865" s="11" t="s">
        <v>607</v>
      </c>
      <c r="F865" s="11" t="s">
        <v>26</v>
      </c>
      <c r="G865" s="11" t="s">
        <v>26</v>
      </c>
      <c r="H865" s="12" t="s">
        <v>4443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144</v>
      </c>
      <c r="AA865" s="12" t="s">
        <v>78</v>
      </c>
    </row>
    <row r="866" spans="1:27" x14ac:dyDescent="0.25">
      <c r="A866" s="10">
        <v>45672</v>
      </c>
      <c r="B866" s="11" t="s">
        <v>2366</v>
      </c>
      <c r="C866" s="11" t="s">
        <v>2367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567</v>
      </c>
      <c r="C867" s="11" t="s">
        <v>2368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4443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538</v>
      </c>
      <c r="C868" s="11" t="s">
        <v>2369</v>
      </c>
      <c r="D868" s="11" t="s">
        <v>26</v>
      </c>
      <c r="E868" s="11" t="s">
        <v>99</v>
      </c>
      <c r="F868" s="11" t="s">
        <v>26</v>
      </c>
      <c r="G868" s="11" t="s">
        <v>26</v>
      </c>
      <c r="H868" s="12" t="s">
        <v>4443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143</v>
      </c>
      <c r="AA868" s="12" t="s">
        <v>78</v>
      </c>
    </row>
    <row r="869" spans="1:27" x14ac:dyDescent="0.25">
      <c r="A869" s="10">
        <v>45672</v>
      </c>
      <c r="B869" s="11" t="s">
        <v>2370</v>
      </c>
      <c r="C869" s="11" t="s">
        <v>2371</v>
      </c>
      <c r="D869" s="11" t="s">
        <v>26</v>
      </c>
      <c r="E869" s="11" t="s">
        <v>523</v>
      </c>
      <c r="F869" s="11" t="s">
        <v>26</v>
      </c>
      <c r="G869" s="11" t="s">
        <v>26</v>
      </c>
      <c r="H869" s="12" t="s">
        <v>4443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143</v>
      </c>
      <c r="AA869" s="12" t="s">
        <v>78</v>
      </c>
    </row>
    <row r="870" spans="1:27" x14ac:dyDescent="0.25">
      <c r="A870" s="10">
        <v>45672</v>
      </c>
      <c r="B870" s="11" t="s">
        <v>2372</v>
      </c>
      <c r="C870" s="11" t="s">
        <v>2373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4468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495</v>
      </c>
      <c r="C871" s="11" t="s">
        <v>2374</v>
      </c>
      <c r="D871" s="11" t="s">
        <v>26</v>
      </c>
      <c r="E871" s="11" t="s">
        <v>512</v>
      </c>
      <c r="F871" s="11" t="s">
        <v>26</v>
      </c>
      <c r="G871" s="11" t="s">
        <v>26</v>
      </c>
      <c r="H871" s="12" t="s">
        <v>4443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144</v>
      </c>
      <c r="AA871" s="12" t="s">
        <v>78</v>
      </c>
    </row>
    <row r="872" spans="1:27" x14ac:dyDescent="0.25">
      <c r="A872" s="10">
        <v>45672</v>
      </c>
      <c r="B872" s="11" t="s">
        <v>2375</v>
      </c>
      <c r="C872" s="11" t="s">
        <v>2376</v>
      </c>
      <c r="D872" s="11" t="s">
        <v>26</v>
      </c>
      <c r="E872" s="11" t="s">
        <v>576</v>
      </c>
      <c r="F872" s="11" t="s">
        <v>26</v>
      </c>
      <c r="G872" s="11">
        <v>112061</v>
      </c>
      <c r="H872" s="12" t="s">
        <v>4468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606</v>
      </c>
      <c r="C873" s="11" t="s">
        <v>2377</v>
      </c>
      <c r="D873" s="11" t="s">
        <v>26</v>
      </c>
      <c r="E873" s="11" t="s">
        <v>227</v>
      </c>
      <c r="F873" s="11" t="s">
        <v>26</v>
      </c>
      <c r="G873" s="11">
        <v>57849</v>
      </c>
      <c r="H873" s="12" t="s">
        <v>4444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2378</v>
      </c>
      <c r="C874" s="11" t="s">
        <v>2379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568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2380</v>
      </c>
      <c r="C875" s="11" t="s">
        <v>2381</v>
      </c>
      <c r="D875" s="11" t="s">
        <v>26</v>
      </c>
      <c r="E875" s="11" t="s">
        <v>233</v>
      </c>
      <c r="F875" s="11" t="s">
        <v>26</v>
      </c>
      <c r="G875" s="11">
        <v>23130</v>
      </c>
      <c r="H875" s="12" t="s">
        <v>568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2382</v>
      </c>
      <c r="C876" s="11" t="s">
        <v>2383</v>
      </c>
      <c r="D876" s="11" t="s">
        <v>26</v>
      </c>
      <c r="E876" s="11" t="s">
        <v>573</v>
      </c>
      <c r="F876" s="11" t="s">
        <v>26</v>
      </c>
      <c r="G876" s="11">
        <v>10324</v>
      </c>
      <c r="H876" s="12" t="s">
        <v>143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2384</v>
      </c>
      <c r="C877" s="11" t="s">
        <v>2385</v>
      </c>
      <c r="D877" s="11" t="s">
        <v>26</v>
      </c>
      <c r="E877" s="11" t="s">
        <v>183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2386</v>
      </c>
      <c r="C878" s="11" t="s">
        <v>2387</v>
      </c>
      <c r="D878" s="11" t="s">
        <v>26</v>
      </c>
      <c r="E878" s="11" t="s">
        <v>662</v>
      </c>
      <c r="F878" s="11" t="s">
        <v>26</v>
      </c>
      <c r="G878" s="11">
        <v>760</v>
      </c>
      <c r="H878" s="12" t="s">
        <v>144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94</v>
      </c>
      <c r="C879" s="11" t="s">
        <v>2388</v>
      </c>
      <c r="D879" s="11" t="s">
        <v>26</v>
      </c>
      <c r="E879" s="11" t="s">
        <v>101</v>
      </c>
      <c r="F879" s="11" t="s">
        <v>26</v>
      </c>
      <c r="G879" s="11">
        <v>21715</v>
      </c>
      <c r="H879" s="12" t="s">
        <v>4470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2389</v>
      </c>
      <c r="C880" s="11" t="s">
        <v>2390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4468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2391</v>
      </c>
      <c r="C881" s="11" t="s">
        <v>2392</v>
      </c>
      <c r="D881" s="11" t="s">
        <v>26</v>
      </c>
      <c r="E881" s="11" t="s">
        <v>488</v>
      </c>
      <c r="F881" s="11" t="s">
        <v>26</v>
      </c>
      <c r="G881" s="11">
        <v>72136</v>
      </c>
      <c r="H881" s="12" t="s">
        <v>4470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2393</v>
      </c>
      <c r="C882" s="11" t="s">
        <v>2394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166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496</v>
      </c>
      <c r="C883" s="11" t="s">
        <v>2395</v>
      </c>
      <c r="D883" s="11" t="s">
        <v>26</v>
      </c>
      <c r="E883" s="11" t="s">
        <v>489</v>
      </c>
      <c r="F883" s="11" t="s">
        <v>26</v>
      </c>
      <c r="G883" s="11">
        <v>72881</v>
      </c>
      <c r="H883" s="12" t="s">
        <v>4470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540</v>
      </c>
      <c r="C884" s="11" t="s">
        <v>2396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560</v>
      </c>
      <c r="K884" s="12" t="s">
        <v>561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481</v>
      </c>
      <c r="C885" s="11" t="s">
        <v>2397</v>
      </c>
      <c r="D885" s="11" t="s">
        <v>26</v>
      </c>
      <c r="E885" s="11" t="s">
        <v>555</v>
      </c>
      <c r="F885" s="11" t="s">
        <v>26</v>
      </c>
      <c r="G885" s="11">
        <v>69113</v>
      </c>
      <c r="H885" s="12" t="s">
        <v>4444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2398</v>
      </c>
      <c r="C886" s="11" t="s">
        <v>2399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143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526</v>
      </c>
      <c r="C887" s="11" t="s">
        <v>2400</v>
      </c>
      <c r="D887" s="11" t="s">
        <v>26</v>
      </c>
      <c r="E887" s="11" t="s">
        <v>243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569</v>
      </c>
      <c r="K887" s="12" t="s">
        <v>553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531</v>
      </c>
      <c r="C888" s="11" t="s">
        <v>2401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2402</v>
      </c>
      <c r="C889" s="11" t="s">
        <v>2403</v>
      </c>
      <c r="D889" s="11" t="s">
        <v>26</v>
      </c>
      <c r="E889" s="11" t="s">
        <v>592</v>
      </c>
      <c r="F889" s="11" t="s">
        <v>26</v>
      </c>
      <c r="G889" s="11">
        <v>4578</v>
      </c>
      <c r="H889" s="12" t="s">
        <v>4444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2404</v>
      </c>
      <c r="C890" s="11" t="s">
        <v>2405</v>
      </c>
      <c r="D890" s="11" t="s">
        <v>26</v>
      </c>
      <c r="E890" s="11" t="s">
        <v>114</v>
      </c>
      <c r="F890" s="11" t="s">
        <v>26</v>
      </c>
      <c r="G890" s="11">
        <v>2</v>
      </c>
      <c r="H890" s="12" t="s">
        <v>115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2406</v>
      </c>
      <c r="C891" s="11" t="s">
        <v>2407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568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491</v>
      </c>
      <c r="C892" s="11" t="s">
        <v>2408</v>
      </c>
      <c r="D892" s="11" t="s">
        <v>26</v>
      </c>
      <c r="E892" s="11" t="s">
        <v>233</v>
      </c>
      <c r="F892" s="11" t="s">
        <v>26</v>
      </c>
      <c r="G892" s="11">
        <v>23131</v>
      </c>
      <c r="H892" s="12" t="s">
        <v>568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2409</v>
      </c>
      <c r="C893" s="11" t="s">
        <v>2410</v>
      </c>
      <c r="D893" s="11" t="s">
        <v>26</v>
      </c>
      <c r="E893" s="11" t="s">
        <v>504</v>
      </c>
      <c r="F893" s="11" t="s">
        <v>26</v>
      </c>
      <c r="G893" s="11" t="s">
        <v>26</v>
      </c>
      <c r="H893" s="12" t="s">
        <v>4443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144</v>
      </c>
      <c r="AA893" s="12" t="s">
        <v>78</v>
      </c>
    </row>
    <row r="894" spans="1:27" x14ac:dyDescent="0.25">
      <c r="A894" s="10">
        <v>45672</v>
      </c>
      <c r="B894" s="11" t="s">
        <v>2411</v>
      </c>
      <c r="C894" s="11" t="s">
        <v>2412</v>
      </c>
      <c r="D894" s="11" t="s">
        <v>26</v>
      </c>
      <c r="E894" s="11" t="s">
        <v>183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2413</v>
      </c>
      <c r="C895" s="11" t="s">
        <v>2414</v>
      </c>
      <c r="D895" s="11" t="s">
        <v>26</v>
      </c>
      <c r="E895" s="11" t="s">
        <v>434</v>
      </c>
      <c r="F895" s="11" t="s">
        <v>26</v>
      </c>
      <c r="G895" s="11">
        <v>142</v>
      </c>
      <c r="H895" s="12" t="s">
        <v>115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2415</v>
      </c>
      <c r="C896" s="11" t="s">
        <v>2416</v>
      </c>
      <c r="D896" s="11" t="s">
        <v>26</v>
      </c>
      <c r="E896" s="11" t="s">
        <v>486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2417</v>
      </c>
      <c r="C897" s="11" t="s">
        <v>2418</v>
      </c>
      <c r="D897" s="11" t="s">
        <v>26</v>
      </c>
      <c r="E897" s="11" t="s">
        <v>249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2419</v>
      </c>
      <c r="C898" s="11" t="s">
        <v>2420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4468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2421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550</v>
      </c>
      <c r="C900" s="11" t="s">
        <v>2422</v>
      </c>
      <c r="D900" s="11" t="s">
        <v>26</v>
      </c>
      <c r="E900" s="11" t="s">
        <v>542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2423</v>
      </c>
      <c r="C901" s="11" t="s">
        <v>2424</v>
      </c>
      <c r="D901" s="11" t="s">
        <v>26</v>
      </c>
      <c r="E901" s="11" t="s">
        <v>488</v>
      </c>
      <c r="F901" s="11" t="s">
        <v>26</v>
      </c>
      <c r="G901" s="11">
        <v>72137</v>
      </c>
      <c r="H901" s="12" t="s">
        <v>4470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558</v>
      </c>
      <c r="C902" s="11" t="s">
        <v>2425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4468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2426</v>
      </c>
      <c r="C903" s="11" t="s">
        <v>2427</v>
      </c>
      <c r="D903" s="11" t="s">
        <v>26</v>
      </c>
      <c r="E903" s="11" t="s">
        <v>532</v>
      </c>
      <c r="F903" s="11" t="s">
        <v>26</v>
      </c>
      <c r="G903" s="11">
        <v>630</v>
      </c>
      <c r="H903" s="12" t="s">
        <v>166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2428</v>
      </c>
      <c r="C904" s="11" t="s">
        <v>2429</v>
      </c>
      <c r="D904" s="11" t="s">
        <v>26</v>
      </c>
      <c r="E904" s="11" t="s">
        <v>493</v>
      </c>
      <c r="F904" s="11" t="s">
        <v>26</v>
      </c>
      <c r="G904" s="11">
        <v>77543</v>
      </c>
      <c r="H904" s="12" t="s">
        <v>4470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2430</v>
      </c>
      <c r="C905" s="11" t="s">
        <v>2431</v>
      </c>
      <c r="D905" s="11" t="s">
        <v>26</v>
      </c>
      <c r="E905" s="11" t="s">
        <v>102</v>
      </c>
      <c r="F905" s="11" t="s">
        <v>26</v>
      </c>
      <c r="G905" s="11">
        <v>69211</v>
      </c>
      <c r="H905" s="12" t="s">
        <v>4444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228</v>
      </c>
      <c r="C906" s="11" t="s">
        <v>2432</v>
      </c>
      <c r="D906" s="11" t="s">
        <v>26</v>
      </c>
      <c r="E906" s="11" t="s">
        <v>556</v>
      </c>
      <c r="F906" s="11" t="s">
        <v>26</v>
      </c>
      <c r="G906" s="11">
        <v>44142</v>
      </c>
      <c r="H906" s="12" t="s">
        <v>4444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2433</v>
      </c>
      <c r="C907" s="11" t="s">
        <v>2434</v>
      </c>
      <c r="D907" s="11" t="s">
        <v>26</v>
      </c>
      <c r="E907" s="11" t="s">
        <v>1221</v>
      </c>
      <c r="F907" s="11" t="s">
        <v>26</v>
      </c>
      <c r="G907" s="11">
        <v>985</v>
      </c>
      <c r="H907" s="12" t="s">
        <v>166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181</v>
      </c>
      <c r="C908" s="11" t="s">
        <v>2435</v>
      </c>
      <c r="D908" s="11" t="s">
        <v>26</v>
      </c>
      <c r="E908" s="11" t="s">
        <v>570</v>
      </c>
      <c r="F908" s="11" t="s">
        <v>26</v>
      </c>
      <c r="G908" s="11">
        <v>112116</v>
      </c>
      <c r="H908" s="12" t="s">
        <v>4468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2436</v>
      </c>
      <c r="C909" s="11" t="s">
        <v>2437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2438</v>
      </c>
      <c r="C910" s="11" t="s">
        <v>2439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525</v>
      </c>
      <c r="C911" s="11" t="s">
        <v>2440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569</v>
      </c>
      <c r="K911" s="12" t="s">
        <v>553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2441</v>
      </c>
      <c r="C912" s="11" t="s">
        <v>2442</v>
      </c>
      <c r="D912" s="11" t="s">
        <v>26</v>
      </c>
      <c r="E912" s="11" t="s">
        <v>555</v>
      </c>
      <c r="F912" s="11" t="s">
        <v>26</v>
      </c>
      <c r="G912" s="11">
        <v>69114</v>
      </c>
      <c r="H912" s="12" t="s">
        <v>4444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2443</v>
      </c>
      <c r="C913" s="11" t="s">
        <v>2444</v>
      </c>
      <c r="D913" s="11" t="s">
        <v>26</v>
      </c>
      <c r="E913" s="11" t="s">
        <v>227</v>
      </c>
      <c r="F913" s="11" t="s">
        <v>26</v>
      </c>
      <c r="G913" s="11">
        <v>57850</v>
      </c>
      <c r="H913" s="12" t="s">
        <v>4444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2445</v>
      </c>
      <c r="C914" s="11" t="s">
        <v>2446</v>
      </c>
      <c r="D914" s="11" t="s">
        <v>26</v>
      </c>
      <c r="E914" s="11" t="s">
        <v>607</v>
      </c>
      <c r="F914" s="11" t="s">
        <v>26</v>
      </c>
      <c r="G914" s="11">
        <v>761</v>
      </c>
      <c r="H914" s="12" t="s">
        <v>144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2447</v>
      </c>
      <c r="C915" s="11" t="s">
        <v>2448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759</v>
      </c>
      <c r="C916" s="11" t="s">
        <v>2449</v>
      </c>
      <c r="D916" s="11" t="s">
        <v>26</v>
      </c>
      <c r="E916" s="11" t="s">
        <v>610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2450</v>
      </c>
      <c r="C917" s="11" t="s">
        <v>2451</v>
      </c>
      <c r="D917" s="11" t="s">
        <v>26</v>
      </c>
      <c r="E917" s="11" t="s">
        <v>243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2452</v>
      </c>
      <c r="C918" s="11" t="s">
        <v>2453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568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2454</v>
      </c>
      <c r="C919" s="11" t="s">
        <v>2455</v>
      </c>
      <c r="D919" s="11" t="s">
        <v>26</v>
      </c>
      <c r="E919" s="11" t="s">
        <v>233</v>
      </c>
      <c r="F919" s="11" t="s">
        <v>26</v>
      </c>
      <c r="G919" s="11">
        <v>23132</v>
      </c>
      <c r="H919" s="12" t="s">
        <v>568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2456</v>
      </c>
      <c r="C920" s="11" t="s">
        <v>2457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143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2458</v>
      </c>
      <c r="C921" s="11" t="s">
        <v>2459</v>
      </c>
      <c r="D921" s="11" t="s">
        <v>26</v>
      </c>
      <c r="E921" s="11" t="s">
        <v>596</v>
      </c>
      <c r="F921" s="11" t="s">
        <v>26</v>
      </c>
      <c r="G921" s="11">
        <v>59488</v>
      </c>
      <c r="H921" s="12" t="s">
        <v>4444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2460</v>
      </c>
      <c r="C922" s="11" t="s">
        <v>2461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4443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2462</v>
      </c>
      <c r="C923" s="11" t="s">
        <v>2463</v>
      </c>
      <c r="D923" s="11" t="s">
        <v>26</v>
      </c>
      <c r="E923" s="11" t="s">
        <v>1221</v>
      </c>
      <c r="F923" s="11" t="s">
        <v>26</v>
      </c>
      <c r="G923" s="11">
        <v>986</v>
      </c>
      <c r="H923" s="12" t="s">
        <v>166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2464</v>
      </c>
      <c r="C924" s="11" t="s">
        <v>2465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166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2466</v>
      </c>
      <c r="C925" s="11" t="s">
        <v>2467</v>
      </c>
      <c r="D925" s="11" t="s">
        <v>26</v>
      </c>
      <c r="E925" s="11" t="s">
        <v>573</v>
      </c>
      <c r="F925" s="11" t="s">
        <v>26</v>
      </c>
      <c r="G925" s="11" t="s">
        <v>26</v>
      </c>
      <c r="H925" s="12" t="s">
        <v>4443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143</v>
      </c>
      <c r="AA925" s="12" t="s">
        <v>78</v>
      </c>
    </row>
    <row r="926" spans="1:27" x14ac:dyDescent="0.25">
      <c r="A926" s="10">
        <v>45673</v>
      </c>
      <c r="B926" s="11" t="s">
        <v>699</v>
      </c>
      <c r="C926" s="11" t="s">
        <v>2468</v>
      </c>
      <c r="D926" s="11" t="s">
        <v>26</v>
      </c>
      <c r="E926" s="11" t="s">
        <v>101</v>
      </c>
      <c r="F926" s="11" t="s">
        <v>26</v>
      </c>
      <c r="G926" s="11">
        <v>21717</v>
      </c>
      <c r="H926" s="12" t="s">
        <v>4470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2469</v>
      </c>
      <c r="C927" s="11" t="s">
        <v>2470</v>
      </c>
      <c r="D927" s="11" t="s">
        <v>26</v>
      </c>
      <c r="E927" s="11" t="s">
        <v>547</v>
      </c>
      <c r="F927" s="11" t="s">
        <v>26</v>
      </c>
      <c r="G927" s="11">
        <v>70161</v>
      </c>
      <c r="H927" s="12" t="s">
        <v>4470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2471</v>
      </c>
      <c r="C928" s="11" t="s">
        <v>2472</v>
      </c>
      <c r="D928" s="11" t="s">
        <v>26</v>
      </c>
      <c r="E928" s="11" t="s">
        <v>100</v>
      </c>
      <c r="F928" s="11" t="s">
        <v>26</v>
      </c>
      <c r="G928" s="11">
        <v>57984</v>
      </c>
      <c r="H928" s="12" t="s">
        <v>4444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269</v>
      </c>
      <c r="C929" s="11" t="s">
        <v>2473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4443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144</v>
      </c>
      <c r="AA929" s="12" t="s">
        <v>78</v>
      </c>
    </row>
    <row r="930" spans="1:27" x14ac:dyDescent="0.25">
      <c r="A930" s="10">
        <v>45673</v>
      </c>
      <c r="B930" s="11" t="s">
        <v>2474</v>
      </c>
      <c r="C930" s="11" t="s">
        <v>2475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4470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2476</v>
      </c>
      <c r="C931" s="11" t="s">
        <v>2477</v>
      </c>
      <c r="D931" s="11" t="s">
        <v>26</v>
      </c>
      <c r="E931" s="11" t="s">
        <v>187</v>
      </c>
      <c r="F931" s="11" t="s">
        <v>26</v>
      </c>
      <c r="G931" s="11" t="s">
        <v>26</v>
      </c>
      <c r="H931" s="12" t="s">
        <v>4443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144</v>
      </c>
      <c r="AA931" s="12" t="s">
        <v>78</v>
      </c>
    </row>
    <row r="932" spans="1:27" x14ac:dyDescent="0.25">
      <c r="A932" s="10">
        <v>45673</v>
      </c>
      <c r="B932" s="11" t="s">
        <v>1381</v>
      </c>
      <c r="C932" s="11" t="s">
        <v>2478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2479</v>
      </c>
      <c r="C933" s="11" t="s">
        <v>2480</v>
      </c>
      <c r="D933" s="11" t="s">
        <v>26</v>
      </c>
      <c r="E933" s="11" t="s">
        <v>99</v>
      </c>
      <c r="F933" s="11" t="s">
        <v>26</v>
      </c>
      <c r="G933" s="11" t="s">
        <v>26</v>
      </c>
      <c r="H933" s="12" t="s">
        <v>4443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143</v>
      </c>
      <c r="AA933" s="12" t="s">
        <v>78</v>
      </c>
    </row>
    <row r="934" spans="1:27" x14ac:dyDescent="0.25">
      <c r="A934" s="10">
        <v>45673</v>
      </c>
      <c r="B934" s="11" t="s">
        <v>2481</v>
      </c>
      <c r="C934" s="11" t="s">
        <v>2482</v>
      </c>
      <c r="D934" s="11" t="s">
        <v>26</v>
      </c>
      <c r="E934" s="11" t="s">
        <v>555</v>
      </c>
      <c r="F934" s="11" t="s">
        <v>26</v>
      </c>
      <c r="G934" s="11">
        <v>69115</v>
      </c>
      <c r="H934" s="12" t="s">
        <v>4444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2483</v>
      </c>
      <c r="C935" s="11" t="s">
        <v>2484</v>
      </c>
      <c r="D935" s="11" t="s">
        <v>26</v>
      </c>
      <c r="E935" s="11" t="s">
        <v>608</v>
      </c>
      <c r="F935" s="11" t="s">
        <v>26</v>
      </c>
      <c r="G935" s="11">
        <v>762</v>
      </c>
      <c r="H935" s="12" t="s">
        <v>144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2485</v>
      </c>
      <c r="C936" s="11" t="s">
        <v>2486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166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686</v>
      </c>
      <c r="C937" s="11" t="s">
        <v>2487</v>
      </c>
      <c r="D937" s="11" t="s">
        <v>26</v>
      </c>
      <c r="E937" s="11" t="s">
        <v>449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475</v>
      </c>
      <c r="C938" s="11" t="s">
        <v>2488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740</v>
      </c>
      <c r="C939" s="11" t="s">
        <v>2489</v>
      </c>
      <c r="D939" s="11" t="s">
        <v>26</v>
      </c>
      <c r="E939" s="11" t="s">
        <v>227</v>
      </c>
      <c r="F939" s="11" t="s">
        <v>26</v>
      </c>
      <c r="G939" s="11">
        <v>55322</v>
      </c>
      <c r="H939" s="12" t="s">
        <v>4444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757</v>
      </c>
      <c r="C940" s="11" t="s">
        <v>2490</v>
      </c>
      <c r="D940" s="11" t="s">
        <v>26</v>
      </c>
      <c r="E940" s="11" t="s">
        <v>592</v>
      </c>
      <c r="F940" s="11" t="s">
        <v>26</v>
      </c>
      <c r="G940" s="11">
        <v>4580</v>
      </c>
      <c r="H940" s="12" t="s">
        <v>4444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2491</v>
      </c>
      <c r="C941" s="11" t="s">
        <v>2492</v>
      </c>
      <c r="D941" s="11" t="s">
        <v>26</v>
      </c>
      <c r="E941" s="11" t="s">
        <v>508</v>
      </c>
      <c r="F941" s="11" t="s">
        <v>26</v>
      </c>
      <c r="G941" s="11">
        <v>763</v>
      </c>
      <c r="H941" s="12" t="s">
        <v>144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1453</v>
      </c>
      <c r="C942" s="11" t="s">
        <v>2493</v>
      </c>
      <c r="D942" s="11" t="s">
        <v>26</v>
      </c>
      <c r="E942" s="11" t="s">
        <v>523</v>
      </c>
      <c r="F942" s="11" t="s">
        <v>26</v>
      </c>
      <c r="G942" s="11" t="s">
        <v>26</v>
      </c>
      <c r="H942" s="12" t="s">
        <v>4443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143</v>
      </c>
      <c r="AA942" s="12" t="s">
        <v>78</v>
      </c>
    </row>
    <row r="943" spans="1:27" x14ac:dyDescent="0.25">
      <c r="A943" s="10">
        <v>45673</v>
      </c>
      <c r="B943" s="11" t="s">
        <v>191</v>
      </c>
      <c r="C943" s="11" t="s">
        <v>2494</v>
      </c>
      <c r="D943" s="11" t="s">
        <v>26</v>
      </c>
      <c r="E943" s="11" t="s">
        <v>438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569</v>
      </c>
      <c r="K943" s="12" t="s">
        <v>553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394</v>
      </c>
      <c r="C944" s="11" t="s">
        <v>2495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4443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143</v>
      </c>
      <c r="AA944" s="12" t="s">
        <v>78</v>
      </c>
    </row>
    <row r="945" spans="1:27" x14ac:dyDescent="0.25">
      <c r="A945" s="10">
        <v>45673</v>
      </c>
      <c r="B945" s="11" t="s">
        <v>2496</v>
      </c>
      <c r="C945" s="11" t="s">
        <v>2497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2498</v>
      </c>
      <c r="C946" s="11" t="s">
        <v>2499</v>
      </c>
      <c r="D946" s="11" t="s">
        <v>26</v>
      </c>
      <c r="E946" s="11" t="s">
        <v>243</v>
      </c>
      <c r="F946" s="11" t="s">
        <v>26</v>
      </c>
      <c r="G946" s="11" t="s">
        <v>26</v>
      </c>
      <c r="H946" s="12" t="s">
        <v>149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2500</v>
      </c>
      <c r="C947" s="11" t="s">
        <v>2501</v>
      </c>
      <c r="D947" s="11" t="s">
        <v>26</v>
      </c>
      <c r="E947" s="11" t="s">
        <v>556</v>
      </c>
      <c r="F947" s="11" t="s">
        <v>26</v>
      </c>
      <c r="G947" s="11">
        <v>59489</v>
      </c>
      <c r="H947" s="12" t="s">
        <v>4444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471</v>
      </c>
      <c r="C948" s="11" t="s">
        <v>2502</v>
      </c>
      <c r="D948" s="11" t="s">
        <v>26</v>
      </c>
      <c r="E948" s="11" t="s">
        <v>576</v>
      </c>
      <c r="F948" s="11" t="s">
        <v>26</v>
      </c>
      <c r="G948" s="11">
        <v>112064</v>
      </c>
      <c r="H948" s="12" t="s">
        <v>4468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390</v>
      </c>
      <c r="C949" s="11" t="s">
        <v>2503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4468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1217</v>
      </c>
      <c r="C950" s="11" t="s">
        <v>2504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4468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467</v>
      </c>
      <c r="C951" s="11" t="s">
        <v>2505</v>
      </c>
      <c r="D951" s="11" t="s">
        <v>26</v>
      </c>
      <c r="E951" s="11" t="s">
        <v>1221</v>
      </c>
      <c r="F951" s="11" t="s">
        <v>26</v>
      </c>
      <c r="G951" s="11">
        <v>987</v>
      </c>
      <c r="H951" s="12" t="s">
        <v>166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732</v>
      </c>
      <c r="C952" s="11" t="s">
        <v>2506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568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706</v>
      </c>
      <c r="C953" s="11" t="s">
        <v>2507</v>
      </c>
      <c r="D953" s="11" t="s">
        <v>26</v>
      </c>
      <c r="E953" s="11" t="s">
        <v>233</v>
      </c>
      <c r="F953" s="11" t="s">
        <v>26</v>
      </c>
      <c r="G953" s="11" t="s">
        <v>26</v>
      </c>
      <c r="H953" s="12" t="s">
        <v>4443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568</v>
      </c>
      <c r="AA953" s="12" t="s">
        <v>78</v>
      </c>
    </row>
    <row r="954" spans="1:27" x14ac:dyDescent="0.25">
      <c r="A954" s="10">
        <v>45673</v>
      </c>
      <c r="B954" s="11" t="s">
        <v>431</v>
      </c>
      <c r="C954" s="11" t="s">
        <v>2508</v>
      </c>
      <c r="D954" s="11" t="s">
        <v>26</v>
      </c>
      <c r="E954" s="11" t="s">
        <v>528</v>
      </c>
      <c r="F954" s="11" t="s">
        <v>26</v>
      </c>
      <c r="G954" s="11">
        <v>26313</v>
      </c>
      <c r="H954" s="12" t="s">
        <v>4470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2509</v>
      </c>
      <c r="C955" s="11" t="s">
        <v>2510</v>
      </c>
      <c r="D955" s="11" t="s">
        <v>26</v>
      </c>
      <c r="E955" s="11" t="s">
        <v>547</v>
      </c>
      <c r="F955" s="11" t="s">
        <v>26</v>
      </c>
      <c r="G955" s="11">
        <v>70162</v>
      </c>
      <c r="H955" s="12" t="s">
        <v>4470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455</v>
      </c>
      <c r="C956" s="11" t="s">
        <v>2511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4443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144</v>
      </c>
      <c r="AA956" s="12" t="s">
        <v>78</v>
      </c>
    </row>
    <row r="957" spans="1:27" x14ac:dyDescent="0.25">
      <c r="A957" s="10">
        <v>45673</v>
      </c>
      <c r="B957" s="11" t="s">
        <v>426</v>
      </c>
      <c r="C957" s="11" t="s">
        <v>2512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277</v>
      </c>
      <c r="C958" s="11" t="s">
        <v>2513</v>
      </c>
      <c r="D958" s="11" t="s">
        <v>26</v>
      </c>
      <c r="E958" s="11" t="s">
        <v>99</v>
      </c>
      <c r="F958" s="11" t="s">
        <v>26</v>
      </c>
      <c r="G958" s="11">
        <v>10139</v>
      </c>
      <c r="H958" s="12" t="s">
        <v>143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2514</v>
      </c>
      <c r="C959" s="11" t="s">
        <v>2515</v>
      </c>
      <c r="D959" s="11" t="s">
        <v>26</v>
      </c>
      <c r="E959" s="11" t="s">
        <v>187</v>
      </c>
      <c r="F959" s="11" t="s">
        <v>26</v>
      </c>
      <c r="G959" s="11">
        <v>764</v>
      </c>
      <c r="H959" s="12" t="s">
        <v>144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2516</v>
      </c>
      <c r="C960" s="11" t="s">
        <v>2517</v>
      </c>
      <c r="D960" s="11" t="s">
        <v>26</v>
      </c>
      <c r="E960" s="11" t="s">
        <v>555</v>
      </c>
      <c r="F960" s="11" t="s">
        <v>26</v>
      </c>
      <c r="G960" s="11">
        <v>69116</v>
      </c>
      <c r="H960" s="12" t="s">
        <v>4444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2518</v>
      </c>
      <c r="C961" s="11" t="s">
        <v>2519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630</v>
      </c>
      <c r="C962" s="11" t="s">
        <v>2520</v>
      </c>
      <c r="D962" s="11" t="s">
        <v>26</v>
      </c>
      <c r="E962" s="11" t="s">
        <v>608</v>
      </c>
      <c r="F962" s="11" t="s">
        <v>26</v>
      </c>
      <c r="G962" s="11">
        <v>765</v>
      </c>
      <c r="H962" s="12" t="s">
        <v>144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389</v>
      </c>
      <c r="C963" s="11" t="s">
        <v>2521</v>
      </c>
      <c r="D963" s="11" t="s">
        <v>26</v>
      </c>
      <c r="E963" s="11" t="s">
        <v>508</v>
      </c>
      <c r="F963" s="11" t="s">
        <v>26</v>
      </c>
      <c r="G963" s="11">
        <v>766</v>
      </c>
      <c r="H963" s="12" t="s">
        <v>144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2491</v>
      </c>
      <c r="C964" s="11" t="s">
        <v>2522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2523</v>
      </c>
      <c r="C965" s="11" t="s">
        <v>2524</v>
      </c>
      <c r="D965" s="11" t="s">
        <v>26</v>
      </c>
      <c r="E965" s="11" t="s">
        <v>509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368</v>
      </c>
      <c r="C966" s="11" t="s">
        <v>2525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131</v>
      </c>
      <c r="C967" s="11" t="s">
        <v>2526</v>
      </c>
      <c r="D967" s="11" t="s">
        <v>26</v>
      </c>
      <c r="E967" s="11" t="s">
        <v>247</v>
      </c>
      <c r="F967" s="11" t="s">
        <v>26</v>
      </c>
      <c r="G967" s="11">
        <v>951</v>
      </c>
      <c r="H967" s="12" t="s">
        <v>144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2527</v>
      </c>
      <c r="C968" s="11" t="s">
        <v>2528</v>
      </c>
      <c r="D968" s="11" t="s">
        <v>26</v>
      </c>
      <c r="E968" s="11" t="s">
        <v>240</v>
      </c>
      <c r="F968" s="11" t="s">
        <v>26</v>
      </c>
      <c r="G968" s="11">
        <v>44291</v>
      </c>
      <c r="H968" s="12" t="s">
        <v>4444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2026</v>
      </c>
      <c r="C969" s="11" t="s">
        <v>2529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1336</v>
      </c>
      <c r="C970" s="11" t="s">
        <v>2530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4468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2531</v>
      </c>
      <c r="C971" s="11" t="s">
        <v>2532</v>
      </c>
      <c r="D971" s="11" t="s">
        <v>26</v>
      </c>
      <c r="E971" s="11" t="s">
        <v>573</v>
      </c>
      <c r="F971" s="11" t="s">
        <v>26</v>
      </c>
      <c r="G971" s="11">
        <v>10325</v>
      </c>
      <c r="H971" s="12" t="s">
        <v>143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1322</v>
      </c>
      <c r="C972" s="11" t="s">
        <v>2533</v>
      </c>
      <c r="D972" s="11" t="s">
        <v>26</v>
      </c>
      <c r="E972" s="11" t="s">
        <v>233</v>
      </c>
      <c r="F972" s="11" t="s">
        <v>26</v>
      </c>
      <c r="G972" s="11" t="s">
        <v>26</v>
      </c>
      <c r="H972" s="12" t="s">
        <v>4443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568</v>
      </c>
      <c r="AA972" s="12" t="s">
        <v>78</v>
      </c>
    </row>
    <row r="973" spans="1:27" x14ac:dyDescent="0.25">
      <c r="A973" s="10">
        <v>45673</v>
      </c>
      <c r="B973" s="11" t="s">
        <v>2534</v>
      </c>
      <c r="C973" s="11" t="s">
        <v>2535</v>
      </c>
      <c r="D973" s="11" t="s">
        <v>26</v>
      </c>
      <c r="E973" s="11" t="s">
        <v>101</v>
      </c>
      <c r="F973" s="11" t="s">
        <v>26</v>
      </c>
      <c r="G973" s="11">
        <v>21718</v>
      </c>
      <c r="H973" s="12" t="s">
        <v>4470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2536</v>
      </c>
      <c r="C974" s="11" t="s">
        <v>2537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568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718</v>
      </c>
      <c r="C975" s="11" t="s">
        <v>2538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2539</v>
      </c>
      <c r="C976" s="11" t="s">
        <v>2540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2485</v>
      </c>
      <c r="C977" s="11" t="s">
        <v>2541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237</v>
      </c>
      <c r="C978" s="11" t="s">
        <v>2542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4443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143</v>
      </c>
      <c r="AA978" s="12" t="s">
        <v>78</v>
      </c>
    </row>
    <row r="979" spans="1:27" x14ac:dyDescent="0.25">
      <c r="A979" s="10">
        <v>45673</v>
      </c>
      <c r="B979" s="11" t="s">
        <v>237</v>
      </c>
      <c r="C979" s="11" t="s">
        <v>2543</v>
      </c>
      <c r="D979" s="11" t="s">
        <v>26</v>
      </c>
      <c r="E979" s="11" t="s">
        <v>102</v>
      </c>
      <c r="F979" s="11" t="s">
        <v>26</v>
      </c>
      <c r="G979" s="11">
        <v>69214</v>
      </c>
      <c r="H979" s="12" t="s">
        <v>4444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237</v>
      </c>
      <c r="C980" s="11" t="s">
        <v>2544</v>
      </c>
      <c r="D980" s="11" t="s">
        <v>26</v>
      </c>
      <c r="E980" s="11" t="s">
        <v>99</v>
      </c>
      <c r="F980" s="11" t="s">
        <v>26</v>
      </c>
      <c r="G980" s="11">
        <v>10140</v>
      </c>
      <c r="H980" s="12" t="s">
        <v>143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2031</v>
      </c>
      <c r="C981" s="11" t="s">
        <v>2545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166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2546</v>
      </c>
      <c r="C982" s="11" t="s">
        <v>2547</v>
      </c>
      <c r="D982" s="11" t="s">
        <v>26</v>
      </c>
      <c r="E982" s="11" t="s">
        <v>555</v>
      </c>
      <c r="F982" s="11" t="s">
        <v>26</v>
      </c>
      <c r="G982" s="11">
        <v>69117</v>
      </c>
      <c r="H982" s="12" t="s">
        <v>4444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342</v>
      </c>
      <c r="C983" s="11" t="s">
        <v>2548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367</v>
      </c>
      <c r="C984" s="11" t="s">
        <v>2549</v>
      </c>
      <c r="D984" s="11" t="s">
        <v>26</v>
      </c>
      <c r="E984" s="11" t="s">
        <v>98</v>
      </c>
      <c r="F984" s="11" t="s">
        <v>26</v>
      </c>
      <c r="G984" s="11">
        <v>5447</v>
      </c>
      <c r="H984" s="12" t="s">
        <v>4469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2550</v>
      </c>
      <c r="C985" s="11" t="s">
        <v>2551</v>
      </c>
      <c r="D985" s="11" t="s">
        <v>26</v>
      </c>
      <c r="E985" s="11" t="s">
        <v>512</v>
      </c>
      <c r="F985" s="11" t="s">
        <v>26</v>
      </c>
      <c r="G985" s="11" t="s">
        <v>26</v>
      </c>
      <c r="H985" s="12" t="s">
        <v>4443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144</v>
      </c>
      <c r="AA985" s="12" t="s">
        <v>78</v>
      </c>
    </row>
    <row r="986" spans="1:27" x14ac:dyDescent="0.25">
      <c r="A986" s="10">
        <v>45673</v>
      </c>
      <c r="B986" s="11" t="s">
        <v>2552</v>
      </c>
      <c r="C986" s="11" t="s">
        <v>2553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2554</v>
      </c>
      <c r="C987" s="11" t="s">
        <v>2555</v>
      </c>
      <c r="D987" s="11" t="s">
        <v>26</v>
      </c>
      <c r="E987" s="11" t="s">
        <v>249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2556</v>
      </c>
      <c r="C988" s="11" t="s">
        <v>2557</v>
      </c>
      <c r="D988" s="11" t="s">
        <v>26</v>
      </c>
      <c r="E988" s="11" t="s">
        <v>437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692</v>
      </c>
      <c r="C989" s="11" t="s">
        <v>2558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568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2559</v>
      </c>
      <c r="C990" s="11" t="s">
        <v>2560</v>
      </c>
      <c r="D990" s="11" t="s">
        <v>26</v>
      </c>
      <c r="E990" s="11" t="s">
        <v>233</v>
      </c>
      <c r="F990" s="11" t="s">
        <v>26</v>
      </c>
      <c r="G990" s="11">
        <v>23133</v>
      </c>
      <c r="H990" s="12" t="s">
        <v>568</v>
      </c>
      <c r="I990" s="12" t="s">
        <v>55</v>
      </c>
      <c r="J990" s="12" t="s">
        <v>569</v>
      </c>
      <c r="K990" s="12" t="s">
        <v>553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2561</v>
      </c>
      <c r="C991" s="11" t="s">
        <v>2562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2563</v>
      </c>
      <c r="C992" s="11" t="s">
        <v>2564</v>
      </c>
      <c r="D992" s="11" t="s">
        <v>26</v>
      </c>
      <c r="E992" s="11" t="s">
        <v>662</v>
      </c>
      <c r="F992" s="11" t="s">
        <v>26</v>
      </c>
      <c r="G992" s="11">
        <v>767</v>
      </c>
      <c r="H992" s="12" t="s">
        <v>144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2565</v>
      </c>
      <c r="C993" s="11" t="s">
        <v>2566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4468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722</v>
      </c>
      <c r="C994" s="11" t="s">
        <v>2567</v>
      </c>
      <c r="D994" s="11" t="s">
        <v>26</v>
      </c>
      <c r="E994" s="11" t="s">
        <v>504</v>
      </c>
      <c r="F994" s="11" t="s">
        <v>26</v>
      </c>
      <c r="G994" s="11">
        <v>768</v>
      </c>
      <c r="H994" s="12" t="s">
        <v>144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419</v>
      </c>
      <c r="C995" s="11" t="s">
        <v>2568</v>
      </c>
      <c r="D995" s="11" t="s">
        <v>26</v>
      </c>
      <c r="E995" s="11" t="s">
        <v>607</v>
      </c>
      <c r="F995" s="11" t="s">
        <v>26</v>
      </c>
      <c r="G995" s="11">
        <v>769</v>
      </c>
      <c r="H995" s="12" t="s">
        <v>144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455</v>
      </c>
      <c r="C996" s="11" t="s">
        <v>2569</v>
      </c>
      <c r="D996" s="11" t="s">
        <v>26</v>
      </c>
      <c r="E996" s="11" t="s">
        <v>101</v>
      </c>
      <c r="F996" s="11" t="s">
        <v>26</v>
      </c>
      <c r="G996" s="11">
        <v>21719</v>
      </c>
      <c r="H996" s="12" t="s">
        <v>4470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2570</v>
      </c>
      <c r="C997" s="11" t="s">
        <v>2571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4443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144</v>
      </c>
      <c r="AA997" s="12" t="s">
        <v>78</v>
      </c>
    </row>
    <row r="998" spans="1:27" x14ac:dyDescent="0.25">
      <c r="A998" s="10">
        <v>45674</v>
      </c>
      <c r="B998" s="11" t="s">
        <v>1072</v>
      </c>
      <c r="C998" s="11" t="s">
        <v>2572</v>
      </c>
      <c r="D998" s="11" t="s">
        <v>26</v>
      </c>
      <c r="E998" s="11" t="s">
        <v>187</v>
      </c>
      <c r="F998" s="11" t="s">
        <v>26</v>
      </c>
      <c r="G998" s="11" t="s">
        <v>26</v>
      </c>
      <c r="H998" s="12" t="s">
        <v>4443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144</v>
      </c>
      <c r="AA998" s="12" t="s">
        <v>78</v>
      </c>
    </row>
    <row r="999" spans="1:27" x14ac:dyDescent="0.25">
      <c r="A999" s="10">
        <v>45674</v>
      </c>
      <c r="B999" s="11" t="s">
        <v>2573</v>
      </c>
      <c r="C999" s="11" t="s">
        <v>2574</v>
      </c>
      <c r="D999" s="11" t="s">
        <v>26</v>
      </c>
      <c r="E999" s="11" t="s">
        <v>100</v>
      </c>
      <c r="F999" s="11" t="s">
        <v>26</v>
      </c>
      <c r="G999" s="11">
        <v>57987</v>
      </c>
      <c r="H999" s="12" t="s">
        <v>4444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747</v>
      </c>
      <c r="C1000" s="11" t="s">
        <v>2575</v>
      </c>
      <c r="D1000" s="11" t="s">
        <v>26</v>
      </c>
      <c r="E1000" s="11" t="s">
        <v>556</v>
      </c>
      <c r="F1000" s="11" t="s">
        <v>26</v>
      </c>
      <c r="G1000" s="11">
        <v>44145</v>
      </c>
      <c r="H1000" s="12" t="s">
        <v>4444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686</v>
      </c>
      <c r="C1001" s="11" t="s">
        <v>2576</v>
      </c>
      <c r="D1001" s="11" t="s">
        <v>26</v>
      </c>
      <c r="E1001" s="11" t="s">
        <v>608</v>
      </c>
      <c r="F1001" s="11" t="s">
        <v>26</v>
      </c>
      <c r="G1001" s="11" t="s">
        <v>26</v>
      </c>
      <c r="H1001" s="12" t="s">
        <v>4443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144</v>
      </c>
      <c r="AA1001" s="12" t="s">
        <v>78</v>
      </c>
    </row>
    <row r="1002" spans="1:27" x14ac:dyDescent="0.25">
      <c r="A1002" s="10">
        <v>45674</v>
      </c>
      <c r="B1002" s="11" t="s">
        <v>2577</v>
      </c>
      <c r="C1002" s="11" t="s">
        <v>2578</v>
      </c>
      <c r="D1002" s="11" t="s">
        <v>26</v>
      </c>
      <c r="E1002" s="11" t="s">
        <v>555</v>
      </c>
      <c r="F1002" s="11" t="s">
        <v>26</v>
      </c>
      <c r="G1002" s="11">
        <v>69118</v>
      </c>
      <c r="H1002" s="12" t="s">
        <v>4444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203</v>
      </c>
      <c r="C1003" s="11" t="s">
        <v>2579</v>
      </c>
      <c r="D1003" s="11" t="s">
        <v>26</v>
      </c>
      <c r="E1003" s="11" t="s">
        <v>509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2580</v>
      </c>
      <c r="C1004" s="11" t="s">
        <v>2581</v>
      </c>
      <c r="D1004" s="11" t="s">
        <v>26</v>
      </c>
      <c r="E1004" s="11" t="s">
        <v>2130</v>
      </c>
      <c r="F1004" s="11" t="s">
        <v>26</v>
      </c>
      <c r="G1004" s="11" t="s">
        <v>26</v>
      </c>
      <c r="H1004" s="12" t="s">
        <v>4443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143</v>
      </c>
      <c r="AA1004" s="12" t="s">
        <v>78</v>
      </c>
    </row>
    <row r="1005" spans="1:27" x14ac:dyDescent="0.25">
      <c r="A1005" s="10">
        <v>45674</v>
      </c>
      <c r="B1005" s="11" t="s">
        <v>1877</v>
      </c>
      <c r="C1005" s="11" t="s">
        <v>2582</v>
      </c>
      <c r="D1005" s="11" t="s">
        <v>26</v>
      </c>
      <c r="E1005" s="11" t="s">
        <v>227</v>
      </c>
      <c r="F1005" s="11" t="s">
        <v>26</v>
      </c>
      <c r="G1005" s="11">
        <v>55324</v>
      </c>
      <c r="H1005" s="12" t="s">
        <v>4444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466</v>
      </c>
      <c r="C1006" s="11" t="s">
        <v>2583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709</v>
      </c>
      <c r="C1007" s="11" t="s">
        <v>2584</v>
      </c>
      <c r="D1007" s="11" t="s">
        <v>26</v>
      </c>
      <c r="E1007" s="11" t="s">
        <v>486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2585</v>
      </c>
      <c r="C1008" s="11" t="s">
        <v>2586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136</v>
      </c>
      <c r="C1009" s="11" t="s">
        <v>2587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721</v>
      </c>
      <c r="C1010" s="11" t="s">
        <v>2588</v>
      </c>
      <c r="D1010" s="11" t="s">
        <v>26</v>
      </c>
      <c r="E1010" s="11" t="s">
        <v>564</v>
      </c>
      <c r="F1010" s="11" t="s">
        <v>26</v>
      </c>
      <c r="G1010" s="11">
        <v>112131</v>
      </c>
      <c r="H1010" s="12" t="s">
        <v>4468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2589</v>
      </c>
      <c r="C1011" s="11" t="s">
        <v>2590</v>
      </c>
      <c r="D1011" s="11" t="s">
        <v>26</v>
      </c>
      <c r="E1011" s="11" t="s">
        <v>607</v>
      </c>
      <c r="F1011" s="11" t="s">
        <v>26</v>
      </c>
      <c r="G1011" s="11" t="s">
        <v>26</v>
      </c>
      <c r="H1011" s="12" t="s">
        <v>4445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144</v>
      </c>
      <c r="AA1011" s="12" t="s">
        <v>661</v>
      </c>
    </row>
    <row r="1012" spans="1:27" x14ac:dyDescent="0.25">
      <c r="A1012" s="10">
        <v>45674</v>
      </c>
      <c r="B1012" s="11" t="s">
        <v>2591</v>
      </c>
      <c r="C1012" s="11" t="s">
        <v>2592</v>
      </c>
      <c r="D1012" s="11" t="s">
        <v>26</v>
      </c>
      <c r="E1012" s="11" t="s">
        <v>592</v>
      </c>
      <c r="F1012" s="11" t="s">
        <v>26</v>
      </c>
      <c r="G1012" s="11">
        <v>4582</v>
      </c>
      <c r="H1012" s="12" t="s">
        <v>4444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408</v>
      </c>
      <c r="C1013" s="11" t="s">
        <v>2593</v>
      </c>
      <c r="D1013" s="11" t="s">
        <v>26</v>
      </c>
      <c r="E1013" s="11" t="s">
        <v>243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2594</v>
      </c>
      <c r="C1014" s="11" t="s">
        <v>2595</v>
      </c>
      <c r="D1014" s="11" t="s">
        <v>26</v>
      </c>
      <c r="E1014" s="11" t="s">
        <v>99</v>
      </c>
      <c r="F1014" s="11" t="s">
        <v>26</v>
      </c>
      <c r="G1014" s="11" t="s">
        <v>26</v>
      </c>
      <c r="H1014" s="12" t="s">
        <v>4443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143</v>
      </c>
      <c r="AA1014" s="12" t="s">
        <v>78</v>
      </c>
    </row>
    <row r="1015" spans="1:27" x14ac:dyDescent="0.25">
      <c r="A1015" s="10">
        <v>45674</v>
      </c>
      <c r="B1015" s="11" t="s">
        <v>2596</v>
      </c>
      <c r="C1015" s="11" t="s">
        <v>2597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4444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265</v>
      </c>
      <c r="C1016" s="11" t="s">
        <v>2598</v>
      </c>
      <c r="D1016" s="11" t="s">
        <v>26</v>
      </c>
      <c r="E1016" s="11" t="s">
        <v>240</v>
      </c>
      <c r="F1016" s="11" t="s">
        <v>26</v>
      </c>
      <c r="G1016" s="11">
        <v>44293</v>
      </c>
      <c r="H1016" s="12" t="s">
        <v>4444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2599</v>
      </c>
      <c r="C1017" s="11" t="s">
        <v>2600</v>
      </c>
      <c r="D1017" s="11" t="s">
        <v>26</v>
      </c>
      <c r="E1017" s="11" t="s">
        <v>662</v>
      </c>
      <c r="F1017" s="11" t="s">
        <v>26</v>
      </c>
      <c r="G1017" s="11">
        <v>851</v>
      </c>
      <c r="H1017" s="12" t="s">
        <v>144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313</v>
      </c>
      <c r="C1018" s="11" t="s">
        <v>2601</v>
      </c>
      <c r="D1018" s="11" t="s">
        <v>26</v>
      </c>
      <c r="E1018" s="11" t="s">
        <v>512</v>
      </c>
      <c r="F1018" s="11" t="s">
        <v>26</v>
      </c>
      <c r="G1018" s="11">
        <v>1301</v>
      </c>
      <c r="H1018" s="12" t="s">
        <v>144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647</v>
      </c>
      <c r="C1019" s="11" t="s">
        <v>2602</v>
      </c>
      <c r="D1019" s="11" t="s">
        <v>26</v>
      </c>
      <c r="E1019" s="11" t="s">
        <v>596</v>
      </c>
      <c r="F1019" s="11" t="s">
        <v>26</v>
      </c>
      <c r="G1019" s="11">
        <v>59490</v>
      </c>
      <c r="H1019" s="12" t="s">
        <v>4444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2603</v>
      </c>
      <c r="C1020" s="11" t="s">
        <v>2604</v>
      </c>
      <c r="D1020" s="11" t="s">
        <v>26</v>
      </c>
      <c r="E1020" s="11" t="s">
        <v>2147</v>
      </c>
      <c r="F1020" s="11" t="s">
        <v>26</v>
      </c>
      <c r="G1020" s="11">
        <v>112132</v>
      </c>
      <c r="H1020" s="12" t="s">
        <v>4468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1726</v>
      </c>
      <c r="C1021" s="11" t="s">
        <v>2605</v>
      </c>
      <c r="D1021" s="11" t="s">
        <v>26</v>
      </c>
      <c r="E1021" s="11" t="s">
        <v>575</v>
      </c>
      <c r="F1021" s="11" t="s">
        <v>26</v>
      </c>
      <c r="G1021" s="11">
        <v>112205</v>
      </c>
      <c r="H1021" s="12" t="s">
        <v>4468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712</v>
      </c>
      <c r="C1022" s="11" t="s">
        <v>2606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568</v>
      </c>
      <c r="I1022" s="12" t="s">
        <v>55</v>
      </c>
      <c r="J1022" s="12" t="s">
        <v>569</v>
      </c>
      <c r="K1022" s="12" t="s">
        <v>553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734</v>
      </c>
      <c r="C1023" s="11" t="s">
        <v>2607</v>
      </c>
      <c r="D1023" s="11" t="s">
        <v>26</v>
      </c>
      <c r="E1023" s="11" t="s">
        <v>233</v>
      </c>
      <c r="F1023" s="11" t="s">
        <v>26</v>
      </c>
      <c r="G1023" s="11">
        <v>23134</v>
      </c>
      <c r="H1023" s="12" t="s">
        <v>568</v>
      </c>
      <c r="I1023" s="12" t="s">
        <v>55</v>
      </c>
      <c r="J1023" s="12" t="s">
        <v>569</v>
      </c>
      <c r="K1023" s="12" t="s">
        <v>553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2608</v>
      </c>
      <c r="C1024" s="11" t="s">
        <v>2609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4443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143</v>
      </c>
      <c r="AA1024" s="12" t="s">
        <v>78</v>
      </c>
    </row>
    <row r="1025" spans="1:27" x14ac:dyDescent="0.25">
      <c r="A1025" s="10">
        <v>45674</v>
      </c>
      <c r="B1025" s="11" t="s">
        <v>286</v>
      </c>
      <c r="C1025" s="11" t="s">
        <v>2610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4444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2611</v>
      </c>
      <c r="C1026" s="11" t="s">
        <v>2612</v>
      </c>
      <c r="D1026" s="11" t="s">
        <v>26</v>
      </c>
      <c r="E1026" s="11" t="s">
        <v>101</v>
      </c>
      <c r="F1026" s="11" t="s">
        <v>26</v>
      </c>
      <c r="G1026" s="11">
        <v>21720</v>
      </c>
      <c r="H1026" s="12" t="s">
        <v>4470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2613</v>
      </c>
      <c r="C1027" s="11" t="s">
        <v>2614</v>
      </c>
      <c r="D1027" s="11" t="s">
        <v>26</v>
      </c>
      <c r="E1027" s="11" t="s">
        <v>523</v>
      </c>
      <c r="F1027" s="11" t="s">
        <v>26</v>
      </c>
      <c r="G1027" s="11">
        <v>4371</v>
      </c>
      <c r="H1027" s="12" t="s">
        <v>143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2615</v>
      </c>
      <c r="C1028" s="11" t="s">
        <v>2616</v>
      </c>
      <c r="D1028" s="11" t="s">
        <v>26</v>
      </c>
      <c r="E1028" s="11" t="s">
        <v>182</v>
      </c>
      <c r="F1028" s="11" t="s">
        <v>26</v>
      </c>
      <c r="G1028" s="11">
        <v>57725</v>
      </c>
      <c r="H1028" s="12" t="s">
        <v>4444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237</v>
      </c>
      <c r="C1029" s="11" t="s">
        <v>2617</v>
      </c>
      <c r="D1029" s="11" t="s">
        <v>26</v>
      </c>
      <c r="E1029" s="11" t="s">
        <v>573</v>
      </c>
      <c r="F1029" s="11" t="s">
        <v>26</v>
      </c>
      <c r="G1029" s="11">
        <v>10326</v>
      </c>
      <c r="H1029" s="12" t="s">
        <v>143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277</v>
      </c>
      <c r="C1030" s="11" t="s">
        <v>2618</v>
      </c>
      <c r="D1030" s="11" t="s">
        <v>26</v>
      </c>
      <c r="E1030" s="11" t="s">
        <v>555</v>
      </c>
      <c r="F1030" s="11" t="s">
        <v>26</v>
      </c>
      <c r="G1030" s="11">
        <v>69119</v>
      </c>
      <c r="H1030" s="12" t="s">
        <v>4444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395</v>
      </c>
      <c r="C1031" s="11" t="s">
        <v>2619</v>
      </c>
      <c r="D1031" s="11" t="s">
        <v>26</v>
      </c>
      <c r="E1031" s="11" t="s">
        <v>607</v>
      </c>
      <c r="F1031" s="11" t="s">
        <v>26</v>
      </c>
      <c r="G1031" s="11">
        <v>1101</v>
      </c>
      <c r="H1031" s="12" t="s">
        <v>144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2620</v>
      </c>
      <c r="D1032" s="11" t="s">
        <v>26</v>
      </c>
      <c r="E1032" s="11" t="s">
        <v>572</v>
      </c>
      <c r="F1032" s="11" t="s">
        <v>26</v>
      </c>
      <c r="G1032" s="11">
        <v>112160</v>
      </c>
      <c r="H1032" s="12" t="s">
        <v>4468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2621</v>
      </c>
      <c r="C1033" s="11" t="s">
        <v>2622</v>
      </c>
      <c r="D1033" s="11" t="s">
        <v>26</v>
      </c>
      <c r="E1033" s="11" t="s">
        <v>2130</v>
      </c>
      <c r="F1033" s="11" t="s">
        <v>26</v>
      </c>
      <c r="G1033" s="11">
        <v>10601</v>
      </c>
      <c r="H1033" s="12" t="s">
        <v>143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2623</v>
      </c>
      <c r="C1034" s="11" t="s">
        <v>2624</v>
      </c>
      <c r="D1034" s="11" t="s">
        <v>26</v>
      </c>
      <c r="E1034" s="11" t="s">
        <v>486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725</v>
      </c>
      <c r="C1035" s="11" t="s">
        <v>2625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331</v>
      </c>
      <c r="C1036" s="11" t="s">
        <v>2626</v>
      </c>
      <c r="D1036" s="11" t="s">
        <v>26</v>
      </c>
      <c r="E1036" s="11" t="s">
        <v>227</v>
      </c>
      <c r="F1036" s="11" t="s">
        <v>26</v>
      </c>
      <c r="G1036" s="11">
        <v>55325</v>
      </c>
      <c r="H1036" s="12" t="s">
        <v>4444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349</v>
      </c>
      <c r="C1037" s="11" t="s">
        <v>2627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1930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2628</v>
      </c>
      <c r="C1038" s="11" t="s">
        <v>2629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149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2630</v>
      </c>
      <c r="C1039" s="11" t="s">
        <v>2631</v>
      </c>
      <c r="D1039" s="11" t="s">
        <v>26</v>
      </c>
      <c r="E1039" s="11" t="s">
        <v>482</v>
      </c>
      <c r="F1039" s="11" t="s">
        <v>26</v>
      </c>
      <c r="G1039" s="11">
        <v>76339</v>
      </c>
      <c r="H1039" s="12" t="s">
        <v>4470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2632</v>
      </c>
      <c r="C1040" s="11" t="s">
        <v>2633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166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418</v>
      </c>
      <c r="C1041" s="11" t="s">
        <v>2634</v>
      </c>
      <c r="D1041" s="11" t="s">
        <v>26</v>
      </c>
      <c r="E1041" s="11" t="s">
        <v>243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319</v>
      </c>
      <c r="C1042" s="11" t="s">
        <v>2635</v>
      </c>
      <c r="D1042" s="11" t="s">
        <v>26</v>
      </c>
      <c r="E1042" s="11" t="s">
        <v>512</v>
      </c>
      <c r="F1042" s="11" t="s">
        <v>26</v>
      </c>
      <c r="G1042" s="11">
        <v>1302</v>
      </c>
      <c r="H1042" s="12" t="s">
        <v>144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128</v>
      </c>
      <c r="C1043" s="11" t="s">
        <v>2636</v>
      </c>
      <c r="D1043" s="11" t="s">
        <v>26</v>
      </c>
      <c r="E1043" s="11" t="s">
        <v>102</v>
      </c>
      <c r="F1043" s="11" t="s">
        <v>26</v>
      </c>
      <c r="G1043" s="11">
        <v>69217</v>
      </c>
      <c r="H1043" s="12" t="s">
        <v>4444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2637</v>
      </c>
      <c r="C1044" s="11" t="s">
        <v>2638</v>
      </c>
      <c r="D1044" s="11" t="s">
        <v>26</v>
      </c>
      <c r="E1044" s="11" t="s">
        <v>2639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1288</v>
      </c>
      <c r="C1045" s="11" t="s">
        <v>2640</v>
      </c>
      <c r="D1045" s="11" t="s">
        <v>26</v>
      </c>
      <c r="E1045" s="11" t="s">
        <v>662</v>
      </c>
      <c r="F1045" s="11" t="s">
        <v>26</v>
      </c>
      <c r="G1045" s="11">
        <v>852</v>
      </c>
      <c r="H1045" s="12" t="s">
        <v>144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393</v>
      </c>
      <c r="C1046" s="11" t="s">
        <v>2641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1930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2642</v>
      </c>
      <c r="C1047" s="11" t="s">
        <v>2643</v>
      </c>
      <c r="D1047" s="11" t="s">
        <v>26</v>
      </c>
      <c r="E1047" s="11" t="s">
        <v>592</v>
      </c>
      <c r="F1047" s="11" t="s">
        <v>26</v>
      </c>
      <c r="G1047" s="11">
        <v>4583</v>
      </c>
      <c r="H1047" s="12" t="s">
        <v>4444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2644</v>
      </c>
      <c r="C1048" s="11" t="s">
        <v>2645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274</v>
      </c>
      <c r="C1049" s="11" t="s">
        <v>2646</v>
      </c>
      <c r="D1049" s="11" t="s">
        <v>26</v>
      </c>
      <c r="E1049" s="11" t="s">
        <v>570</v>
      </c>
      <c r="F1049" s="11" t="s">
        <v>26</v>
      </c>
      <c r="G1049" s="11">
        <v>112123</v>
      </c>
      <c r="H1049" s="12" t="s">
        <v>4468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473</v>
      </c>
      <c r="C1050" s="11" t="s">
        <v>2647</v>
      </c>
      <c r="D1050" s="11" t="s">
        <v>26</v>
      </c>
      <c r="E1050" s="11" t="s">
        <v>1221</v>
      </c>
      <c r="F1050" s="11" t="s">
        <v>26</v>
      </c>
      <c r="G1050" s="11">
        <v>989</v>
      </c>
      <c r="H1050" s="12" t="s">
        <v>166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2648</v>
      </c>
      <c r="C1051" s="11" t="s">
        <v>2649</v>
      </c>
      <c r="D1051" s="11" t="s">
        <v>26</v>
      </c>
      <c r="E1051" s="11" t="s">
        <v>187</v>
      </c>
      <c r="F1051" s="11" t="s">
        <v>26</v>
      </c>
      <c r="G1051" s="11">
        <v>1001</v>
      </c>
      <c r="H1051" s="12" t="s">
        <v>144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2650</v>
      </c>
      <c r="C1052" s="11" t="s">
        <v>2651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4443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143</v>
      </c>
      <c r="AA1052" s="12" t="s">
        <v>78</v>
      </c>
    </row>
    <row r="1053" spans="1:27" x14ac:dyDescent="0.25">
      <c r="A1053" s="10">
        <v>45674</v>
      </c>
      <c r="B1053" s="11" t="s">
        <v>2652</v>
      </c>
      <c r="C1053" s="11" t="s">
        <v>2653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568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723</v>
      </c>
      <c r="C1054" s="11" t="s">
        <v>2654</v>
      </c>
      <c r="D1054" s="11" t="s">
        <v>26</v>
      </c>
      <c r="E1054" s="11" t="s">
        <v>182</v>
      </c>
      <c r="F1054" s="11" t="s">
        <v>26</v>
      </c>
      <c r="G1054" s="11">
        <v>57726</v>
      </c>
      <c r="H1054" s="12" t="s">
        <v>4444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330</v>
      </c>
      <c r="C1055" s="11" t="s">
        <v>2655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144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1769</v>
      </c>
      <c r="C1056" s="11" t="s">
        <v>2656</v>
      </c>
      <c r="D1056" s="11" t="s">
        <v>26</v>
      </c>
      <c r="E1056" s="11" t="s">
        <v>607</v>
      </c>
      <c r="F1056" s="11" t="s">
        <v>26</v>
      </c>
      <c r="G1056" s="11">
        <v>1102</v>
      </c>
      <c r="H1056" s="12" t="s">
        <v>144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2657</v>
      </c>
      <c r="C1057" s="11" t="s">
        <v>2658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4468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2659</v>
      </c>
      <c r="C1058" s="11" t="s">
        <v>2660</v>
      </c>
      <c r="D1058" s="11" t="s">
        <v>26</v>
      </c>
      <c r="E1058" s="11" t="s">
        <v>608</v>
      </c>
      <c r="F1058" s="11" t="s">
        <v>26</v>
      </c>
      <c r="G1058" s="11">
        <v>1051</v>
      </c>
      <c r="H1058" s="12" t="s">
        <v>144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2661</v>
      </c>
      <c r="C1059" s="11" t="s">
        <v>2662</v>
      </c>
      <c r="D1059" s="11" t="s">
        <v>26</v>
      </c>
      <c r="E1059" s="11" t="s">
        <v>522</v>
      </c>
      <c r="F1059" s="11" t="s">
        <v>26</v>
      </c>
      <c r="G1059" s="11">
        <v>70259</v>
      </c>
      <c r="H1059" s="12" t="s">
        <v>4470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2663</v>
      </c>
      <c r="C1060" s="11" t="s">
        <v>2664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2665</v>
      </c>
      <c r="C1061" s="11" t="s">
        <v>2666</v>
      </c>
      <c r="D1061" s="11" t="s">
        <v>26</v>
      </c>
      <c r="E1061" s="11" t="s">
        <v>233</v>
      </c>
      <c r="F1061" s="11" t="s">
        <v>26</v>
      </c>
      <c r="G1061" s="11">
        <v>23135</v>
      </c>
      <c r="H1061" s="12" t="s">
        <v>568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2667</v>
      </c>
      <c r="C1062" s="11" t="s">
        <v>2668</v>
      </c>
      <c r="D1062" s="11" t="s">
        <v>26</v>
      </c>
      <c r="E1062" s="11" t="s">
        <v>542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2669</v>
      </c>
      <c r="C1063" s="11" t="s">
        <v>2670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4468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1840</v>
      </c>
      <c r="C1064" s="11" t="s">
        <v>2671</v>
      </c>
      <c r="D1064" s="11" t="s">
        <v>26</v>
      </c>
      <c r="E1064" s="11" t="s">
        <v>247</v>
      </c>
      <c r="F1064" s="11" t="s">
        <v>26</v>
      </c>
      <c r="G1064" s="11">
        <v>952</v>
      </c>
      <c r="H1064" s="12" t="s">
        <v>144</v>
      </c>
      <c r="I1064" s="12" t="s">
        <v>37</v>
      </c>
      <c r="J1064" s="12" t="s">
        <v>602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2672</v>
      </c>
      <c r="C1065" s="11" t="s">
        <v>2673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4443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2674</v>
      </c>
      <c r="C1066" s="11" t="s">
        <v>2675</v>
      </c>
      <c r="D1066" s="11" t="s">
        <v>26</v>
      </c>
      <c r="E1066" s="11" t="s">
        <v>509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2676</v>
      </c>
      <c r="C1067" s="11" t="s">
        <v>2677</v>
      </c>
      <c r="D1067" s="11" t="s">
        <v>26</v>
      </c>
      <c r="E1067" s="11" t="s">
        <v>1746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2678</v>
      </c>
      <c r="C1068" s="11" t="s">
        <v>2679</v>
      </c>
      <c r="D1068" s="11" t="s">
        <v>26</v>
      </c>
      <c r="E1068" s="11" t="s">
        <v>325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2680</v>
      </c>
      <c r="C1069" s="11" t="s">
        <v>2681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1930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1404</v>
      </c>
      <c r="C1070" s="11" t="s">
        <v>2682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2683</v>
      </c>
      <c r="C1071" s="11" t="s">
        <v>2684</v>
      </c>
      <c r="D1071" s="11" t="s">
        <v>26</v>
      </c>
      <c r="E1071" s="11" t="s">
        <v>2639</v>
      </c>
      <c r="F1071" s="11" t="s">
        <v>26</v>
      </c>
      <c r="G1071" s="11">
        <v>988</v>
      </c>
      <c r="H1071" s="12" t="s">
        <v>166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2685</v>
      </c>
      <c r="C1072" s="11" t="s">
        <v>2686</v>
      </c>
      <c r="D1072" s="11" t="s">
        <v>26</v>
      </c>
      <c r="E1072" s="11" t="s">
        <v>573</v>
      </c>
      <c r="F1072" s="11" t="s">
        <v>26</v>
      </c>
      <c r="G1072" s="11">
        <v>10327</v>
      </c>
      <c r="H1072" s="12" t="s">
        <v>143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417</v>
      </c>
      <c r="C1073" s="11" t="s">
        <v>2687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166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2688</v>
      </c>
      <c r="C1074" s="11" t="s">
        <v>2689</v>
      </c>
      <c r="D1074" s="11" t="s">
        <v>26</v>
      </c>
      <c r="E1074" s="11" t="s">
        <v>508</v>
      </c>
      <c r="F1074" s="11" t="s">
        <v>26</v>
      </c>
      <c r="G1074" s="11">
        <v>1251</v>
      </c>
      <c r="H1074" s="12" t="s">
        <v>144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1080</v>
      </c>
      <c r="C1075" s="11" t="s">
        <v>2690</v>
      </c>
      <c r="D1075" s="11" t="s">
        <v>26</v>
      </c>
      <c r="E1075" s="11" t="s">
        <v>662</v>
      </c>
      <c r="F1075" s="11" t="s">
        <v>26</v>
      </c>
      <c r="G1075" s="11">
        <v>853</v>
      </c>
      <c r="H1075" s="12" t="s">
        <v>144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2691</v>
      </c>
      <c r="C1076" s="11" t="s">
        <v>2692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2693</v>
      </c>
      <c r="C1077" s="11" t="s">
        <v>2694</v>
      </c>
      <c r="D1077" s="11" t="s">
        <v>26</v>
      </c>
      <c r="E1077" s="11" t="s">
        <v>2130</v>
      </c>
      <c r="F1077" s="11" t="s">
        <v>26</v>
      </c>
      <c r="G1077" s="11">
        <v>10602</v>
      </c>
      <c r="H1077" s="12" t="s">
        <v>143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2695</v>
      </c>
      <c r="C1078" s="11" t="s">
        <v>2696</v>
      </c>
      <c r="D1078" s="11" t="s">
        <v>26</v>
      </c>
      <c r="E1078" s="11" t="s">
        <v>249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569</v>
      </c>
      <c r="K1078" s="12" t="s">
        <v>553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2697</v>
      </c>
      <c r="C1079" s="11" t="s">
        <v>2698</v>
      </c>
      <c r="D1079" s="11" t="s">
        <v>26</v>
      </c>
      <c r="E1079" s="11" t="s">
        <v>1746</v>
      </c>
      <c r="F1079" s="11" t="s">
        <v>26</v>
      </c>
      <c r="G1079" s="11">
        <v>3293</v>
      </c>
      <c r="H1079" s="12" t="s">
        <v>4470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2699</v>
      </c>
      <c r="C1080" s="11" t="s">
        <v>2700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1930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416</v>
      </c>
      <c r="C1081" s="11" t="s">
        <v>2701</v>
      </c>
      <c r="D1081" s="11" t="s">
        <v>26</v>
      </c>
      <c r="E1081" s="11" t="s">
        <v>504</v>
      </c>
      <c r="F1081" s="11" t="s">
        <v>26</v>
      </c>
      <c r="G1081" s="11">
        <v>801</v>
      </c>
      <c r="H1081" s="12" t="s">
        <v>144</v>
      </c>
      <c r="I1081" s="12" t="s">
        <v>37</v>
      </c>
      <c r="J1081" s="12" t="s">
        <v>602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2702</v>
      </c>
      <c r="C1082" s="11" t="s">
        <v>2703</v>
      </c>
      <c r="D1082" s="11" t="s">
        <v>26</v>
      </c>
      <c r="E1082" s="11" t="s">
        <v>512</v>
      </c>
      <c r="F1082" s="11" t="s">
        <v>26</v>
      </c>
      <c r="G1082" s="11">
        <v>1303</v>
      </c>
      <c r="H1082" s="12" t="s">
        <v>144</v>
      </c>
      <c r="I1082" s="12" t="s">
        <v>37</v>
      </c>
      <c r="J1082" s="12" t="s">
        <v>602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474</v>
      </c>
      <c r="C1083" s="11" t="s">
        <v>2704</v>
      </c>
      <c r="D1083" s="11" t="s">
        <v>26</v>
      </c>
      <c r="E1083" s="11" t="s">
        <v>2639</v>
      </c>
      <c r="F1083" s="11" t="s">
        <v>26</v>
      </c>
      <c r="G1083" s="11">
        <v>990</v>
      </c>
      <c r="H1083" s="12" t="s">
        <v>166</v>
      </c>
      <c r="I1083" s="12" t="s">
        <v>37</v>
      </c>
      <c r="J1083" s="12" t="s">
        <v>231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2705</v>
      </c>
      <c r="C1084" s="11" t="s">
        <v>2706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568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2707</v>
      </c>
      <c r="C1085" s="11" t="s">
        <v>2708</v>
      </c>
      <c r="D1085" s="11" t="s">
        <v>26</v>
      </c>
      <c r="E1085" s="11" t="s">
        <v>577</v>
      </c>
      <c r="F1085" s="11" t="s">
        <v>26</v>
      </c>
      <c r="G1085" s="11">
        <v>770</v>
      </c>
      <c r="H1085" s="12" t="s">
        <v>144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1404</v>
      </c>
      <c r="C1086" s="11" t="s">
        <v>2709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2710</v>
      </c>
      <c r="C1087" s="11" t="s">
        <v>2711</v>
      </c>
      <c r="D1087" s="11" t="s">
        <v>26</v>
      </c>
      <c r="E1087" s="11" t="s">
        <v>523</v>
      </c>
      <c r="F1087" s="11" t="s">
        <v>26</v>
      </c>
      <c r="G1087" s="11">
        <v>4372</v>
      </c>
      <c r="H1087" s="12" t="s">
        <v>143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2712</v>
      </c>
      <c r="C1088" s="11" t="s">
        <v>2713</v>
      </c>
      <c r="D1088" s="11" t="s">
        <v>26</v>
      </c>
      <c r="E1088" s="11" t="s">
        <v>233</v>
      </c>
      <c r="F1088" s="11" t="s">
        <v>26</v>
      </c>
      <c r="G1088" s="11">
        <v>23136</v>
      </c>
      <c r="H1088" s="12" t="s">
        <v>568</v>
      </c>
      <c r="I1088" s="12" t="s">
        <v>55</v>
      </c>
      <c r="J1088" s="12" t="s">
        <v>569</v>
      </c>
      <c r="K1088" s="12" t="s">
        <v>553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2714</v>
      </c>
      <c r="C1089" s="11" t="s">
        <v>2715</v>
      </c>
      <c r="D1089" s="11" t="s">
        <v>26</v>
      </c>
      <c r="E1089" s="11" t="s">
        <v>1221</v>
      </c>
      <c r="F1089" s="11" t="s">
        <v>26</v>
      </c>
      <c r="G1089" s="11">
        <v>991</v>
      </c>
      <c r="H1089" s="12" t="s">
        <v>166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2716</v>
      </c>
      <c r="C1090" s="11" t="s">
        <v>2717</v>
      </c>
      <c r="D1090" s="11" t="s">
        <v>26</v>
      </c>
      <c r="E1090" s="11" t="s">
        <v>438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2718</v>
      </c>
      <c r="C1091" s="11" t="s">
        <v>2719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569</v>
      </c>
      <c r="K1091" s="12" t="s">
        <v>553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2720</v>
      </c>
      <c r="C1092" s="11" t="s">
        <v>2721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4470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691</v>
      </c>
      <c r="C1093" s="11" t="s">
        <v>2722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4443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144</v>
      </c>
      <c r="AA1093" s="12" t="s">
        <v>78</v>
      </c>
    </row>
    <row r="1094" spans="1:27" x14ac:dyDescent="0.25">
      <c r="A1094" s="10">
        <v>45675</v>
      </c>
      <c r="B1094" s="11" t="s">
        <v>2723</v>
      </c>
      <c r="C1094" s="11" t="s">
        <v>2724</v>
      </c>
      <c r="D1094" s="11" t="s">
        <v>26</v>
      </c>
      <c r="E1094" s="11" t="s">
        <v>101</v>
      </c>
      <c r="F1094" s="11" t="s">
        <v>26</v>
      </c>
      <c r="G1094" s="11">
        <v>21722</v>
      </c>
      <c r="H1094" s="12" t="s">
        <v>4470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130</v>
      </c>
      <c r="C1095" s="11" t="s">
        <v>2725</v>
      </c>
      <c r="D1095" s="11" t="s">
        <v>26</v>
      </c>
      <c r="E1095" s="11" t="s">
        <v>556</v>
      </c>
      <c r="F1095" s="11" t="s">
        <v>26</v>
      </c>
      <c r="G1095" s="11">
        <v>44148</v>
      </c>
      <c r="H1095" s="12" t="s">
        <v>4444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2726</v>
      </c>
      <c r="C1096" s="11" t="s">
        <v>2727</v>
      </c>
      <c r="D1096" s="11" t="s">
        <v>26</v>
      </c>
      <c r="E1096" s="11" t="s">
        <v>187</v>
      </c>
      <c r="F1096" s="11" t="s">
        <v>26</v>
      </c>
      <c r="G1096" s="11" t="s">
        <v>26</v>
      </c>
      <c r="H1096" s="12" t="s">
        <v>4443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144</v>
      </c>
      <c r="AA1096" s="12" t="s">
        <v>78</v>
      </c>
    </row>
    <row r="1097" spans="1:27" x14ac:dyDescent="0.25">
      <c r="A1097" s="10">
        <v>45675</v>
      </c>
      <c r="B1097" s="11" t="s">
        <v>2728</v>
      </c>
      <c r="C1097" s="11" t="s">
        <v>2729</v>
      </c>
      <c r="D1097" s="11" t="s">
        <v>26</v>
      </c>
      <c r="E1097" s="11" t="s">
        <v>99</v>
      </c>
      <c r="F1097" s="11" t="s">
        <v>26</v>
      </c>
      <c r="G1097" s="11" t="s">
        <v>26</v>
      </c>
      <c r="H1097" s="12" t="s">
        <v>4443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143</v>
      </c>
      <c r="AA1097" s="12" t="s">
        <v>78</v>
      </c>
    </row>
    <row r="1098" spans="1:27" x14ac:dyDescent="0.25">
      <c r="A1098" s="10">
        <v>45675</v>
      </c>
      <c r="B1098" s="11" t="s">
        <v>1477</v>
      </c>
      <c r="C1098" s="11" t="s">
        <v>2730</v>
      </c>
      <c r="D1098" s="11" t="s">
        <v>26</v>
      </c>
      <c r="E1098" s="11" t="s">
        <v>573</v>
      </c>
      <c r="F1098" s="11" t="s">
        <v>26</v>
      </c>
      <c r="G1098" s="11" t="s">
        <v>26</v>
      </c>
      <c r="H1098" s="12" t="s">
        <v>4443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143</v>
      </c>
      <c r="AA1098" s="12" t="s">
        <v>78</v>
      </c>
    </row>
    <row r="1099" spans="1:27" x14ac:dyDescent="0.25">
      <c r="A1099" s="10">
        <v>45675</v>
      </c>
      <c r="B1099" s="11" t="s">
        <v>2731</v>
      </c>
      <c r="C1099" s="11" t="s">
        <v>2732</v>
      </c>
      <c r="D1099" s="11" t="s">
        <v>26</v>
      </c>
      <c r="E1099" s="11" t="s">
        <v>2130</v>
      </c>
      <c r="F1099" s="11" t="s">
        <v>26</v>
      </c>
      <c r="G1099" s="11" t="s">
        <v>26</v>
      </c>
      <c r="H1099" s="12" t="s">
        <v>4443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143</v>
      </c>
      <c r="AA1099" s="12" t="s">
        <v>78</v>
      </c>
    </row>
    <row r="1100" spans="1:27" x14ac:dyDescent="0.25">
      <c r="A1100" s="10">
        <v>45675</v>
      </c>
      <c r="B1100" s="11" t="s">
        <v>2733</v>
      </c>
      <c r="C1100" s="11" t="s">
        <v>2734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166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2735</v>
      </c>
      <c r="C1101" s="11" t="s">
        <v>2736</v>
      </c>
      <c r="D1101" s="11" t="s">
        <v>26</v>
      </c>
      <c r="E1101" s="11" t="s">
        <v>523</v>
      </c>
      <c r="F1101" s="11" t="s">
        <v>26</v>
      </c>
      <c r="G1101" s="11">
        <v>4373</v>
      </c>
      <c r="H1101" s="12" t="s">
        <v>143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2737</v>
      </c>
      <c r="C1102" s="11" t="s">
        <v>2738</v>
      </c>
      <c r="D1102" s="11" t="s">
        <v>26</v>
      </c>
      <c r="E1102" s="11" t="s">
        <v>486</v>
      </c>
      <c r="F1102" s="11" t="s">
        <v>26</v>
      </c>
      <c r="G1102" s="11" t="s">
        <v>26</v>
      </c>
      <c r="H1102" s="12" t="s">
        <v>4443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2739</v>
      </c>
      <c r="C1103" s="11" t="s">
        <v>2740</v>
      </c>
      <c r="D1103" s="11" t="s">
        <v>26</v>
      </c>
      <c r="E1103" s="11" t="s">
        <v>608</v>
      </c>
      <c r="F1103" s="11" t="s">
        <v>26</v>
      </c>
      <c r="G1103" s="11">
        <v>1052</v>
      </c>
      <c r="H1103" s="12" t="s">
        <v>144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2741</v>
      </c>
      <c r="C1104" s="11" t="s">
        <v>2742</v>
      </c>
      <c r="D1104" s="11" t="s">
        <v>26</v>
      </c>
      <c r="E1104" s="11" t="s">
        <v>247</v>
      </c>
      <c r="F1104" s="11" t="s">
        <v>26</v>
      </c>
      <c r="G1104" s="11">
        <v>953</v>
      </c>
      <c r="H1104" s="12" t="s">
        <v>144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2743</v>
      </c>
      <c r="C1105" s="11" t="s">
        <v>2744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2745</v>
      </c>
      <c r="C1106" s="11" t="s">
        <v>2746</v>
      </c>
      <c r="D1106" s="11" t="s">
        <v>26</v>
      </c>
      <c r="E1106" s="11" t="s">
        <v>662</v>
      </c>
      <c r="F1106" s="11" t="s">
        <v>26</v>
      </c>
      <c r="G1106" s="11">
        <v>854</v>
      </c>
      <c r="H1106" s="12" t="s">
        <v>144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2747</v>
      </c>
      <c r="C1107" s="11" t="s">
        <v>2748</v>
      </c>
      <c r="D1107" s="11" t="s">
        <v>26</v>
      </c>
      <c r="E1107" s="11" t="s">
        <v>249</v>
      </c>
      <c r="F1107" s="11" t="s">
        <v>26</v>
      </c>
      <c r="G1107" s="11" t="s">
        <v>26</v>
      </c>
      <c r="H1107" s="12" t="s">
        <v>4443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2749</v>
      </c>
      <c r="C1108" s="11" t="s">
        <v>2750</v>
      </c>
      <c r="D1108" s="11" t="s">
        <v>26</v>
      </c>
      <c r="E1108" s="11" t="s">
        <v>607</v>
      </c>
      <c r="F1108" s="11" t="s">
        <v>26</v>
      </c>
      <c r="G1108" s="11" t="s">
        <v>26</v>
      </c>
      <c r="H1108" s="12" t="s">
        <v>4443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144</v>
      </c>
      <c r="AA1108" s="12" t="s">
        <v>78</v>
      </c>
    </row>
    <row r="1109" spans="1:27" x14ac:dyDescent="0.25">
      <c r="A1109" s="10">
        <v>45675</v>
      </c>
      <c r="B1109" s="11" t="s">
        <v>2751</v>
      </c>
      <c r="C1109" s="11" t="s">
        <v>2752</v>
      </c>
      <c r="D1109" s="11" t="s">
        <v>26</v>
      </c>
      <c r="E1109" s="11" t="s">
        <v>227</v>
      </c>
      <c r="F1109" s="11" t="s">
        <v>26</v>
      </c>
      <c r="G1109" s="11">
        <v>55327</v>
      </c>
      <c r="H1109" s="12" t="s">
        <v>4444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2753</v>
      </c>
      <c r="C1110" s="11" t="s">
        <v>2754</v>
      </c>
      <c r="D1110" s="11" t="s">
        <v>26</v>
      </c>
      <c r="E1110" s="11" t="s">
        <v>592</v>
      </c>
      <c r="F1110" s="11" t="s">
        <v>26</v>
      </c>
      <c r="G1110" s="11">
        <v>4584</v>
      </c>
      <c r="H1110" s="12" t="s">
        <v>4444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2755</v>
      </c>
      <c r="C1111" s="11" t="s">
        <v>2756</v>
      </c>
      <c r="D1111" s="11" t="s">
        <v>26</v>
      </c>
      <c r="E1111" s="11" t="s">
        <v>1221</v>
      </c>
      <c r="F1111" s="11" t="s">
        <v>26</v>
      </c>
      <c r="G1111" s="11">
        <v>992</v>
      </c>
      <c r="H1111" s="12" t="s">
        <v>166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2757</v>
      </c>
      <c r="C1112" s="11" t="s">
        <v>2758</v>
      </c>
      <c r="D1112" s="11" t="s">
        <v>26</v>
      </c>
      <c r="E1112" s="11" t="s">
        <v>596</v>
      </c>
      <c r="F1112" s="11" t="s">
        <v>26</v>
      </c>
      <c r="G1112" s="11">
        <v>59492</v>
      </c>
      <c r="H1112" s="12" t="s">
        <v>4444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2759</v>
      </c>
      <c r="C1113" s="11" t="s">
        <v>2760</v>
      </c>
      <c r="D1113" s="11" t="s">
        <v>26</v>
      </c>
      <c r="E1113" s="11" t="s">
        <v>243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569</v>
      </c>
      <c r="K1113" s="12" t="s">
        <v>553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1888</v>
      </c>
      <c r="C1114" s="11" t="s">
        <v>2761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429</v>
      </c>
      <c r="C1115" s="11" t="s">
        <v>2762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568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126</v>
      </c>
      <c r="C1116" s="11" t="s">
        <v>2763</v>
      </c>
      <c r="D1116" s="11" t="s">
        <v>26</v>
      </c>
      <c r="E1116" s="11" t="s">
        <v>233</v>
      </c>
      <c r="F1116" s="11" t="s">
        <v>26</v>
      </c>
      <c r="G1116" s="11">
        <v>23137</v>
      </c>
      <c r="H1116" s="12" t="s">
        <v>568</v>
      </c>
      <c r="I1116" s="12" t="s">
        <v>55</v>
      </c>
      <c r="J1116" s="12" t="s">
        <v>569</v>
      </c>
      <c r="K1116" s="12" t="s">
        <v>553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284</v>
      </c>
      <c r="C1117" s="11" t="s">
        <v>2764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4468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626</v>
      </c>
      <c r="C1118" s="11" t="s">
        <v>2765</v>
      </c>
      <c r="D1118" s="11" t="s">
        <v>26</v>
      </c>
      <c r="E1118" s="11" t="s">
        <v>101</v>
      </c>
      <c r="F1118" s="11" t="s">
        <v>26</v>
      </c>
      <c r="G1118" s="11">
        <v>21723</v>
      </c>
      <c r="H1118" s="12" t="s">
        <v>4470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727</v>
      </c>
      <c r="C1119" s="11" t="s">
        <v>2766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166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2767</v>
      </c>
      <c r="C1120" s="11" t="s">
        <v>2768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2769</v>
      </c>
      <c r="C1121" s="11" t="s">
        <v>2770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143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2771</v>
      </c>
      <c r="C1122" s="11" t="s">
        <v>2772</v>
      </c>
      <c r="D1122" s="11" t="s">
        <v>26</v>
      </c>
      <c r="E1122" s="11" t="s">
        <v>523</v>
      </c>
      <c r="F1122" s="11" t="s">
        <v>26</v>
      </c>
      <c r="G1122" s="11">
        <v>4374</v>
      </c>
      <c r="H1122" s="12" t="s">
        <v>143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2773</v>
      </c>
      <c r="C1123" s="11" t="s">
        <v>2774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143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2775</v>
      </c>
      <c r="C1124" s="11" t="s">
        <v>2776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2777</v>
      </c>
      <c r="C1125" s="11" t="s">
        <v>2778</v>
      </c>
      <c r="D1125" s="11" t="s">
        <v>26</v>
      </c>
      <c r="E1125" s="11" t="s">
        <v>1221</v>
      </c>
      <c r="F1125" s="11" t="s">
        <v>26</v>
      </c>
      <c r="G1125" s="11">
        <v>993</v>
      </c>
      <c r="H1125" s="12" t="s">
        <v>166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2779</v>
      </c>
      <c r="C1126" s="11" t="s">
        <v>2780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2781</v>
      </c>
      <c r="C1127" s="11" t="s">
        <v>2782</v>
      </c>
      <c r="D1127" s="11" t="s">
        <v>26</v>
      </c>
      <c r="E1127" s="11" t="s">
        <v>486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569</v>
      </c>
      <c r="K1127" s="12" t="s">
        <v>553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2783</v>
      </c>
      <c r="C1128" s="11" t="s">
        <v>2784</v>
      </c>
      <c r="D1128" s="11" t="s">
        <v>26</v>
      </c>
      <c r="E1128" s="11" t="s">
        <v>573</v>
      </c>
      <c r="F1128" s="11" t="s">
        <v>26</v>
      </c>
      <c r="G1128" s="11">
        <v>10329</v>
      </c>
      <c r="H1128" s="12" t="s">
        <v>143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2785</v>
      </c>
      <c r="C1129" s="11" t="s">
        <v>2786</v>
      </c>
      <c r="D1129" s="11" t="s">
        <v>26</v>
      </c>
      <c r="E1129" s="11" t="s">
        <v>325</v>
      </c>
      <c r="F1129" s="11" t="s">
        <v>26</v>
      </c>
      <c r="G1129" s="11">
        <v>112139</v>
      </c>
      <c r="H1129" s="12" t="s">
        <v>4468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2787</v>
      </c>
      <c r="C1130" s="11" t="s">
        <v>2788</v>
      </c>
      <c r="D1130" s="11" t="s">
        <v>26</v>
      </c>
      <c r="E1130" s="11" t="s">
        <v>233</v>
      </c>
      <c r="F1130" s="11" t="s">
        <v>26</v>
      </c>
      <c r="G1130" s="11">
        <v>23138</v>
      </c>
      <c r="H1130" s="12" t="s">
        <v>568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387</v>
      </c>
      <c r="C1131" s="11" t="s">
        <v>2789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619</v>
      </c>
      <c r="C1132" s="11" t="s">
        <v>2790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568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2791</v>
      </c>
      <c r="C1133" s="11" t="s">
        <v>2792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2793</v>
      </c>
      <c r="C1134" s="11" t="s">
        <v>2794</v>
      </c>
      <c r="D1134" s="11" t="s">
        <v>26</v>
      </c>
      <c r="E1134" s="11" t="s">
        <v>249</v>
      </c>
      <c r="F1134" s="11" t="s">
        <v>26</v>
      </c>
      <c r="G1134" s="11" t="s">
        <v>26</v>
      </c>
      <c r="H1134" s="12" t="s">
        <v>4443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259</v>
      </c>
      <c r="C1135" s="11" t="s">
        <v>2795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1685</v>
      </c>
      <c r="C1136" s="11" t="s">
        <v>2796</v>
      </c>
      <c r="D1136" s="11" t="s">
        <v>26</v>
      </c>
      <c r="E1136" s="11" t="s">
        <v>227</v>
      </c>
      <c r="F1136" s="11" t="s">
        <v>26</v>
      </c>
      <c r="G1136" s="11">
        <v>57572</v>
      </c>
      <c r="H1136" s="12" t="s">
        <v>4444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2797</v>
      </c>
      <c r="C1137" s="11" t="s">
        <v>2798</v>
      </c>
      <c r="D1137" s="11" t="s">
        <v>26</v>
      </c>
      <c r="E1137" s="11" t="s">
        <v>523</v>
      </c>
      <c r="F1137" s="11" t="s">
        <v>26</v>
      </c>
      <c r="G1137" s="11">
        <v>4375</v>
      </c>
      <c r="H1137" s="12" t="s">
        <v>143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120</v>
      </c>
      <c r="C1138" s="11" t="s">
        <v>2799</v>
      </c>
      <c r="D1138" s="11" t="s">
        <v>26</v>
      </c>
      <c r="E1138" s="11" t="s">
        <v>187</v>
      </c>
      <c r="F1138" s="11" t="s">
        <v>26</v>
      </c>
      <c r="G1138" s="11">
        <v>1002</v>
      </c>
      <c r="H1138" s="12" t="s">
        <v>144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463</v>
      </c>
      <c r="C1139" s="11" t="s">
        <v>2800</v>
      </c>
      <c r="D1139" s="11" t="s">
        <v>26</v>
      </c>
      <c r="E1139" s="11" t="s">
        <v>206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347</v>
      </c>
      <c r="C1140" s="11" t="s">
        <v>2801</v>
      </c>
      <c r="D1140" s="11" t="s">
        <v>26</v>
      </c>
      <c r="E1140" s="11" t="s">
        <v>1221</v>
      </c>
      <c r="F1140" s="11" t="s">
        <v>26</v>
      </c>
      <c r="G1140" s="11">
        <v>994</v>
      </c>
      <c r="H1140" s="12" t="s">
        <v>166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2802</v>
      </c>
      <c r="C1141" s="11" t="s">
        <v>2803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2804</v>
      </c>
      <c r="C1142" s="11" t="s">
        <v>2805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166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2806</v>
      </c>
      <c r="C1143" s="11" t="s">
        <v>2807</v>
      </c>
      <c r="D1143" s="11" t="s">
        <v>26</v>
      </c>
      <c r="E1143" s="11" t="s">
        <v>607</v>
      </c>
      <c r="F1143" s="11" t="s">
        <v>26</v>
      </c>
      <c r="G1143" s="11">
        <v>1103</v>
      </c>
      <c r="H1143" s="12" t="s">
        <v>144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678</v>
      </c>
      <c r="C1144" s="11" t="s">
        <v>2808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1930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2809</v>
      </c>
      <c r="C1145" s="11" t="s">
        <v>2810</v>
      </c>
      <c r="D1145" s="11" t="s">
        <v>26</v>
      </c>
      <c r="E1145" s="11" t="s">
        <v>662</v>
      </c>
      <c r="F1145" s="11" t="s">
        <v>26</v>
      </c>
      <c r="G1145" s="11">
        <v>855</v>
      </c>
      <c r="H1145" s="12" t="s">
        <v>144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1157</v>
      </c>
      <c r="C1146" s="11" t="s">
        <v>2811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1389</v>
      </c>
      <c r="C1147" s="11" t="s">
        <v>2812</v>
      </c>
      <c r="D1147" s="11" t="s">
        <v>26</v>
      </c>
      <c r="E1147" s="11" t="s">
        <v>182</v>
      </c>
      <c r="F1147" s="11" t="s">
        <v>26</v>
      </c>
      <c r="G1147" s="11">
        <v>57729</v>
      </c>
      <c r="H1147" s="12" t="s">
        <v>4444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2813</v>
      </c>
      <c r="C1148" s="11" t="s">
        <v>2814</v>
      </c>
      <c r="D1148" s="11" t="s">
        <v>26</v>
      </c>
      <c r="E1148" s="11" t="s">
        <v>233</v>
      </c>
      <c r="F1148" s="11" t="s">
        <v>26</v>
      </c>
      <c r="G1148" s="11">
        <v>23139</v>
      </c>
      <c r="H1148" s="12" t="s">
        <v>568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1332</v>
      </c>
      <c r="C1149" s="11" t="s">
        <v>2815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4468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368</v>
      </c>
      <c r="C1150" s="11" t="s">
        <v>2816</v>
      </c>
      <c r="D1150" s="11" t="s">
        <v>26</v>
      </c>
      <c r="E1150" s="11" t="s">
        <v>247</v>
      </c>
      <c r="F1150" s="11" t="s">
        <v>26</v>
      </c>
      <c r="G1150" s="11" t="s">
        <v>26</v>
      </c>
      <c r="H1150" s="12" t="s">
        <v>4445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144</v>
      </c>
      <c r="AA1150" s="12" t="s">
        <v>661</v>
      </c>
    </row>
    <row r="1151" spans="1:27" x14ac:dyDescent="0.25">
      <c r="A1151" s="10">
        <v>45675</v>
      </c>
      <c r="B1151" s="11" t="s">
        <v>262</v>
      </c>
      <c r="C1151" s="11" t="s">
        <v>2817</v>
      </c>
      <c r="D1151" s="11" t="s">
        <v>26</v>
      </c>
      <c r="E1151" s="11" t="s">
        <v>488</v>
      </c>
      <c r="F1151" s="11" t="s">
        <v>26</v>
      </c>
      <c r="G1151" s="11">
        <v>72139</v>
      </c>
      <c r="H1151" s="12" t="s">
        <v>4470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2818</v>
      </c>
      <c r="C1152" s="11" t="s">
        <v>2819</v>
      </c>
      <c r="D1152" s="11" t="s">
        <v>26</v>
      </c>
      <c r="E1152" s="11" t="s">
        <v>545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455</v>
      </c>
      <c r="C1153" s="11" t="s">
        <v>2820</v>
      </c>
      <c r="D1153" s="11" t="s">
        <v>26</v>
      </c>
      <c r="E1153" s="11" t="s">
        <v>577</v>
      </c>
      <c r="F1153" s="11" t="s">
        <v>26</v>
      </c>
      <c r="G1153" s="11">
        <v>771</v>
      </c>
      <c r="H1153" s="12" t="s">
        <v>144</v>
      </c>
      <c r="I1153" s="12" t="s">
        <v>37</v>
      </c>
      <c r="J1153" s="12" t="s">
        <v>602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2573</v>
      </c>
      <c r="C1154" s="11" t="s">
        <v>2821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568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1917</v>
      </c>
      <c r="C1155" s="11" t="s">
        <v>2822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109</v>
      </c>
      <c r="C1156" s="11" t="s">
        <v>2823</v>
      </c>
      <c r="D1156" s="11" t="s">
        <v>26</v>
      </c>
      <c r="E1156" s="11" t="s">
        <v>249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2737</v>
      </c>
      <c r="C1157" s="11" t="s">
        <v>2824</v>
      </c>
      <c r="D1157" s="11" t="s">
        <v>26</v>
      </c>
      <c r="E1157" s="11" t="s">
        <v>486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569</v>
      </c>
      <c r="K1157" s="12" t="s">
        <v>553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258</v>
      </c>
      <c r="C1158" s="11" t="s">
        <v>2825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2826</v>
      </c>
      <c r="C1159" s="11" t="s">
        <v>2827</v>
      </c>
      <c r="D1159" s="11" t="s">
        <v>26</v>
      </c>
      <c r="E1159" s="11" t="s">
        <v>512</v>
      </c>
      <c r="F1159" s="11" t="s">
        <v>26</v>
      </c>
      <c r="G1159" s="11">
        <v>1304</v>
      </c>
      <c r="H1159" s="12" t="s">
        <v>144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2828</v>
      </c>
      <c r="C1160" s="11" t="s">
        <v>2829</v>
      </c>
      <c r="D1160" s="11" t="s">
        <v>26</v>
      </c>
      <c r="E1160" s="11" t="s">
        <v>504</v>
      </c>
      <c r="F1160" s="11" t="s">
        <v>26</v>
      </c>
      <c r="G1160" s="11" t="s">
        <v>26</v>
      </c>
      <c r="H1160" s="12" t="s">
        <v>4445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144</v>
      </c>
      <c r="AA1160" s="12" t="s">
        <v>661</v>
      </c>
    </row>
    <row r="1161" spans="1:27" x14ac:dyDescent="0.25">
      <c r="A1161" s="10">
        <v>45677</v>
      </c>
      <c r="B1161" s="11" t="s">
        <v>433</v>
      </c>
      <c r="C1161" s="11" t="s">
        <v>2830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125</v>
      </c>
      <c r="C1162" s="11" t="s">
        <v>2831</v>
      </c>
      <c r="D1162" s="11" t="s">
        <v>26</v>
      </c>
      <c r="E1162" s="11" t="s">
        <v>504</v>
      </c>
      <c r="F1162" s="11" t="s">
        <v>26</v>
      </c>
      <c r="G1162" s="11" t="s">
        <v>26</v>
      </c>
      <c r="H1162" s="12" t="s">
        <v>4443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144</v>
      </c>
      <c r="AA1162" s="12" t="s">
        <v>78</v>
      </c>
    </row>
    <row r="1163" spans="1:27" x14ac:dyDescent="0.25">
      <c r="A1163" s="10">
        <v>45677</v>
      </c>
      <c r="B1163" s="11" t="s">
        <v>2330</v>
      </c>
      <c r="C1163" s="11" t="s">
        <v>2832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2250</v>
      </c>
      <c r="C1164" s="11" t="s">
        <v>2833</v>
      </c>
      <c r="D1164" s="11" t="s">
        <v>26</v>
      </c>
      <c r="E1164" s="11" t="s">
        <v>187</v>
      </c>
      <c r="F1164" s="11" t="s">
        <v>26</v>
      </c>
      <c r="G1164" s="11">
        <v>1003</v>
      </c>
      <c r="H1164" s="12" t="s">
        <v>144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2580</v>
      </c>
      <c r="C1165" s="11" t="s">
        <v>2834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4443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144</v>
      </c>
      <c r="AA1165" s="12" t="s">
        <v>78</v>
      </c>
    </row>
    <row r="1166" spans="1:27" x14ac:dyDescent="0.25">
      <c r="A1166" s="10">
        <v>45677</v>
      </c>
      <c r="B1166" s="11" t="s">
        <v>2835</v>
      </c>
      <c r="C1166" s="11" t="s">
        <v>2836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4443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2837</v>
      </c>
      <c r="C1167" s="11" t="s">
        <v>2838</v>
      </c>
      <c r="D1167" s="11" t="s">
        <v>26</v>
      </c>
      <c r="E1167" s="11" t="s">
        <v>101</v>
      </c>
      <c r="F1167" s="11" t="s">
        <v>26</v>
      </c>
      <c r="G1167" s="11">
        <v>21725</v>
      </c>
      <c r="H1167" s="12" t="s">
        <v>4470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1892</v>
      </c>
      <c r="C1168" s="11" t="s">
        <v>2839</v>
      </c>
      <c r="D1168" s="11" t="s">
        <v>26</v>
      </c>
      <c r="E1168" s="11" t="s">
        <v>608</v>
      </c>
      <c r="F1168" s="11" t="s">
        <v>26</v>
      </c>
      <c r="G1168" s="11" t="s">
        <v>26</v>
      </c>
      <c r="H1168" s="12" t="s">
        <v>4443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144</v>
      </c>
      <c r="AA1168" s="12" t="s">
        <v>78</v>
      </c>
    </row>
    <row r="1169" spans="1:27" x14ac:dyDescent="0.25">
      <c r="A1169" s="10">
        <v>45677</v>
      </c>
      <c r="B1169" s="11" t="s">
        <v>2840</v>
      </c>
      <c r="C1169" s="11" t="s">
        <v>2841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2842</v>
      </c>
      <c r="C1170" s="11" t="s">
        <v>2843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4443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669</v>
      </c>
      <c r="C1171" s="11" t="s">
        <v>2844</v>
      </c>
      <c r="D1171" s="11" t="s">
        <v>26</v>
      </c>
      <c r="E1171" s="11" t="s">
        <v>325</v>
      </c>
      <c r="F1171" s="11" t="s">
        <v>26</v>
      </c>
      <c r="G1171" s="11">
        <v>112148</v>
      </c>
      <c r="H1171" s="12" t="s">
        <v>4468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2845</v>
      </c>
      <c r="C1172" s="11" t="s">
        <v>2846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166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2847</v>
      </c>
      <c r="C1173" s="11" t="s">
        <v>2848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4444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2849</v>
      </c>
      <c r="C1174" s="11" t="s">
        <v>2850</v>
      </c>
      <c r="D1174" s="11" t="s">
        <v>26</v>
      </c>
      <c r="E1174" s="11" t="s">
        <v>186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2851</v>
      </c>
      <c r="C1175" s="11" t="s">
        <v>2852</v>
      </c>
      <c r="D1175" s="11" t="s">
        <v>26</v>
      </c>
      <c r="E1175" s="11" t="s">
        <v>247</v>
      </c>
      <c r="F1175" s="11" t="s">
        <v>26</v>
      </c>
      <c r="G1175" s="11">
        <v>954</v>
      </c>
      <c r="H1175" s="12" t="s">
        <v>144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202</v>
      </c>
      <c r="C1176" s="11" t="s">
        <v>2853</v>
      </c>
      <c r="D1176" s="11" t="s">
        <v>26</v>
      </c>
      <c r="E1176" s="11" t="s">
        <v>657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357</v>
      </c>
      <c r="C1177" s="11" t="s">
        <v>2854</v>
      </c>
      <c r="D1177" s="11" t="s">
        <v>26</v>
      </c>
      <c r="E1177" s="11" t="s">
        <v>92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2855</v>
      </c>
      <c r="C1178" s="11" t="s">
        <v>2856</v>
      </c>
      <c r="D1178" s="11" t="s">
        <v>26</v>
      </c>
      <c r="E1178" s="11" t="s">
        <v>607</v>
      </c>
      <c r="F1178" s="11" t="s">
        <v>26</v>
      </c>
      <c r="G1178" s="11">
        <v>1104</v>
      </c>
      <c r="H1178" s="12" t="s">
        <v>144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2857</v>
      </c>
      <c r="C1179" s="11" t="s">
        <v>2858</v>
      </c>
      <c r="D1179" s="11" t="s">
        <v>26</v>
      </c>
      <c r="E1179" s="11" t="s">
        <v>99</v>
      </c>
      <c r="F1179" s="11" t="s">
        <v>26</v>
      </c>
      <c r="G1179" s="11" t="s">
        <v>26</v>
      </c>
      <c r="H1179" s="12" t="s">
        <v>4443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143</v>
      </c>
      <c r="AA1179" s="12" t="s">
        <v>78</v>
      </c>
    </row>
    <row r="1180" spans="1:27" x14ac:dyDescent="0.25">
      <c r="A1180" s="10">
        <v>45677</v>
      </c>
      <c r="B1180" s="11" t="s">
        <v>2859</v>
      </c>
      <c r="C1180" s="11" t="s">
        <v>2860</v>
      </c>
      <c r="D1180" s="11" t="s">
        <v>26</v>
      </c>
      <c r="E1180" s="11" t="s">
        <v>562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2861</v>
      </c>
      <c r="C1181" s="11" t="s">
        <v>2862</v>
      </c>
      <c r="D1181" s="11" t="s">
        <v>26</v>
      </c>
      <c r="E1181" s="11" t="s">
        <v>705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2863</v>
      </c>
      <c r="C1182" s="11" t="s">
        <v>2864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568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2865</v>
      </c>
      <c r="C1183" s="11" t="s">
        <v>2866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2867</v>
      </c>
      <c r="C1184" s="11" t="s">
        <v>2868</v>
      </c>
      <c r="D1184" s="11" t="s">
        <v>26</v>
      </c>
      <c r="E1184" s="11" t="s">
        <v>183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2869</v>
      </c>
      <c r="C1185" s="11" t="s">
        <v>2870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2871</v>
      </c>
      <c r="C1186" s="11" t="s">
        <v>2872</v>
      </c>
      <c r="D1186" s="11" t="s">
        <v>26</v>
      </c>
      <c r="E1186" s="11" t="s">
        <v>662</v>
      </c>
      <c r="F1186" s="11" t="s">
        <v>26</v>
      </c>
      <c r="G1186" s="11">
        <v>856</v>
      </c>
      <c r="H1186" s="12" t="s">
        <v>144</v>
      </c>
      <c r="I1186" s="12" t="s">
        <v>37</v>
      </c>
      <c r="J1186" s="12" t="s">
        <v>602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2873</v>
      </c>
      <c r="C1187" s="11" t="s">
        <v>2874</v>
      </c>
      <c r="D1187" s="11" t="s">
        <v>26</v>
      </c>
      <c r="E1187" s="11" t="s">
        <v>438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560</v>
      </c>
      <c r="K1187" s="12" t="s">
        <v>561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2875</v>
      </c>
      <c r="C1188" s="11" t="s">
        <v>2876</v>
      </c>
      <c r="D1188" s="11" t="s">
        <v>26</v>
      </c>
      <c r="E1188" s="11" t="s">
        <v>243</v>
      </c>
      <c r="F1188" s="11" t="s">
        <v>26</v>
      </c>
      <c r="G1188" s="11" t="s">
        <v>26</v>
      </c>
      <c r="H1188" s="12" t="s">
        <v>4443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362</v>
      </c>
      <c r="C1189" s="11" t="s">
        <v>2877</v>
      </c>
      <c r="D1189" s="11" t="s">
        <v>26</v>
      </c>
      <c r="E1189" s="11" t="s">
        <v>508</v>
      </c>
      <c r="F1189" s="11" t="s">
        <v>26</v>
      </c>
      <c r="G1189" s="11">
        <v>1252</v>
      </c>
      <c r="H1189" s="12" t="s">
        <v>144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677</v>
      </c>
      <c r="C1190" s="11" t="s">
        <v>2878</v>
      </c>
      <c r="D1190" s="11" t="s">
        <v>26</v>
      </c>
      <c r="E1190" s="11" t="s">
        <v>233</v>
      </c>
      <c r="F1190" s="11" t="s">
        <v>26</v>
      </c>
      <c r="G1190" s="11">
        <v>23140</v>
      </c>
      <c r="H1190" s="12" t="s">
        <v>568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2879</v>
      </c>
      <c r="C1191" s="11" t="s">
        <v>2880</v>
      </c>
      <c r="D1191" s="11" t="s">
        <v>26</v>
      </c>
      <c r="E1191" s="11" t="s">
        <v>592</v>
      </c>
      <c r="F1191" s="11" t="s">
        <v>26</v>
      </c>
      <c r="G1191" s="11">
        <v>4586</v>
      </c>
      <c r="H1191" s="12" t="s">
        <v>4444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134</v>
      </c>
      <c r="C1192" s="11" t="s">
        <v>2881</v>
      </c>
      <c r="D1192" s="11" t="s">
        <v>26</v>
      </c>
      <c r="E1192" s="11" t="s">
        <v>106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2882</v>
      </c>
      <c r="C1193" s="11" t="s">
        <v>2883</v>
      </c>
      <c r="D1193" s="11" t="s">
        <v>26</v>
      </c>
      <c r="E1193" s="11" t="s">
        <v>512</v>
      </c>
      <c r="F1193" s="11" t="s">
        <v>26</v>
      </c>
      <c r="G1193" s="11">
        <v>1305</v>
      </c>
      <c r="H1193" s="12" t="s">
        <v>144</v>
      </c>
      <c r="I1193" s="12" t="s">
        <v>37</v>
      </c>
      <c r="J1193" s="12" t="s">
        <v>602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2884</v>
      </c>
      <c r="C1194" s="11" t="s">
        <v>2885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4443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143</v>
      </c>
      <c r="AA1194" s="12" t="s">
        <v>78</v>
      </c>
    </row>
    <row r="1195" spans="1:27" x14ac:dyDescent="0.25">
      <c r="A1195" s="10">
        <v>45677</v>
      </c>
      <c r="B1195" s="11" t="s">
        <v>2886</v>
      </c>
      <c r="C1195" s="11" t="s">
        <v>2887</v>
      </c>
      <c r="D1195" s="11" t="s">
        <v>26</v>
      </c>
      <c r="E1195" s="11" t="s">
        <v>489</v>
      </c>
      <c r="F1195" s="11" t="s">
        <v>26</v>
      </c>
      <c r="G1195" s="11">
        <v>72887</v>
      </c>
      <c r="H1195" s="12" t="s">
        <v>4470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666</v>
      </c>
      <c r="C1196" s="11" t="s">
        <v>2888</v>
      </c>
      <c r="D1196" s="11" t="s">
        <v>26</v>
      </c>
      <c r="E1196" s="11" t="s">
        <v>1221</v>
      </c>
      <c r="F1196" s="11" t="s">
        <v>26</v>
      </c>
      <c r="G1196" s="11">
        <v>995</v>
      </c>
      <c r="H1196" s="12" t="s">
        <v>166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2889</v>
      </c>
      <c r="C1197" s="11" t="s">
        <v>2890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4443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143</v>
      </c>
      <c r="AA1197" s="12" t="s">
        <v>78</v>
      </c>
    </row>
    <row r="1198" spans="1:27" x14ac:dyDescent="0.25">
      <c r="A1198" s="10">
        <v>45677</v>
      </c>
      <c r="B1198" s="11" t="s">
        <v>2891</v>
      </c>
      <c r="C1198" s="11" t="s">
        <v>2892</v>
      </c>
      <c r="D1198" s="11" t="s">
        <v>26</v>
      </c>
      <c r="E1198" s="11" t="s">
        <v>572</v>
      </c>
      <c r="F1198" s="11" t="s">
        <v>26</v>
      </c>
      <c r="G1198" s="11">
        <v>112165</v>
      </c>
      <c r="H1198" s="12" t="s">
        <v>4468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129</v>
      </c>
      <c r="C1199" s="11" t="s">
        <v>2893</v>
      </c>
      <c r="D1199" s="11" t="s">
        <v>26</v>
      </c>
      <c r="E1199" s="11" t="s">
        <v>570</v>
      </c>
      <c r="F1199" s="11" t="s">
        <v>26</v>
      </c>
      <c r="G1199" s="11">
        <v>112150</v>
      </c>
      <c r="H1199" s="12" t="s">
        <v>4468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737</v>
      </c>
      <c r="C1200" s="11" t="s">
        <v>2894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639</v>
      </c>
      <c r="C1201" s="11" t="s">
        <v>2895</v>
      </c>
      <c r="D1201" s="11" t="s">
        <v>26</v>
      </c>
      <c r="E1201" s="11" t="s">
        <v>504</v>
      </c>
      <c r="F1201" s="11" t="s">
        <v>26</v>
      </c>
      <c r="G1201" s="11">
        <v>802</v>
      </c>
      <c r="H1201" s="12" t="s">
        <v>144</v>
      </c>
      <c r="I1201" s="12" t="s">
        <v>37</v>
      </c>
      <c r="J1201" s="12" t="s">
        <v>602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2896</v>
      </c>
      <c r="C1202" s="11" t="s">
        <v>2897</v>
      </c>
      <c r="D1202" s="11" t="s">
        <v>26</v>
      </c>
      <c r="E1202" s="11" t="s">
        <v>564</v>
      </c>
      <c r="F1202" s="11" t="s">
        <v>26</v>
      </c>
      <c r="G1202" s="11">
        <v>112141</v>
      </c>
      <c r="H1202" s="12" t="s">
        <v>4468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290</v>
      </c>
      <c r="C1203" s="11" t="s">
        <v>2898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2899</v>
      </c>
      <c r="C1204" s="11" t="s">
        <v>2900</v>
      </c>
      <c r="D1204" s="11" t="s">
        <v>26</v>
      </c>
      <c r="E1204" s="11" t="s">
        <v>573</v>
      </c>
      <c r="F1204" s="11" t="s">
        <v>26</v>
      </c>
      <c r="G1204" s="11">
        <v>10330</v>
      </c>
      <c r="H1204" s="12" t="s">
        <v>143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477</v>
      </c>
      <c r="C1205" s="11" t="s">
        <v>2901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166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2902</v>
      </c>
      <c r="C1206" s="11" t="s">
        <v>2903</v>
      </c>
      <c r="D1206" s="11" t="s">
        <v>26</v>
      </c>
      <c r="E1206" s="11" t="s">
        <v>101</v>
      </c>
      <c r="F1206" s="11" t="s">
        <v>26</v>
      </c>
      <c r="G1206" s="11">
        <v>21726</v>
      </c>
      <c r="H1206" s="12" t="s">
        <v>4470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470</v>
      </c>
      <c r="C1207" s="11" t="s">
        <v>2904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560</v>
      </c>
      <c r="K1207" s="12" t="s">
        <v>561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411</v>
      </c>
      <c r="C1208" s="11" t="s">
        <v>2905</v>
      </c>
      <c r="D1208" s="11" t="s">
        <v>26</v>
      </c>
      <c r="E1208" s="11" t="s">
        <v>240</v>
      </c>
      <c r="F1208" s="11" t="s">
        <v>26</v>
      </c>
      <c r="G1208" s="11">
        <v>44300</v>
      </c>
      <c r="H1208" s="12" t="s">
        <v>4444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2906</v>
      </c>
      <c r="C1209" s="11" t="s">
        <v>2907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568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2908</v>
      </c>
      <c r="C1210" s="11" t="s">
        <v>2909</v>
      </c>
      <c r="D1210" s="11" t="s">
        <v>26</v>
      </c>
      <c r="E1210" s="11" t="s">
        <v>523</v>
      </c>
      <c r="F1210" s="11" t="s">
        <v>26</v>
      </c>
      <c r="G1210" s="11">
        <v>4378</v>
      </c>
      <c r="H1210" s="12" t="s">
        <v>143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2910</v>
      </c>
      <c r="C1211" s="11" t="s">
        <v>2911</v>
      </c>
      <c r="D1211" s="11" t="s">
        <v>26</v>
      </c>
      <c r="E1211" s="11" t="s">
        <v>233</v>
      </c>
      <c r="F1211" s="11" t="s">
        <v>26</v>
      </c>
      <c r="G1211" s="11">
        <v>23141</v>
      </c>
      <c r="H1211" s="12" t="s">
        <v>568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261</v>
      </c>
      <c r="C1212" s="11" t="s">
        <v>2912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2913</v>
      </c>
      <c r="C1213" s="11" t="s">
        <v>2914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2755</v>
      </c>
      <c r="C1214" s="11" t="s">
        <v>2915</v>
      </c>
      <c r="D1214" s="11" t="s">
        <v>26</v>
      </c>
      <c r="E1214" s="11" t="s">
        <v>247</v>
      </c>
      <c r="F1214" s="11" t="s">
        <v>26</v>
      </c>
      <c r="G1214" s="11">
        <v>955</v>
      </c>
      <c r="H1214" s="12" t="s">
        <v>144</v>
      </c>
      <c r="I1214" s="12" t="s">
        <v>37</v>
      </c>
      <c r="J1214" s="12" t="s">
        <v>602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2916</v>
      </c>
      <c r="C1215" s="11" t="s">
        <v>2917</v>
      </c>
      <c r="D1215" s="11" t="s">
        <v>26</v>
      </c>
      <c r="E1215" s="11" t="s">
        <v>607</v>
      </c>
      <c r="F1215" s="11" t="s">
        <v>26</v>
      </c>
      <c r="G1215" s="11">
        <v>1105</v>
      </c>
      <c r="H1215" s="12" t="s">
        <v>144</v>
      </c>
      <c r="I1215" s="12" t="s">
        <v>37</v>
      </c>
      <c r="J1215" s="12" t="s">
        <v>602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1087</v>
      </c>
      <c r="C1216" s="11" t="s">
        <v>2918</v>
      </c>
      <c r="D1216" s="11" t="s">
        <v>26</v>
      </c>
      <c r="E1216" s="11" t="s">
        <v>662</v>
      </c>
      <c r="F1216" s="11" t="s">
        <v>26</v>
      </c>
      <c r="G1216" s="11">
        <v>857</v>
      </c>
      <c r="H1216" s="12" t="s">
        <v>144</v>
      </c>
      <c r="I1216" s="12" t="s">
        <v>37</v>
      </c>
      <c r="J1216" s="12" t="s">
        <v>602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2919</v>
      </c>
      <c r="C1217" s="11" t="s">
        <v>2920</v>
      </c>
      <c r="D1217" s="11" t="s">
        <v>26</v>
      </c>
      <c r="E1217" s="11" t="s">
        <v>249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2921</v>
      </c>
      <c r="C1218" s="11" t="s">
        <v>2922</v>
      </c>
      <c r="D1218" s="11" t="s">
        <v>26</v>
      </c>
      <c r="E1218" s="11" t="s">
        <v>542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358</v>
      </c>
      <c r="C1219" s="11" t="s">
        <v>2923</v>
      </c>
      <c r="D1219" s="11" t="s">
        <v>26</v>
      </c>
      <c r="E1219" s="11" t="s">
        <v>1221</v>
      </c>
      <c r="F1219" s="11" t="s">
        <v>26</v>
      </c>
      <c r="G1219" s="11">
        <v>996</v>
      </c>
      <c r="H1219" s="12" t="s">
        <v>166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466</v>
      </c>
      <c r="C1220" s="11" t="s">
        <v>2924</v>
      </c>
      <c r="D1220" s="11" t="s">
        <v>26</v>
      </c>
      <c r="E1220" s="11" t="s">
        <v>512</v>
      </c>
      <c r="F1220" s="11" t="s">
        <v>26</v>
      </c>
      <c r="G1220" s="11">
        <v>1306</v>
      </c>
      <c r="H1220" s="12" t="s">
        <v>144</v>
      </c>
      <c r="I1220" s="12" t="s">
        <v>37</v>
      </c>
      <c r="J1220" s="12" t="s">
        <v>602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2925</v>
      </c>
      <c r="C1221" s="11" t="s">
        <v>2926</v>
      </c>
      <c r="D1221" s="11" t="s">
        <v>26</v>
      </c>
      <c r="E1221" s="11" t="s">
        <v>508</v>
      </c>
      <c r="F1221" s="11" t="s">
        <v>26</v>
      </c>
      <c r="G1221" s="11">
        <v>1253</v>
      </c>
      <c r="H1221" s="12" t="s">
        <v>144</v>
      </c>
      <c r="I1221" s="12" t="s">
        <v>37</v>
      </c>
      <c r="J1221" s="12" t="s">
        <v>602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312</v>
      </c>
      <c r="C1222" s="11" t="s">
        <v>2927</v>
      </c>
      <c r="D1222" s="11" t="s">
        <v>26</v>
      </c>
      <c r="E1222" s="11" t="s">
        <v>509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2928</v>
      </c>
      <c r="C1223" s="11" t="s">
        <v>2929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143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2930</v>
      </c>
      <c r="C1224" s="11" t="s">
        <v>2931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144</v>
      </c>
      <c r="I1224" s="12" t="s">
        <v>37</v>
      </c>
      <c r="J1224" s="12" t="s">
        <v>602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363</v>
      </c>
      <c r="C1225" s="11" t="s">
        <v>2932</v>
      </c>
      <c r="D1225" s="11" t="s">
        <v>26</v>
      </c>
      <c r="E1225" s="11" t="s">
        <v>98</v>
      </c>
      <c r="F1225" s="11" t="s">
        <v>26</v>
      </c>
      <c r="G1225" s="11">
        <v>5448</v>
      </c>
      <c r="H1225" s="12" t="s">
        <v>4469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1731</v>
      </c>
      <c r="C1226" s="11" t="s">
        <v>2933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4468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697</v>
      </c>
      <c r="C1227" s="11" t="s">
        <v>2934</v>
      </c>
      <c r="D1227" s="11" t="s">
        <v>26</v>
      </c>
      <c r="E1227" s="11" t="s">
        <v>328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327</v>
      </c>
      <c r="C1228" s="11" t="s">
        <v>2935</v>
      </c>
      <c r="D1228" s="11" t="s">
        <v>26</v>
      </c>
      <c r="E1228" s="11" t="s">
        <v>182</v>
      </c>
      <c r="F1228" s="11" t="s">
        <v>26</v>
      </c>
      <c r="G1228" s="11">
        <v>57732</v>
      </c>
      <c r="H1228" s="12" t="s">
        <v>4444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292</v>
      </c>
      <c r="C1229" s="11" t="s">
        <v>2936</v>
      </c>
      <c r="D1229" s="11" t="s">
        <v>26</v>
      </c>
      <c r="E1229" s="11" t="s">
        <v>243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2937</v>
      </c>
      <c r="C1230" s="11" t="s">
        <v>2938</v>
      </c>
      <c r="D1230" s="11" t="s">
        <v>26</v>
      </c>
      <c r="E1230" s="11" t="s">
        <v>246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137</v>
      </c>
      <c r="C1231" s="11" t="s">
        <v>2939</v>
      </c>
      <c r="D1231" s="11" t="s">
        <v>26</v>
      </c>
      <c r="E1231" s="11" t="s">
        <v>573</v>
      </c>
      <c r="F1231" s="11" t="s">
        <v>26</v>
      </c>
      <c r="G1231" s="11">
        <v>10328</v>
      </c>
      <c r="H1231" s="12" t="s">
        <v>143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2940</v>
      </c>
      <c r="C1232" s="11" t="s">
        <v>2941</v>
      </c>
      <c r="D1232" s="11" t="s">
        <v>26</v>
      </c>
      <c r="E1232" s="11" t="s">
        <v>99</v>
      </c>
      <c r="F1232" s="11" t="s">
        <v>26</v>
      </c>
      <c r="G1232" s="11">
        <v>10144</v>
      </c>
      <c r="H1232" s="12" t="s">
        <v>143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2942</v>
      </c>
      <c r="C1233" s="11" t="s">
        <v>2943</v>
      </c>
      <c r="D1233" s="11" t="s">
        <v>26</v>
      </c>
      <c r="E1233" s="11" t="s">
        <v>571</v>
      </c>
      <c r="F1233" s="11" t="s">
        <v>26</v>
      </c>
      <c r="G1233" s="11">
        <v>112255</v>
      </c>
      <c r="H1233" s="12" t="s">
        <v>4468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459</v>
      </c>
      <c r="C1234" s="11" t="s">
        <v>2944</v>
      </c>
      <c r="D1234" s="11" t="s">
        <v>26</v>
      </c>
      <c r="E1234" s="11" t="s">
        <v>1681</v>
      </c>
      <c r="F1234" s="11" t="s">
        <v>26</v>
      </c>
      <c r="G1234" s="11">
        <v>42268</v>
      </c>
      <c r="H1234" s="12" t="s">
        <v>568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2945</v>
      </c>
      <c r="C1235" s="11" t="s">
        <v>2946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568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2947</v>
      </c>
      <c r="C1236" s="11" t="s">
        <v>2948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166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2949</v>
      </c>
      <c r="C1237" s="11" t="s">
        <v>2950</v>
      </c>
      <c r="D1237" s="11" t="s">
        <v>26</v>
      </c>
      <c r="E1237" s="11" t="s">
        <v>233</v>
      </c>
      <c r="F1237" s="11" t="s">
        <v>26</v>
      </c>
      <c r="G1237" s="11">
        <v>23142</v>
      </c>
      <c r="H1237" s="12" t="s">
        <v>568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2951</v>
      </c>
      <c r="C1238" s="11" t="s">
        <v>2952</v>
      </c>
      <c r="D1238" s="11" t="s">
        <v>26</v>
      </c>
      <c r="E1238" s="11" t="s">
        <v>1672</v>
      </c>
      <c r="F1238" s="11" t="s">
        <v>26</v>
      </c>
      <c r="G1238" s="11">
        <v>42023</v>
      </c>
      <c r="H1238" s="12" t="s">
        <v>568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118</v>
      </c>
      <c r="C1239" s="11" t="s">
        <v>2953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1930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2954</v>
      </c>
      <c r="C1240" s="11" t="s">
        <v>2955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1930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2956</v>
      </c>
      <c r="C1241" s="11" t="s">
        <v>2957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1997</v>
      </c>
      <c r="C1242" s="11" t="s">
        <v>2958</v>
      </c>
      <c r="D1242" s="11" t="s">
        <v>26</v>
      </c>
      <c r="E1242" s="11" t="s">
        <v>607</v>
      </c>
      <c r="F1242" s="11" t="s">
        <v>26</v>
      </c>
      <c r="G1242" s="11">
        <v>1106</v>
      </c>
      <c r="H1242" s="12" t="s">
        <v>144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2959</v>
      </c>
      <c r="C1243" s="11" t="s">
        <v>2960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4444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2773</v>
      </c>
      <c r="C1244" s="11" t="s">
        <v>2961</v>
      </c>
      <c r="D1244" s="11" t="s">
        <v>26</v>
      </c>
      <c r="E1244" s="11" t="s">
        <v>90</v>
      </c>
      <c r="F1244" s="11" t="s">
        <v>26</v>
      </c>
      <c r="G1244" s="11">
        <v>59999</v>
      </c>
      <c r="H1244" s="12" t="s">
        <v>4444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2962</v>
      </c>
      <c r="C1245" s="11" t="s">
        <v>2963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569</v>
      </c>
      <c r="K1245" s="12" t="s">
        <v>553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733</v>
      </c>
      <c r="C1246" s="11" t="s">
        <v>2964</v>
      </c>
      <c r="D1246" s="11" t="s">
        <v>26</v>
      </c>
      <c r="E1246" s="11" t="s">
        <v>438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2965</v>
      </c>
      <c r="C1247" s="11" t="s">
        <v>2966</v>
      </c>
      <c r="D1247" s="11" t="s">
        <v>26</v>
      </c>
      <c r="E1247" s="11" t="s">
        <v>596</v>
      </c>
      <c r="F1247" s="11" t="s">
        <v>26</v>
      </c>
      <c r="G1247" s="11">
        <v>59495</v>
      </c>
      <c r="H1247" s="12" t="s">
        <v>4444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2967</v>
      </c>
      <c r="C1248" s="11" t="s">
        <v>2968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2969</v>
      </c>
      <c r="C1249" s="11" t="s">
        <v>2970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144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2971</v>
      </c>
      <c r="C1250" s="11" t="s">
        <v>2972</v>
      </c>
      <c r="D1250" s="11" t="s">
        <v>26</v>
      </c>
      <c r="E1250" s="11" t="s">
        <v>504</v>
      </c>
      <c r="F1250" s="11" t="s">
        <v>26</v>
      </c>
      <c r="G1250" s="11">
        <v>803</v>
      </c>
      <c r="H1250" s="12" t="s">
        <v>144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2973</v>
      </c>
      <c r="C1251" s="11" t="s">
        <v>2974</v>
      </c>
      <c r="D1251" s="11" t="s">
        <v>26</v>
      </c>
      <c r="E1251" s="11" t="s">
        <v>662</v>
      </c>
      <c r="F1251" s="11" t="s">
        <v>26</v>
      </c>
      <c r="G1251" s="11">
        <v>858</v>
      </c>
      <c r="H1251" s="12" t="s">
        <v>144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343</v>
      </c>
      <c r="C1252" s="11" t="s">
        <v>2975</v>
      </c>
      <c r="D1252" s="11" t="s">
        <v>26</v>
      </c>
      <c r="E1252" s="11" t="s">
        <v>555</v>
      </c>
      <c r="F1252" s="11" t="s">
        <v>26</v>
      </c>
      <c r="G1252" s="11">
        <v>69120</v>
      </c>
      <c r="H1252" s="12" t="s">
        <v>4444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2976</v>
      </c>
      <c r="C1253" s="11" t="s">
        <v>2977</v>
      </c>
      <c r="D1253" s="11" t="s">
        <v>26</v>
      </c>
      <c r="E1253" s="11" t="s">
        <v>1221</v>
      </c>
      <c r="F1253" s="11" t="s">
        <v>26</v>
      </c>
      <c r="G1253" s="11">
        <v>997</v>
      </c>
      <c r="H1253" s="12" t="s">
        <v>166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2978</v>
      </c>
      <c r="C1254" s="11" t="s">
        <v>2979</v>
      </c>
      <c r="D1254" s="11" t="s">
        <v>26</v>
      </c>
      <c r="E1254" s="11" t="s">
        <v>570</v>
      </c>
      <c r="F1254" s="11" t="s">
        <v>26</v>
      </c>
      <c r="G1254" s="11">
        <v>112260</v>
      </c>
      <c r="H1254" s="12" t="s">
        <v>4468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476</v>
      </c>
      <c r="C1255" s="11" t="s">
        <v>2980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4468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2981</v>
      </c>
      <c r="C1256" s="11" t="s">
        <v>2982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2983</v>
      </c>
      <c r="C1257" s="11" t="s">
        <v>2984</v>
      </c>
      <c r="D1257" s="11" t="s">
        <v>26</v>
      </c>
      <c r="E1257" s="11" t="s">
        <v>577</v>
      </c>
      <c r="F1257" s="11" t="s">
        <v>26</v>
      </c>
      <c r="G1257" s="11">
        <v>772</v>
      </c>
      <c r="H1257" s="12" t="s">
        <v>144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385</v>
      </c>
      <c r="C1258" s="11" t="s">
        <v>2985</v>
      </c>
      <c r="D1258" s="11" t="s">
        <v>26</v>
      </c>
      <c r="E1258" s="11" t="s">
        <v>555</v>
      </c>
      <c r="F1258" s="11" t="s">
        <v>26</v>
      </c>
      <c r="G1258" s="11">
        <v>69121</v>
      </c>
      <c r="H1258" s="12" t="s">
        <v>4444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2986</v>
      </c>
      <c r="C1259" s="11" t="s">
        <v>2987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144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2988</v>
      </c>
      <c r="C1260" s="11" t="s">
        <v>2989</v>
      </c>
      <c r="D1260" s="11" t="s">
        <v>26</v>
      </c>
      <c r="E1260" s="11" t="s">
        <v>504</v>
      </c>
      <c r="F1260" s="11" t="s">
        <v>26</v>
      </c>
      <c r="G1260" s="11">
        <v>804</v>
      </c>
      <c r="H1260" s="12" t="s">
        <v>144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2990</v>
      </c>
      <c r="C1261" s="11" t="s">
        <v>2991</v>
      </c>
      <c r="D1261" s="11" t="s">
        <v>26</v>
      </c>
      <c r="E1261" s="11" t="s">
        <v>608</v>
      </c>
      <c r="F1261" s="11" t="s">
        <v>26</v>
      </c>
      <c r="G1261" s="11">
        <v>1054</v>
      </c>
      <c r="H1261" s="12" t="s">
        <v>144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2992</v>
      </c>
      <c r="C1262" s="11" t="s">
        <v>2993</v>
      </c>
      <c r="D1262" s="11" t="s">
        <v>26</v>
      </c>
      <c r="E1262" s="11" t="s">
        <v>325</v>
      </c>
      <c r="F1262" s="11" t="s">
        <v>26</v>
      </c>
      <c r="G1262" s="11">
        <v>112252</v>
      </c>
      <c r="H1262" s="12" t="s">
        <v>4468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339</v>
      </c>
      <c r="C1263" s="11" t="s">
        <v>2994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2995</v>
      </c>
      <c r="C1264" s="11" t="s">
        <v>2996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4443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2997</v>
      </c>
      <c r="C1265" s="11" t="s">
        <v>2998</v>
      </c>
      <c r="D1265" s="11" t="s">
        <v>26</v>
      </c>
      <c r="E1265" s="11" t="s">
        <v>99</v>
      </c>
      <c r="F1265" s="11" t="s">
        <v>26</v>
      </c>
      <c r="G1265" s="11" t="s">
        <v>26</v>
      </c>
      <c r="H1265" s="12" t="s">
        <v>4443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143</v>
      </c>
      <c r="AA1265" s="12" t="s">
        <v>78</v>
      </c>
    </row>
    <row r="1266" spans="1:27" x14ac:dyDescent="0.25">
      <c r="A1266" s="10">
        <v>45678</v>
      </c>
      <c r="B1266" s="11" t="s">
        <v>2999</v>
      </c>
      <c r="C1266" s="11" t="s">
        <v>3000</v>
      </c>
      <c r="D1266" s="11" t="s">
        <v>26</v>
      </c>
      <c r="E1266" s="11" t="s">
        <v>2130</v>
      </c>
      <c r="F1266" s="11" t="s">
        <v>26</v>
      </c>
      <c r="G1266" s="11" t="s">
        <v>26</v>
      </c>
      <c r="H1266" s="12" t="s">
        <v>4443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143</v>
      </c>
      <c r="AA1266" s="12" t="s">
        <v>78</v>
      </c>
    </row>
    <row r="1267" spans="1:27" x14ac:dyDescent="0.25">
      <c r="A1267" s="10">
        <v>45678</v>
      </c>
      <c r="B1267" s="11" t="s">
        <v>3001</v>
      </c>
      <c r="C1267" s="11" t="s">
        <v>3002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358</v>
      </c>
      <c r="C1268" s="11" t="s">
        <v>3003</v>
      </c>
      <c r="D1268" s="11" t="s">
        <v>26</v>
      </c>
      <c r="E1268" s="11" t="s">
        <v>592</v>
      </c>
      <c r="F1268" s="11" t="s">
        <v>26</v>
      </c>
      <c r="G1268" s="11">
        <v>4588</v>
      </c>
      <c r="H1268" s="12" t="s">
        <v>4444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3004</v>
      </c>
      <c r="C1269" s="11" t="s">
        <v>3005</v>
      </c>
      <c r="D1269" s="11" t="s">
        <v>26</v>
      </c>
      <c r="E1269" s="11" t="s">
        <v>523</v>
      </c>
      <c r="F1269" s="11" t="s">
        <v>26</v>
      </c>
      <c r="G1269" s="11" t="s">
        <v>26</v>
      </c>
      <c r="H1269" s="12" t="s">
        <v>4443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143</v>
      </c>
      <c r="AA1269" s="12" t="s">
        <v>78</v>
      </c>
    </row>
    <row r="1270" spans="1:27" x14ac:dyDescent="0.25">
      <c r="A1270" s="10">
        <v>45678</v>
      </c>
      <c r="B1270" s="11" t="s">
        <v>414</v>
      </c>
      <c r="C1270" s="11" t="s">
        <v>3006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4443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143</v>
      </c>
      <c r="AA1270" s="12" t="s">
        <v>78</v>
      </c>
    </row>
    <row r="1271" spans="1:27" x14ac:dyDescent="0.25">
      <c r="A1271" s="10">
        <v>45678</v>
      </c>
      <c r="B1271" s="11" t="s">
        <v>3007</v>
      </c>
      <c r="C1271" s="11" t="s">
        <v>3008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1930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3009</v>
      </c>
      <c r="C1272" s="11" t="s">
        <v>3010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1930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132</v>
      </c>
      <c r="C1273" s="11" t="s">
        <v>3011</v>
      </c>
      <c r="D1273" s="11" t="s">
        <v>26</v>
      </c>
      <c r="E1273" s="11" t="s">
        <v>596</v>
      </c>
      <c r="F1273" s="11" t="s">
        <v>26</v>
      </c>
      <c r="G1273" s="11">
        <v>59496</v>
      </c>
      <c r="H1273" s="12" t="s">
        <v>4444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1435</v>
      </c>
      <c r="C1274" s="11" t="s">
        <v>3012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568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3013</v>
      </c>
      <c r="C1275" s="11" t="s">
        <v>3014</v>
      </c>
      <c r="D1275" s="11" t="s">
        <v>26</v>
      </c>
      <c r="E1275" s="11" t="s">
        <v>607</v>
      </c>
      <c r="F1275" s="11" t="s">
        <v>26</v>
      </c>
      <c r="G1275" s="11">
        <v>1107</v>
      </c>
      <c r="H1275" s="12" t="s">
        <v>144</v>
      </c>
      <c r="I1275" s="12" t="s">
        <v>37</v>
      </c>
      <c r="J1275" s="12" t="s">
        <v>602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3015</v>
      </c>
      <c r="C1276" s="11" t="s">
        <v>3016</v>
      </c>
      <c r="D1276" s="11" t="s">
        <v>26</v>
      </c>
      <c r="E1276" s="11" t="s">
        <v>249</v>
      </c>
      <c r="F1276" s="11" t="s">
        <v>26</v>
      </c>
      <c r="G1276" s="11" t="s">
        <v>26</v>
      </c>
      <c r="H1276" s="12" t="s">
        <v>149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380</v>
      </c>
      <c r="C1277" s="11" t="s">
        <v>3017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166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1767</v>
      </c>
      <c r="C1278" s="11" t="s">
        <v>3018</v>
      </c>
      <c r="D1278" s="11" t="s">
        <v>26</v>
      </c>
      <c r="E1278" s="11" t="s">
        <v>549</v>
      </c>
      <c r="F1278" s="11" t="s">
        <v>26</v>
      </c>
      <c r="G1278" s="11" t="s">
        <v>26</v>
      </c>
      <c r="H1278" s="12" t="s">
        <v>4445</v>
      </c>
      <c r="I1278" s="12" t="s">
        <v>758</v>
      </c>
      <c r="J1278" s="12" t="s">
        <v>517</v>
      </c>
      <c r="K1278" s="12" t="s">
        <v>518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144</v>
      </c>
      <c r="AA1278" s="12" t="s">
        <v>750</v>
      </c>
    </row>
    <row r="1279" spans="1:27" x14ac:dyDescent="0.25">
      <c r="A1279" s="10">
        <v>45678</v>
      </c>
      <c r="B1279" s="11" t="s">
        <v>3019</v>
      </c>
      <c r="C1279" s="11" t="s">
        <v>3020</v>
      </c>
      <c r="D1279" s="11" t="s">
        <v>26</v>
      </c>
      <c r="E1279" s="11" t="s">
        <v>542</v>
      </c>
      <c r="F1279" s="11" t="s">
        <v>26</v>
      </c>
      <c r="G1279" s="11" t="s">
        <v>26</v>
      </c>
      <c r="H1279" s="12" t="s">
        <v>149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3021</v>
      </c>
      <c r="C1280" s="11" t="s">
        <v>3022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4443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3023</v>
      </c>
      <c r="C1281" s="11" t="s">
        <v>3024</v>
      </c>
      <c r="D1281" s="11" t="s">
        <v>26</v>
      </c>
      <c r="E1281" s="11" t="s">
        <v>1221</v>
      </c>
      <c r="F1281" s="11" t="s">
        <v>26</v>
      </c>
      <c r="G1281" s="11">
        <v>998</v>
      </c>
      <c r="H1281" s="12" t="s">
        <v>166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624</v>
      </c>
      <c r="C1282" s="11" t="s">
        <v>3025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3026</v>
      </c>
      <c r="C1283" s="11" t="s">
        <v>3027</v>
      </c>
      <c r="D1283" s="11" t="s">
        <v>26</v>
      </c>
      <c r="E1283" s="11" t="s">
        <v>555</v>
      </c>
      <c r="F1283" s="11" t="s">
        <v>26</v>
      </c>
      <c r="G1283" s="11">
        <v>69122</v>
      </c>
      <c r="H1283" s="12" t="s">
        <v>4444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3028</v>
      </c>
      <c r="C1284" s="11" t="s">
        <v>3029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4443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143</v>
      </c>
      <c r="AA1284" s="12" t="s">
        <v>78</v>
      </c>
    </row>
    <row r="1285" spans="1:27" x14ac:dyDescent="0.25">
      <c r="A1285" s="10">
        <v>45678</v>
      </c>
      <c r="B1285" s="11" t="s">
        <v>345</v>
      </c>
      <c r="C1285" s="11" t="s">
        <v>3030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143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344</v>
      </c>
      <c r="C1286" s="11" t="s">
        <v>3031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1930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3032</v>
      </c>
      <c r="C1287" s="11" t="s">
        <v>3033</v>
      </c>
      <c r="D1287" s="11" t="s">
        <v>26</v>
      </c>
      <c r="E1287" s="11" t="s">
        <v>233</v>
      </c>
      <c r="F1287" s="11" t="s">
        <v>26</v>
      </c>
      <c r="G1287" s="11" t="s">
        <v>26</v>
      </c>
      <c r="H1287" s="12" t="s">
        <v>4443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568</v>
      </c>
      <c r="AA1287" s="12" t="s">
        <v>78</v>
      </c>
    </row>
    <row r="1288" spans="1:27" x14ac:dyDescent="0.25">
      <c r="A1288" s="10">
        <v>45678</v>
      </c>
      <c r="B1288" s="11" t="s">
        <v>3034</v>
      </c>
      <c r="C1288" s="11" t="s">
        <v>3035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1930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291</v>
      </c>
      <c r="C1289" s="11" t="s">
        <v>3036</v>
      </c>
      <c r="D1289" s="11" t="s">
        <v>26</v>
      </c>
      <c r="E1289" s="11" t="s">
        <v>607</v>
      </c>
      <c r="F1289" s="11" t="s">
        <v>26</v>
      </c>
      <c r="G1289" s="11">
        <v>1108</v>
      </c>
      <c r="H1289" s="12" t="s">
        <v>144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323</v>
      </c>
      <c r="C1290" s="11" t="s">
        <v>3037</v>
      </c>
      <c r="D1290" s="11" t="s">
        <v>26</v>
      </c>
      <c r="E1290" s="11" t="s">
        <v>325</v>
      </c>
      <c r="F1290" s="11" t="s">
        <v>26</v>
      </c>
      <c r="G1290" s="11">
        <v>112268</v>
      </c>
      <c r="H1290" s="12" t="s">
        <v>4468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3038</v>
      </c>
      <c r="C1291" s="11" t="s">
        <v>3039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568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3040</v>
      </c>
      <c r="C1292" s="11" t="s">
        <v>3041</v>
      </c>
      <c r="D1292" s="11" t="s">
        <v>26</v>
      </c>
      <c r="E1292" s="11" t="s">
        <v>508</v>
      </c>
      <c r="F1292" s="11" t="s">
        <v>26</v>
      </c>
      <c r="G1292" s="11">
        <v>1254</v>
      </c>
      <c r="H1292" s="12" t="s">
        <v>144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710</v>
      </c>
      <c r="C1293" s="11" t="s">
        <v>3042</v>
      </c>
      <c r="D1293" s="11" t="s">
        <v>26</v>
      </c>
      <c r="E1293" s="11" t="s">
        <v>575</v>
      </c>
      <c r="F1293" s="11" t="s">
        <v>26</v>
      </c>
      <c r="G1293" s="11">
        <v>112211</v>
      </c>
      <c r="H1293" s="12" t="s">
        <v>4468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735</v>
      </c>
      <c r="C1294" s="11" t="s">
        <v>3043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4468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741</v>
      </c>
      <c r="C1295" s="11" t="s">
        <v>3044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3045</v>
      </c>
      <c r="C1296" s="11" t="s">
        <v>3046</v>
      </c>
      <c r="D1296" s="11" t="s">
        <v>26</v>
      </c>
      <c r="E1296" s="11" t="s">
        <v>504</v>
      </c>
      <c r="F1296" s="11" t="s">
        <v>26</v>
      </c>
      <c r="G1296" s="11" t="s">
        <v>26</v>
      </c>
      <c r="H1296" s="12" t="s">
        <v>4445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144</v>
      </c>
      <c r="AA1296" s="12" t="s">
        <v>661</v>
      </c>
    </row>
    <row r="1297" spans="1:27" x14ac:dyDescent="0.25">
      <c r="A1297" s="10">
        <v>45678</v>
      </c>
      <c r="B1297" s="11" t="s">
        <v>3047</v>
      </c>
      <c r="C1297" s="11" t="s">
        <v>3048</v>
      </c>
      <c r="D1297" s="11" t="s">
        <v>26</v>
      </c>
      <c r="E1297" s="11" t="s">
        <v>528</v>
      </c>
      <c r="F1297" s="11" t="s">
        <v>26</v>
      </c>
      <c r="G1297" s="11">
        <v>26325</v>
      </c>
      <c r="H1297" s="12" t="s">
        <v>4470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3049</v>
      </c>
      <c r="C1298" s="11" t="s">
        <v>3050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3051</v>
      </c>
      <c r="C1299" s="11" t="s">
        <v>3052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262</v>
      </c>
      <c r="C1300" s="11" t="s">
        <v>3053</v>
      </c>
      <c r="D1300" s="11" t="s">
        <v>26</v>
      </c>
      <c r="E1300" s="11" t="s">
        <v>570</v>
      </c>
      <c r="F1300" s="11" t="s">
        <v>26</v>
      </c>
      <c r="G1300" s="11">
        <v>112271</v>
      </c>
      <c r="H1300" s="12" t="s">
        <v>4468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3054</v>
      </c>
      <c r="C1301" s="11" t="s">
        <v>3055</v>
      </c>
      <c r="D1301" s="11" t="s">
        <v>26</v>
      </c>
      <c r="E1301" s="11" t="s">
        <v>1221</v>
      </c>
      <c r="F1301" s="11" t="s">
        <v>26</v>
      </c>
      <c r="G1301" s="11">
        <v>999</v>
      </c>
      <c r="H1301" s="12" t="s">
        <v>166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3056</v>
      </c>
      <c r="C1302" s="11" t="s">
        <v>3057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3058</v>
      </c>
      <c r="C1303" s="11" t="s">
        <v>3059</v>
      </c>
      <c r="D1303" s="11" t="s">
        <v>26</v>
      </c>
      <c r="E1303" s="11" t="s">
        <v>233</v>
      </c>
      <c r="F1303" s="11" t="s">
        <v>26</v>
      </c>
      <c r="G1303" s="11" t="s">
        <v>26</v>
      </c>
      <c r="H1303" s="12" t="s">
        <v>4443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568</v>
      </c>
      <c r="AA1303" s="12" t="s">
        <v>78</v>
      </c>
    </row>
    <row r="1304" spans="1:27" x14ac:dyDescent="0.25">
      <c r="A1304" s="10">
        <v>45678</v>
      </c>
      <c r="B1304" s="11" t="s">
        <v>3060</v>
      </c>
      <c r="C1304" s="11" t="s">
        <v>3061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3062</v>
      </c>
      <c r="C1305" s="11" t="s">
        <v>3063</v>
      </c>
      <c r="D1305" s="11" t="s">
        <v>26</v>
      </c>
      <c r="E1305" s="11" t="s">
        <v>509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712</v>
      </c>
      <c r="C1306" s="11" t="s">
        <v>3064</v>
      </c>
      <c r="D1306" s="11" t="s">
        <v>26</v>
      </c>
      <c r="E1306" s="11" t="s">
        <v>247</v>
      </c>
      <c r="F1306" s="11" t="s">
        <v>26</v>
      </c>
      <c r="G1306" s="11">
        <v>956</v>
      </c>
      <c r="H1306" s="12" t="s">
        <v>144</v>
      </c>
      <c r="I1306" s="12" t="s">
        <v>37</v>
      </c>
      <c r="J1306" s="12" t="s">
        <v>602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3065</v>
      </c>
      <c r="C1307" s="11" t="s">
        <v>3066</v>
      </c>
      <c r="D1307" s="11" t="s">
        <v>26</v>
      </c>
      <c r="E1307" s="11" t="s">
        <v>607</v>
      </c>
      <c r="F1307" s="11" t="s">
        <v>26</v>
      </c>
      <c r="G1307" s="11">
        <v>1109</v>
      </c>
      <c r="H1307" s="12" t="s">
        <v>144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3067</v>
      </c>
      <c r="C1308" s="11" t="s">
        <v>3068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3069</v>
      </c>
      <c r="C1309" s="11" t="s">
        <v>3070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1930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3071</v>
      </c>
      <c r="C1310" s="11" t="s">
        <v>3072</v>
      </c>
      <c r="D1310" s="11" t="s">
        <v>26</v>
      </c>
      <c r="E1310" s="11" t="s">
        <v>249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3073</v>
      </c>
      <c r="C1311" s="11" t="s">
        <v>3074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143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135</v>
      </c>
      <c r="C1312" s="11" t="s">
        <v>3075</v>
      </c>
      <c r="D1312" s="11" t="s">
        <v>26</v>
      </c>
      <c r="E1312" s="11" t="s">
        <v>2130</v>
      </c>
      <c r="F1312" s="11" t="s">
        <v>26</v>
      </c>
      <c r="G1312" s="11">
        <v>10605</v>
      </c>
      <c r="H1312" s="12" t="s">
        <v>143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3076</v>
      </c>
      <c r="C1313" s="11" t="s">
        <v>3077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406</v>
      </c>
      <c r="C1314" s="11" t="s">
        <v>3078</v>
      </c>
      <c r="D1314" s="11" t="s">
        <v>26</v>
      </c>
      <c r="E1314" s="11" t="s">
        <v>243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569</v>
      </c>
      <c r="K1314" s="12" t="s">
        <v>553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3079</v>
      </c>
      <c r="C1315" s="11" t="s">
        <v>3080</v>
      </c>
      <c r="D1315" s="11" t="s">
        <v>26</v>
      </c>
      <c r="E1315" s="11" t="s">
        <v>659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645</v>
      </c>
      <c r="C1316" s="11" t="s">
        <v>3081</v>
      </c>
      <c r="D1316" s="11" t="s">
        <v>26</v>
      </c>
      <c r="E1316" s="11" t="s">
        <v>555</v>
      </c>
      <c r="F1316" s="11" t="s">
        <v>26</v>
      </c>
      <c r="G1316" s="11">
        <v>69123</v>
      </c>
      <c r="H1316" s="12" t="s">
        <v>4444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3082</v>
      </c>
      <c r="C1317" s="11" t="s">
        <v>3083</v>
      </c>
      <c r="D1317" s="11" t="s">
        <v>26</v>
      </c>
      <c r="E1317" s="11" t="s">
        <v>443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3084</v>
      </c>
      <c r="C1318" s="11" t="s">
        <v>3085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568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3086</v>
      </c>
      <c r="C1319" s="11" t="s">
        <v>3087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166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3088</v>
      </c>
      <c r="C1320" s="11" t="s">
        <v>3089</v>
      </c>
      <c r="D1320" s="11" t="s">
        <v>26</v>
      </c>
      <c r="E1320" s="11" t="s">
        <v>233</v>
      </c>
      <c r="F1320" s="11" t="s">
        <v>26</v>
      </c>
      <c r="G1320" s="11">
        <v>23143</v>
      </c>
      <c r="H1320" s="12" t="s">
        <v>568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3090</v>
      </c>
      <c r="C1321" s="11" t="s">
        <v>3091</v>
      </c>
      <c r="D1321" s="11" t="s">
        <v>26</v>
      </c>
      <c r="E1321" s="11" t="s">
        <v>438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3092</v>
      </c>
      <c r="C1322" s="11" t="s">
        <v>3093</v>
      </c>
      <c r="D1322" s="11" t="s">
        <v>26</v>
      </c>
      <c r="E1322" s="11" t="s">
        <v>570</v>
      </c>
      <c r="F1322" s="11" t="s">
        <v>26</v>
      </c>
      <c r="G1322" s="11">
        <v>112276</v>
      </c>
      <c r="H1322" s="12" t="s">
        <v>4468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3094</v>
      </c>
      <c r="C1323" s="11" t="s">
        <v>3095</v>
      </c>
      <c r="D1323" s="11" t="s">
        <v>26</v>
      </c>
      <c r="E1323" s="11" t="s">
        <v>1221</v>
      </c>
      <c r="F1323" s="11" t="s">
        <v>26</v>
      </c>
      <c r="G1323" s="11">
        <v>645</v>
      </c>
      <c r="H1323" s="12" t="s">
        <v>166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3096</v>
      </c>
      <c r="C1324" s="11" t="s">
        <v>3097</v>
      </c>
      <c r="D1324" s="11" t="s">
        <v>26</v>
      </c>
      <c r="E1324" s="11" t="s">
        <v>555</v>
      </c>
      <c r="F1324" s="11" t="s">
        <v>26</v>
      </c>
      <c r="G1324" s="11">
        <v>69125</v>
      </c>
      <c r="H1324" s="12" t="s">
        <v>4444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440</v>
      </c>
      <c r="C1325" s="11" t="s">
        <v>3098</v>
      </c>
      <c r="D1325" s="11" t="s">
        <v>26</v>
      </c>
      <c r="E1325" s="11" t="s">
        <v>434</v>
      </c>
      <c r="F1325" s="11" t="s">
        <v>26</v>
      </c>
      <c r="G1325" s="11" t="s">
        <v>26</v>
      </c>
      <c r="H1325" s="12" t="s">
        <v>4445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115</v>
      </c>
      <c r="AA1325" s="12" t="s">
        <v>661</v>
      </c>
    </row>
    <row r="1326" spans="1:27" x14ac:dyDescent="0.25">
      <c r="A1326" s="10">
        <v>45679</v>
      </c>
      <c r="B1326" s="11" t="s">
        <v>3099</v>
      </c>
      <c r="C1326" s="11" t="s">
        <v>3100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166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232</v>
      </c>
      <c r="C1327" s="11" t="s">
        <v>3101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4443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3102</v>
      </c>
      <c r="C1328" s="11" t="s">
        <v>3103</v>
      </c>
      <c r="D1328" s="11" t="s">
        <v>26</v>
      </c>
      <c r="E1328" s="11" t="s">
        <v>504</v>
      </c>
      <c r="F1328" s="11" t="s">
        <v>26</v>
      </c>
      <c r="G1328" s="11">
        <v>805</v>
      </c>
      <c r="H1328" s="12" t="s">
        <v>144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502</v>
      </c>
      <c r="C1329" s="11" t="s">
        <v>3104</v>
      </c>
      <c r="D1329" s="11" t="s">
        <v>26</v>
      </c>
      <c r="E1329" s="11" t="s">
        <v>1746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3105</v>
      </c>
      <c r="C1330" s="11" t="s">
        <v>3106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4443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242</v>
      </c>
      <c r="C1331" s="11" t="s">
        <v>3107</v>
      </c>
      <c r="D1331" s="11" t="s">
        <v>26</v>
      </c>
      <c r="E1331" s="11" t="s">
        <v>249</v>
      </c>
      <c r="F1331" s="11" t="s">
        <v>26</v>
      </c>
      <c r="G1331" s="11" t="s">
        <v>26</v>
      </c>
      <c r="H1331" s="12" t="s">
        <v>4443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527</v>
      </c>
      <c r="C1332" s="11" t="s">
        <v>3108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3109</v>
      </c>
      <c r="C1333" s="11" t="s">
        <v>3110</v>
      </c>
      <c r="D1333" s="11" t="s">
        <v>26</v>
      </c>
      <c r="E1333" s="11" t="s">
        <v>542</v>
      </c>
      <c r="F1333" s="11" t="s">
        <v>26</v>
      </c>
      <c r="G1333" s="11" t="s">
        <v>26</v>
      </c>
      <c r="H1333" s="12" t="s">
        <v>4443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3111</v>
      </c>
      <c r="C1334" s="11" t="s">
        <v>3112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184</v>
      </c>
      <c r="C1335" s="11" t="s">
        <v>3113</v>
      </c>
      <c r="D1335" s="11" t="s">
        <v>26</v>
      </c>
      <c r="E1335" s="11" t="s">
        <v>99</v>
      </c>
      <c r="F1335" s="11" t="s">
        <v>26</v>
      </c>
      <c r="G1335" s="11" t="s">
        <v>26</v>
      </c>
      <c r="H1335" s="12" t="s">
        <v>4443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143</v>
      </c>
      <c r="AA1335" s="12" t="s">
        <v>78</v>
      </c>
    </row>
    <row r="1336" spans="1:27" x14ac:dyDescent="0.25">
      <c r="A1336" s="10">
        <v>45679</v>
      </c>
      <c r="B1336" s="11" t="s">
        <v>597</v>
      </c>
      <c r="C1336" s="11" t="s">
        <v>3114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1930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3115</v>
      </c>
      <c r="C1337" s="11" t="s">
        <v>3116</v>
      </c>
      <c r="D1337" s="11" t="s">
        <v>26</v>
      </c>
      <c r="E1337" s="11" t="s">
        <v>523</v>
      </c>
      <c r="F1337" s="11" t="s">
        <v>26</v>
      </c>
      <c r="G1337" s="11" t="s">
        <v>26</v>
      </c>
      <c r="H1337" s="12" t="s">
        <v>4443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143</v>
      </c>
      <c r="AA1337" s="12" t="s">
        <v>78</v>
      </c>
    </row>
    <row r="1338" spans="1:27" x14ac:dyDescent="0.25">
      <c r="A1338" s="10">
        <v>45679</v>
      </c>
      <c r="B1338" s="11" t="s">
        <v>3117</v>
      </c>
      <c r="C1338" s="11" t="s">
        <v>3118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1930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591</v>
      </c>
      <c r="C1339" s="11" t="s">
        <v>3119</v>
      </c>
      <c r="D1339" s="11" t="s">
        <v>26</v>
      </c>
      <c r="E1339" s="11" t="s">
        <v>607</v>
      </c>
      <c r="F1339" s="11" t="s">
        <v>26</v>
      </c>
      <c r="G1339" s="11">
        <v>1110</v>
      </c>
      <c r="H1339" s="12" t="s">
        <v>144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229</v>
      </c>
      <c r="C1340" s="11" t="s">
        <v>3120</v>
      </c>
      <c r="D1340" s="11" t="s">
        <v>26</v>
      </c>
      <c r="E1340" s="11" t="s">
        <v>592</v>
      </c>
      <c r="F1340" s="11" t="s">
        <v>26</v>
      </c>
      <c r="G1340" s="11">
        <v>4591</v>
      </c>
      <c r="H1340" s="12" t="s">
        <v>4444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3121</v>
      </c>
      <c r="C1341" s="11" t="s">
        <v>3122</v>
      </c>
      <c r="D1341" s="11" t="s">
        <v>26</v>
      </c>
      <c r="E1341" s="11" t="s">
        <v>512</v>
      </c>
      <c r="F1341" s="11" t="s">
        <v>26</v>
      </c>
      <c r="G1341" s="11">
        <v>1307</v>
      </c>
      <c r="H1341" s="12" t="s">
        <v>144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3123</v>
      </c>
      <c r="C1342" s="11" t="s">
        <v>3124</v>
      </c>
      <c r="D1342" s="11" t="s">
        <v>26</v>
      </c>
      <c r="E1342" s="11" t="s">
        <v>564</v>
      </c>
      <c r="F1342" s="11" t="s">
        <v>26</v>
      </c>
      <c r="G1342" s="11">
        <v>112278</v>
      </c>
      <c r="H1342" s="12" t="s">
        <v>4468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3125</v>
      </c>
      <c r="C1343" s="11" t="s">
        <v>3126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4444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516</v>
      </c>
      <c r="C1344" s="11" t="s">
        <v>3127</v>
      </c>
      <c r="D1344" s="11" t="s">
        <v>26</v>
      </c>
      <c r="E1344" s="11" t="s">
        <v>243</v>
      </c>
      <c r="F1344" s="11" t="s">
        <v>26</v>
      </c>
      <c r="G1344" s="11" t="s">
        <v>26</v>
      </c>
      <c r="H1344" s="12" t="s">
        <v>149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3128</v>
      </c>
      <c r="C1345" s="11" t="s">
        <v>3129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4471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536</v>
      </c>
      <c r="C1346" s="11" t="s">
        <v>3130</v>
      </c>
      <c r="D1346" s="11" t="s">
        <v>26</v>
      </c>
      <c r="E1346" s="11" t="s">
        <v>1746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3131</v>
      </c>
      <c r="C1347" s="11" t="s">
        <v>3132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568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3133</v>
      </c>
      <c r="C1348" s="11" t="s">
        <v>3134</v>
      </c>
      <c r="D1348" s="11" t="s">
        <v>26</v>
      </c>
      <c r="E1348" s="11" t="s">
        <v>573</v>
      </c>
      <c r="F1348" s="11" t="s">
        <v>26</v>
      </c>
      <c r="G1348" s="11">
        <v>10331</v>
      </c>
      <c r="H1348" s="12" t="s">
        <v>143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3135</v>
      </c>
      <c r="C1349" s="11" t="s">
        <v>3136</v>
      </c>
      <c r="D1349" s="11" t="s">
        <v>26</v>
      </c>
      <c r="E1349" s="11" t="s">
        <v>233</v>
      </c>
      <c r="F1349" s="11" t="s">
        <v>26</v>
      </c>
      <c r="G1349" s="11">
        <v>23144</v>
      </c>
      <c r="H1349" s="12" t="s">
        <v>568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3137</v>
      </c>
      <c r="C1350" s="11" t="s">
        <v>3138</v>
      </c>
      <c r="D1350" s="11" t="s">
        <v>26</v>
      </c>
      <c r="E1350" s="11" t="s">
        <v>447</v>
      </c>
      <c r="F1350" s="11" t="s">
        <v>26</v>
      </c>
      <c r="G1350" s="11">
        <v>50</v>
      </c>
      <c r="H1350" s="12" t="s">
        <v>4471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3139</v>
      </c>
      <c r="C1351" s="11" t="s">
        <v>3140</v>
      </c>
      <c r="D1351" s="11" t="s">
        <v>26</v>
      </c>
      <c r="E1351" s="11" t="s">
        <v>204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543</v>
      </c>
      <c r="C1352" s="11" t="s">
        <v>3141</v>
      </c>
      <c r="D1352" s="11" t="s">
        <v>26</v>
      </c>
      <c r="E1352" s="11" t="s">
        <v>1221</v>
      </c>
      <c r="F1352" s="11" t="s">
        <v>26</v>
      </c>
      <c r="G1352" s="11">
        <v>2551</v>
      </c>
      <c r="H1352" s="12" t="s">
        <v>166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3142</v>
      </c>
      <c r="C1353" s="11" t="s">
        <v>3143</v>
      </c>
      <c r="D1353" s="11" t="s">
        <v>26</v>
      </c>
      <c r="E1353" s="11" t="s">
        <v>434</v>
      </c>
      <c r="F1353" s="11" t="s">
        <v>26</v>
      </c>
      <c r="G1353" s="11">
        <v>143</v>
      </c>
      <c r="H1353" s="12" t="s">
        <v>115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3144</v>
      </c>
      <c r="C1354" s="11" t="s">
        <v>3145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4468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3146</v>
      </c>
      <c r="C1355" s="11" t="s">
        <v>3147</v>
      </c>
      <c r="D1355" s="11" t="s">
        <v>26</v>
      </c>
      <c r="E1355" s="11" t="s">
        <v>555</v>
      </c>
      <c r="F1355" s="11" t="s">
        <v>26</v>
      </c>
      <c r="G1355" s="11">
        <v>69126</v>
      </c>
      <c r="H1355" s="12" t="s">
        <v>4444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3148</v>
      </c>
      <c r="C1356" s="11" t="s">
        <v>3149</v>
      </c>
      <c r="D1356" s="11" t="s">
        <v>26</v>
      </c>
      <c r="E1356" s="11" t="s">
        <v>596</v>
      </c>
      <c r="F1356" s="11" t="s">
        <v>26</v>
      </c>
      <c r="G1356" s="11">
        <v>59498</v>
      </c>
      <c r="H1356" s="12" t="s">
        <v>4444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3150</v>
      </c>
      <c r="C1357" s="11" t="s">
        <v>3151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4471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3152</v>
      </c>
      <c r="C1358" s="11" t="s">
        <v>3153</v>
      </c>
      <c r="D1358" s="11" t="s">
        <v>26</v>
      </c>
      <c r="E1358" s="11" t="s">
        <v>99</v>
      </c>
      <c r="F1358" s="11" t="s">
        <v>26</v>
      </c>
      <c r="G1358" s="11" t="s">
        <v>26</v>
      </c>
      <c r="H1358" s="12" t="s">
        <v>4443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143</v>
      </c>
      <c r="AA1358" s="12" t="s">
        <v>78</v>
      </c>
    </row>
    <row r="1359" spans="1:27" x14ac:dyDescent="0.25">
      <c r="A1359" s="10">
        <v>45679</v>
      </c>
      <c r="B1359" s="11" t="s">
        <v>598</v>
      </c>
      <c r="C1359" s="11" t="s">
        <v>3154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166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609</v>
      </c>
      <c r="C1360" s="11" t="s">
        <v>3155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3156</v>
      </c>
      <c r="C1361" s="11" t="s">
        <v>3157</v>
      </c>
      <c r="D1361" s="11" t="s">
        <v>26</v>
      </c>
      <c r="E1361" s="11" t="s">
        <v>182</v>
      </c>
      <c r="F1361" s="11" t="s">
        <v>26</v>
      </c>
      <c r="G1361" s="11">
        <v>57737</v>
      </c>
      <c r="H1361" s="12" t="s">
        <v>4444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3158</v>
      </c>
      <c r="C1362" s="11" t="s">
        <v>3159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4443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143</v>
      </c>
      <c r="AA1362" s="12" t="s">
        <v>78</v>
      </c>
    </row>
    <row r="1363" spans="1:27" x14ac:dyDescent="0.25">
      <c r="A1363" s="10">
        <v>45679</v>
      </c>
      <c r="B1363" s="11" t="s">
        <v>3160</v>
      </c>
      <c r="C1363" s="11" t="s">
        <v>3161</v>
      </c>
      <c r="D1363" s="11" t="s">
        <v>26</v>
      </c>
      <c r="E1363" s="11" t="s">
        <v>447</v>
      </c>
      <c r="F1363" s="11" t="s">
        <v>26</v>
      </c>
      <c r="G1363" s="11" t="s">
        <v>188</v>
      </c>
      <c r="H1363" s="12" t="s">
        <v>4471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3162</v>
      </c>
      <c r="C1364" s="11" t="s">
        <v>3163</v>
      </c>
      <c r="D1364" s="11" t="s">
        <v>26</v>
      </c>
      <c r="E1364" s="11" t="s">
        <v>523</v>
      </c>
      <c r="F1364" s="11" t="s">
        <v>26</v>
      </c>
      <c r="G1364" s="11" t="s">
        <v>26</v>
      </c>
      <c r="H1364" s="12" t="s">
        <v>4443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143</v>
      </c>
      <c r="AA1364" s="12" t="s">
        <v>78</v>
      </c>
    </row>
    <row r="1365" spans="1:27" x14ac:dyDescent="0.25">
      <c r="A1365" s="10">
        <v>45679</v>
      </c>
      <c r="B1365" s="11" t="s">
        <v>511</v>
      </c>
      <c r="C1365" s="11" t="s">
        <v>3164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1930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3165</v>
      </c>
      <c r="C1366" s="11" t="s">
        <v>3166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1930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95</v>
      </c>
      <c r="C1367" s="11" t="s">
        <v>3167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149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513</v>
      </c>
      <c r="C1368" s="11" t="s">
        <v>3168</v>
      </c>
      <c r="D1368" s="11" t="s">
        <v>26</v>
      </c>
      <c r="E1368" s="11" t="s">
        <v>607</v>
      </c>
      <c r="F1368" s="11" t="s">
        <v>26</v>
      </c>
      <c r="G1368" s="11">
        <v>1111</v>
      </c>
      <c r="H1368" s="12" t="s">
        <v>144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3169</v>
      </c>
      <c r="C1369" s="11" t="s">
        <v>3170</v>
      </c>
      <c r="D1369" s="11" t="s">
        <v>26</v>
      </c>
      <c r="E1369" s="11" t="s">
        <v>445</v>
      </c>
      <c r="F1369" s="11" t="s">
        <v>26</v>
      </c>
      <c r="G1369" s="11" t="s">
        <v>26</v>
      </c>
      <c r="H1369" s="12" t="s">
        <v>4445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750</v>
      </c>
    </row>
    <row r="1370" spans="1:27" x14ac:dyDescent="0.25">
      <c r="A1370" s="10">
        <v>45679</v>
      </c>
      <c r="B1370" s="11" t="s">
        <v>3171</v>
      </c>
      <c r="C1370" s="11" t="s">
        <v>3172</v>
      </c>
      <c r="D1370" s="11" t="s">
        <v>26</v>
      </c>
      <c r="E1370" s="11" t="s">
        <v>504</v>
      </c>
      <c r="F1370" s="11" t="s">
        <v>26</v>
      </c>
      <c r="G1370" s="11">
        <v>806</v>
      </c>
      <c r="H1370" s="12" t="s">
        <v>144</v>
      </c>
      <c r="I1370" s="12" t="s">
        <v>37</v>
      </c>
      <c r="J1370" s="12" t="s">
        <v>602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3173</v>
      </c>
      <c r="C1371" s="11" t="s">
        <v>3174</v>
      </c>
      <c r="D1371" s="11" t="s">
        <v>26</v>
      </c>
      <c r="E1371" s="11" t="s">
        <v>77</v>
      </c>
      <c r="F1371" s="11" t="s">
        <v>26</v>
      </c>
      <c r="G1371" s="11" t="s">
        <v>188</v>
      </c>
      <c r="H1371" s="12" t="s">
        <v>4471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563</v>
      </c>
      <c r="C1372" s="11" t="s">
        <v>3175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3176</v>
      </c>
      <c r="C1373" s="11" t="s">
        <v>3177</v>
      </c>
      <c r="D1373" s="11" t="s">
        <v>26</v>
      </c>
      <c r="E1373" s="11" t="s">
        <v>509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761</v>
      </c>
      <c r="C1374" s="11" t="s">
        <v>3178</v>
      </c>
      <c r="D1374" s="11" t="s">
        <v>26</v>
      </c>
      <c r="E1374" s="11" t="s">
        <v>447</v>
      </c>
      <c r="F1374" s="11" t="s">
        <v>26</v>
      </c>
      <c r="G1374" s="11" t="s">
        <v>188</v>
      </c>
      <c r="H1374" s="12" t="s">
        <v>4471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581</v>
      </c>
      <c r="C1375" s="11" t="s">
        <v>3179</v>
      </c>
      <c r="D1375" s="11" t="s">
        <v>26</v>
      </c>
      <c r="E1375" s="11" t="s">
        <v>574</v>
      </c>
      <c r="F1375" s="11" t="s">
        <v>26</v>
      </c>
      <c r="G1375" s="11">
        <v>111929</v>
      </c>
      <c r="H1375" s="12" t="s">
        <v>4468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3180</v>
      </c>
      <c r="C1376" s="11" t="s">
        <v>3181</v>
      </c>
      <c r="D1376" s="11" t="s">
        <v>26</v>
      </c>
      <c r="E1376" s="11" t="s">
        <v>512</v>
      </c>
      <c r="F1376" s="11" t="s">
        <v>26</v>
      </c>
      <c r="G1376" s="11">
        <v>1308</v>
      </c>
      <c r="H1376" s="12" t="s">
        <v>144</v>
      </c>
      <c r="I1376" s="12" t="s">
        <v>37</v>
      </c>
      <c r="J1376" s="12" t="s">
        <v>602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3182</v>
      </c>
      <c r="C1377" s="11" t="s">
        <v>3183</v>
      </c>
      <c r="D1377" s="11" t="s">
        <v>26</v>
      </c>
      <c r="E1377" s="11" t="s">
        <v>240</v>
      </c>
      <c r="F1377" s="11" t="s">
        <v>26</v>
      </c>
      <c r="G1377" s="11">
        <v>61857</v>
      </c>
      <c r="H1377" s="12" t="s">
        <v>4444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3184</v>
      </c>
      <c r="C1378" s="11" t="s">
        <v>3185</v>
      </c>
      <c r="D1378" s="11" t="s">
        <v>26</v>
      </c>
      <c r="E1378" s="11" t="s">
        <v>1221</v>
      </c>
      <c r="F1378" s="11" t="s">
        <v>26</v>
      </c>
      <c r="G1378" s="11">
        <v>2552</v>
      </c>
      <c r="H1378" s="12" t="s">
        <v>166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3186</v>
      </c>
      <c r="C1379" s="11" t="s">
        <v>3187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568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3188</v>
      </c>
      <c r="C1380" s="11" t="s">
        <v>3189</v>
      </c>
      <c r="D1380" s="11" t="s">
        <v>26</v>
      </c>
      <c r="E1380" s="11" t="s">
        <v>233</v>
      </c>
      <c r="F1380" s="11" t="s">
        <v>26</v>
      </c>
      <c r="G1380" s="11">
        <v>23145</v>
      </c>
      <c r="H1380" s="12" t="s">
        <v>568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3190</v>
      </c>
      <c r="C1381" s="11" t="s">
        <v>3191</v>
      </c>
      <c r="D1381" s="11" t="s">
        <v>26</v>
      </c>
      <c r="E1381" s="11" t="s">
        <v>662</v>
      </c>
      <c r="F1381" s="11" t="s">
        <v>26</v>
      </c>
      <c r="G1381" s="11">
        <v>859</v>
      </c>
      <c r="H1381" s="12" t="s">
        <v>144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658</v>
      </c>
      <c r="C1382" s="11" t="s">
        <v>3192</v>
      </c>
      <c r="D1382" s="11" t="s">
        <v>26</v>
      </c>
      <c r="E1382" s="11" t="s">
        <v>77</v>
      </c>
      <c r="F1382" s="11" t="s">
        <v>26</v>
      </c>
      <c r="G1382" s="11" t="s">
        <v>188</v>
      </c>
      <c r="H1382" s="12" t="s">
        <v>4471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3193</v>
      </c>
      <c r="C1383" s="11" t="s">
        <v>3194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3195</v>
      </c>
      <c r="C1384" s="11" t="s">
        <v>3196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3197</v>
      </c>
      <c r="C1385" s="11" t="s">
        <v>3198</v>
      </c>
      <c r="D1385" s="11" t="s">
        <v>26</v>
      </c>
      <c r="E1385" s="11" t="s">
        <v>508</v>
      </c>
      <c r="F1385" s="11" t="s">
        <v>26</v>
      </c>
      <c r="G1385" s="11">
        <v>1255</v>
      </c>
      <c r="H1385" s="12" t="s">
        <v>144</v>
      </c>
      <c r="I1385" s="12" t="s">
        <v>37</v>
      </c>
      <c r="J1385" s="12" t="s">
        <v>602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3199</v>
      </c>
      <c r="C1386" s="11" t="s">
        <v>3200</v>
      </c>
      <c r="D1386" s="11" t="s">
        <v>26</v>
      </c>
      <c r="E1386" s="11" t="s">
        <v>227</v>
      </c>
      <c r="F1386" s="11" t="s">
        <v>26</v>
      </c>
      <c r="G1386" s="11">
        <v>55329</v>
      </c>
      <c r="H1386" s="12" t="s">
        <v>4444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3201</v>
      </c>
      <c r="C1387" s="11" t="s">
        <v>3202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143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3203</v>
      </c>
      <c r="C1388" s="11" t="s">
        <v>3204</v>
      </c>
      <c r="D1388" s="11" t="s">
        <v>26</v>
      </c>
      <c r="E1388" s="11" t="s">
        <v>445</v>
      </c>
      <c r="F1388" s="11" t="s">
        <v>26</v>
      </c>
      <c r="G1388" s="11" t="s">
        <v>26</v>
      </c>
      <c r="H1388" s="12" t="s">
        <v>4445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750</v>
      </c>
    </row>
    <row r="1389" spans="1:27" x14ac:dyDescent="0.25">
      <c r="A1389" s="10">
        <v>45679</v>
      </c>
      <c r="B1389" s="11" t="s">
        <v>524</v>
      </c>
      <c r="C1389" s="11" t="s">
        <v>3205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1930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3206</v>
      </c>
      <c r="C1390" s="11" t="s">
        <v>3207</v>
      </c>
      <c r="D1390" s="11" t="s">
        <v>26</v>
      </c>
      <c r="E1390" s="11" t="s">
        <v>204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248</v>
      </c>
      <c r="C1391" s="11" t="s">
        <v>3208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560</v>
      </c>
      <c r="K1391" s="12" t="s">
        <v>561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3209</v>
      </c>
      <c r="C1392" s="11" t="s">
        <v>3210</v>
      </c>
      <c r="D1392" s="11" t="s">
        <v>26</v>
      </c>
      <c r="E1392" s="11" t="s">
        <v>434</v>
      </c>
      <c r="F1392" s="11" t="s">
        <v>26</v>
      </c>
      <c r="G1392" s="11">
        <v>144</v>
      </c>
      <c r="H1392" s="12" t="s">
        <v>115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3211</v>
      </c>
      <c r="C1393" s="11" t="s">
        <v>3212</v>
      </c>
      <c r="D1393" s="11" t="s">
        <v>26</v>
      </c>
      <c r="E1393" s="11" t="s">
        <v>447</v>
      </c>
      <c r="F1393" s="11" t="s">
        <v>26</v>
      </c>
      <c r="G1393" s="11" t="s">
        <v>188</v>
      </c>
      <c r="H1393" s="12" t="s">
        <v>4471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3213</v>
      </c>
      <c r="C1394" s="11" t="s">
        <v>3214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569</v>
      </c>
      <c r="K1394" s="12" t="s">
        <v>553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3215</v>
      </c>
      <c r="C1395" s="11" t="s">
        <v>3216</v>
      </c>
      <c r="D1395" s="11" t="s">
        <v>26</v>
      </c>
      <c r="E1395" s="11" t="s">
        <v>249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569</v>
      </c>
      <c r="K1395" s="12" t="s">
        <v>553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3217</v>
      </c>
      <c r="C1396" s="11" t="s">
        <v>3218</v>
      </c>
      <c r="D1396" s="11" t="s">
        <v>26</v>
      </c>
      <c r="E1396" s="11" t="s">
        <v>573</v>
      </c>
      <c r="F1396" s="11" t="s">
        <v>26</v>
      </c>
      <c r="G1396" s="11">
        <v>10332</v>
      </c>
      <c r="H1396" s="12" t="s">
        <v>143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589</v>
      </c>
      <c r="C1397" s="11" t="s">
        <v>3219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143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3220</v>
      </c>
      <c r="C1398" s="11" t="s">
        <v>3221</v>
      </c>
      <c r="D1398" s="11" t="s">
        <v>26</v>
      </c>
      <c r="E1398" s="11" t="s">
        <v>607</v>
      </c>
      <c r="F1398" s="11" t="s">
        <v>26</v>
      </c>
      <c r="G1398" s="11">
        <v>1112</v>
      </c>
      <c r="H1398" s="12" t="s">
        <v>144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3222</v>
      </c>
      <c r="C1399" s="11" t="s">
        <v>3223</v>
      </c>
      <c r="D1399" s="11" t="s">
        <v>26</v>
      </c>
      <c r="E1399" s="11" t="s">
        <v>2130</v>
      </c>
      <c r="F1399" s="11" t="s">
        <v>26</v>
      </c>
      <c r="G1399" s="11">
        <v>10606</v>
      </c>
      <c r="H1399" s="12" t="s">
        <v>143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3224</v>
      </c>
      <c r="C1400" s="11" t="s">
        <v>3225</v>
      </c>
      <c r="D1400" s="11" t="s">
        <v>26</v>
      </c>
      <c r="E1400" s="11" t="s">
        <v>499</v>
      </c>
      <c r="F1400" s="11" t="s">
        <v>26</v>
      </c>
      <c r="G1400" s="11">
        <v>22908</v>
      </c>
      <c r="H1400" s="12" t="s">
        <v>4470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3226</v>
      </c>
      <c r="C1401" s="11" t="s">
        <v>3227</v>
      </c>
      <c r="D1401" s="11" t="s">
        <v>26</v>
      </c>
      <c r="E1401" s="11" t="s">
        <v>438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569</v>
      </c>
      <c r="K1401" s="12" t="s">
        <v>553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3228</v>
      </c>
      <c r="C1402" s="11" t="s">
        <v>3229</v>
      </c>
      <c r="D1402" s="11" t="s">
        <v>26</v>
      </c>
      <c r="E1402" s="11" t="s">
        <v>437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587</v>
      </c>
      <c r="C1403" s="11" t="s">
        <v>3230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166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501</v>
      </c>
      <c r="C1404" s="11" t="s">
        <v>3231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535</v>
      </c>
      <c r="C1405" s="11" t="s">
        <v>3232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3233</v>
      </c>
      <c r="C1406" s="11" t="s">
        <v>3234</v>
      </c>
      <c r="D1406" s="11" t="s">
        <v>26</v>
      </c>
      <c r="E1406" s="11" t="s">
        <v>240</v>
      </c>
      <c r="F1406" s="11" t="s">
        <v>26</v>
      </c>
      <c r="G1406" s="11">
        <v>61858</v>
      </c>
      <c r="H1406" s="12" t="s">
        <v>4444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3235</v>
      </c>
      <c r="C1407" s="11" t="s">
        <v>3236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4443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663</v>
      </c>
      <c r="C1408" s="11" t="s">
        <v>3237</v>
      </c>
      <c r="D1408" s="11" t="s">
        <v>26</v>
      </c>
      <c r="E1408" s="11" t="s">
        <v>233</v>
      </c>
      <c r="F1408" s="11" t="s">
        <v>26</v>
      </c>
      <c r="G1408" s="11">
        <v>23146</v>
      </c>
      <c r="H1408" s="12" t="s">
        <v>568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760</v>
      </c>
      <c r="C1409" s="11" t="s">
        <v>3238</v>
      </c>
      <c r="D1409" s="11" t="s">
        <v>26</v>
      </c>
      <c r="E1409" s="11" t="s">
        <v>101</v>
      </c>
      <c r="F1409" s="11" t="s">
        <v>26</v>
      </c>
      <c r="G1409" s="11">
        <v>21727</v>
      </c>
      <c r="H1409" s="12" t="s">
        <v>4470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245</v>
      </c>
      <c r="C1410" s="11" t="s">
        <v>3239</v>
      </c>
      <c r="D1410" s="11" t="s">
        <v>26</v>
      </c>
      <c r="E1410" s="11" t="s">
        <v>447</v>
      </c>
      <c r="F1410" s="11" t="s">
        <v>26</v>
      </c>
      <c r="G1410" s="11" t="s">
        <v>188</v>
      </c>
      <c r="H1410" s="12" t="s">
        <v>4471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551</v>
      </c>
      <c r="C1411" s="11" t="s">
        <v>3240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3241</v>
      </c>
      <c r="C1412" s="11" t="s">
        <v>3242</v>
      </c>
      <c r="D1412" s="11" t="s">
        <v>26</v>
      </c>
      <c r="E1412" s="11" t="s">
        <v>542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3243</v>
      </c>
      <c r="C1413" s="11" t="s">
        <v>3244</v>
      </c>
      <c r="D1413" s="11" t="s">
        <v>26</v>
      </c>
      <c r="E1413" s="11" t="s">
        <v>1221</v>
      </c>
      <c r="F1413" s="11" t="s">
        <v>26</v>
      </c>
      <c r="G1413" s="11">
        <v>2553</v>
      </c>
      <c r="H1413" s="12" t="s">
        <v>166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3245</v>
      </c>
      <c r="C1414" s="11" t="s">
        <v>3246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3247</v>
      </c>
      <c r="C1415" s="11" t="s">
        <v>3248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3249</v>
      </c>
      <c r="C1416" s="11" t="s">
        <v>3250</v>
      </c>
      <c r="D1416" s="11" t="s">
        <v>26</v>
      </c>
      <c r="E1416" s="11" t="s">
        <v>1746</v>
      </c>
      <c r="F1416" s="11" t="s">
        <v>26</v>
      </c>
      <c r="G1416" s="11">
        <v>3294</v>
      </c>
      <c r="H1416" s="12" t="s">
        <v>4470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1874</v>
      </c>
      <c r="C1417" s="11" t="s">
        <v>3251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370</v>
      </c>
      <c r="C1418" s="11" t="s">
        <v>3252</v>
      </c>
      <c r="D1418" s="11" t="s">
        <v>26</v>
      </c>
      <c r="E1418" s="11" t="s">
        <v>499</v>
      </c>
      <c r="F1418" s="11" t="s">
        <v>26</v>
      </c>
      <c r="G1418" s="11">
        <v>22909</v>
      </c>
      <c r="H1418" s="12" t="s">
        <v>4470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311</v>
      </c>
      <c r="C1419" s="11" t="s">
        <v>3253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4443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396</v>
      </c>
      <c r="C1420" s="11" t="s">
        <v>3254</v>
      </c>
      <c r="D1420" s="11" t="s">
        <v>26</v>
      </c>
      <c r="E1420" s="11" t="s">
        <v>573</v>
      </c>
      <c r="F1420" s="11" t="s">
        <v>26</v>
      </c>
      <c r="G1420" s="11">
        <v>10333</v>
      </c>
      <c r="H1420" s="12" t="s">
        <v>143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3255</v>
      </c>
      <c r="C1421" s="11" t="s">
        <v>3256</v>
      </c>
      <c r="D1421" s="11" t="s">
        <v>26</v>
      </c>
      <c r="E1421" s="11" t="s">
        <v>555</v>
      </c>
      <c r="F1421" s="11" t="s">
        <v>26</v>
      </c>
      <c r="G1421" s="11">
        <v>69124</v>
      </c>
      <c r="H1421" s="12" t="s">
        <v>4444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1731</v>
      </c>
      <c r="C1422" s="11" t="s">
        <v>3257</v>
      </c>
      <c r="D1422" s="11" t="s">
        <v>26</v>
      </c>
      <c r="E1422" s="11" t="s">
        <v>504</v>
      </c>
      <c r="F1422" s="11" t="s">
        <v>26</v>
      </c>
      <c r="G1422" s="11">
        <v>807</v>
      </c>
      <c r="H1422" s="12" t="s">
        <v>144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3258</v>
      </c>
      <c r="C1423" s="11" t="s">
        <v>3259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4443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300</v>
      </c>
      <c r="C1424" s="11" t="s">
        <v>3260</v>
      </c>
      <c r="D1424" s="11" t="s">
        <v>26</v>
      </c>
      <c r="E1424" s="11" t="s">
        <v>325</v>
      </c>
      <c r="F1424" s="11" t="s">
        <v>26</v>
      </c>
      <c r="G1424" s="11">
        <v>112272</v>
      </c>
      <c r="H1424" s="12" t="s">
        <v>4468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3261</v>
      </c>
      <c r="C1425" s="11" t="s">
        <v>3262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264</v>
      </c>
      <c r="C1426" s="11" t="s">
        <v>3263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166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3264</v>
      </c>
      <c r="C1427" s="11" t="s">
        <v>3265</v>
      </c>
      <c r="D1427" s="11" t="s">
        <v>26</v>
      </c>
      <c r="E1427" s="11" t="s">
        <v>2130</v>
      </c>
      <c r="F1427" s="11" t="s">
        <v>26</v>
      </c>
      <c r="G1427" s="11" t="s">
        <v>26</v>
      </c>
      <c r="H1427" s="12" t="s">
        <v>4443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143</v>
      </c>
      <c r="AA1427" s="12" t="s">
        <v>78</v>
      </c>
    </row>
    <row r="1428" spans="1:27" x14ac:dyDescent="0.25">
      <c r="A1428" s="10">
        <v>45680</v>
      </c>
      <c r="B1428" s="11" t="s">
        <v>3266</v>
      </c>
      <c r="C1428" s="11" t="s">
        <v>3267</v>
      </c>
      <c r="D1428" s="11" t="s">
        <v>26</v>
      </c>
      <c r="E1428" s="11" t="s">
        <v>608</v>
      </c>
      <c r="F1428" s="11" t="s">
        <v>26</v>
      </c>
      <c r="G1428" s="11">
        <v>1055</v>
      </c>
      <c r="H1428" s="12" t="s">
        <v>144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3268</v>
      </c>
      <c r="C1429" s="11" t="s">
        <v>3269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3270</v>
      </c>
      <c r="C1430" s="11" t="s">
        <v>3271</v>
      </c>
      <c r="D1430" s="11" t="s">
        <v>26</v>
      </c>
      <c r="E1430" s="11" t="s">
        <v>662</v>
      </c>
      <c r="F1430" s="11" t="s">
        <v>26</v>
      </c>
      <c r="G1430" s="11">
        <v>860</v>
      </c>
      <c r="H1430" s="12" t="s">
        <v>144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3272</v>
      </c>
      <c r="C1431" s="11" t="s">
        <v>3273</v>
      </c>
      <c r="D1431" s="11" t="s">
        <v>26</v>
      </c>
      <c r="E1431" s="11" t="s">
        <v>512</v>
      </c>
      <c r="F1431" s="11" t="s">
        <v>26</v>
      </c>
      <c r="G1431" s="11">
        <v>1309</v>
      </c>
      <c r="H1431" s="12" t="s">
        <v>144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195</v>
      </c>
      <c r="C1432" s="11" t="s">
        <v>3274</v>
      </c>
      <c r="D1432" s="11" t="s">
        <v>26</v>
      </c>
      <c r="E1432" s="11" t="s">
        <v>1221</v>
      </c>
      <c r="F1432" s="11" t="s">
        <v>26</v>
      </c>
      <c r="G1432" s="11">
        <v>554</v>
      </c>
      <c r="H1432" s="12" t="s">
        <v>166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3275</v>
      </c>
      <c r="C1433" s="11" t="s">
        <v>3276</v>
      </c>
      <c r="D1433" s="11" t="s">
        <v>26</v>
      </c>
      <c r="E1433" s="11" t="s">
        <v>249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569</v>
      </c>
      <c r="K1433" s="12" t="s">
        <v>553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3277</v>
      </c>
      <c r="C1434" s="11" t="s">
        <v>3278</v>
      </c>
      <c r="D1434" s="11" t="s">
        <v>26</v>
      </c>
      <c r="E1434" s="11" t="s">
        <v>227</v>
      </c>
      <c r="F1434" s="11" t="s">
        <v>26</v>
      </c>
      <c r="G1434" s="11">
        <v>55330</v>
      </c>
      <c r="H1434" s="12" t="s">
        <v>4444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3279</v>
      </c>
      <c r="C1435" s="11" t="s">
        <v>3280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143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1246</v>
      </c>
      <c r="C1436" s="11" t="s">
        <v>3281</v>
      </c>
      <c r="D1436" s="11" t="s">
        <v>26</v>
      </c>
      <c r="E1436" s="11" t="s">
        <v>542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569</v>
      </c>
      <c r="K1436" s="12" t="s">
        <v>553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745</v>
      </c>
      <c r="C1437" s="11" t="s">
        <v>3282</v>
      </c>
      <c r="D1437" s="11" t="s">
        <v>26</v>
      </c>
      <c r="E1437" s="11" t="s">
        <v>240</v>
      </c>
      <c r="F1437" s="11" t="s">
        <v>26</v>
      </c>
      <c r="G1437" s="11">
        <v>61859</v>
      </c>
      <c r="H1437" s="12" t="s">
        <v>4444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3283</v>
      </c>
      <c r="C1438" s="11" t="s">
        <v>3284</v>
      </c>
      <c r="D1438" s="11" t="s">
        <v>26</v>
      </c>
      <c r="E1438" s="11" t="s">
        <v>562</v>
      </c>
      <c r="F1438" s="11" t="s">
        <v>26</v>
      </c>
      <c r="G1438" s="11" t="s">
        <v>26</v>
      </c>
      <c r="H1438" s="12" t="s">
        <v>4445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750</v>
      </c>
    </row>
    <row r="1439" spans="1:27" x14ac:dyDescent="0.25">
      <c r="A1439" s="10">
        <v>45680</v>
      </c>
      <c r="B1439" s="11" t="s">
        <v>3285</v>
      </c>
      <c r="C1439" s="11" t="s">
        <v>3286</v>
      </c>
      <c r="D1439" s="11" t="s">
        <v>26</v>
      </c>
      <c r="E1439" s="11" t="s">
        <v>596</v>
      </c>
      <c r="F1439" s="11" t="s">
        <v>26</v>
      </c>
      <c r="G1439" s="11">
        <v>59499</v>
      </c>
      <c r="H1439" s="12" t="s">
        <v>4444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3287</v>
      </c>
      <c r="C1440" s="11" t="s">
        <v>3288</v>
      </c>
      <c r="D1440" s="11" t="s">
        <v>26</v>
      </c>
      <c r="E1440" s="11" t="s">
        <v>77</v>
      </c>
      <c r="F1440" s="11" t="s">
        <v>26</v>
      </c>
      <c r="G1440" s="11" t="s">
        <v>188</v>
      </c>
      <c r="H1440" s="12" t="s">
        <v>4471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3289</v>
      </c>
      <c r="C1441" s="11" t="s">
        <v>3290</v>
      </c>
      <c r="D1441" s="11" t="s">
        <v>26</v>
      </c>
      <c r="E1441" s="11" t="s">
        <v>243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3291</v>
      </c>
      <c r="C1442" s="11" t="s">
        <v>3292</v>
      </c>
      <c r="D1442" s="11" t="s">
        <v>26</v>
      </c>
      <c r="E1442" s="11" t="s">
        <v>592</v>
      </c>
      <c r="F1442" s="11" t="s">
        <v>26</v>
      </c>
      <c r="G1442" s="11">
        <v>4593</v>
      </c>
      <c r="H1442" s="12" t="s">
        <v>4444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430</v>
      </c>
      <c r="C1443" s="11" t="s">
        <v>3293</v>
      </c>
      <c r="D1443" s="11" t="s">
        <v>26</v>
      </c>
      <c r="E1443" s="11" t="s">
        <v>607</v>
      </c>
      <c r="F1443" s="11" t="s">
        <v>26</v>
      </c>
      <c r="G1443" s="11">
        <v>1113</v>
      </c>
      <c r="H1443" s="12" t="s">
        <v>144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724</v>
      </c>
      <c r="C1444" s="11" t="s">
        <v>3294</v>
      </c>
      <c r="D1444" s="11" t="s">
        <v>26</v>
      </c>
      <c r="E1444" s="11" t="s">
        <v>509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3295</v>
      </c>
      <c r="C1445" s="11" t="s">
        <v>3296</v>
      </c>
      <c r="D1445" s="11" t="s">
        <v>26</v>
      </c>
      <c r="E1445" s="11" t="s">
        <v>101</v>
      </c>
      <c r="F1445" s="11" t="s">
        <v>26</v>
      </c>
      <c r="G1445" s="11">
        <v>21728</v>
      </c>
      <c r="H1445" s="12" t="s">
        <v>4470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3297</v>
      </c>
      <c r="C1446" s="11" t="s">
        <v>3298</v>
      </c>
      <c r="D1446" s="11" t="s">
        <v>26</v>
      </c>
      <c r="E1446" s="11" t="s">
        <v>233</v>
      </c>
      <c r="F1446" s="11" t="s">
        <v>26</v>
      </c>
      <c r="G1446" s="11" t="s">
        <v>26</v>
      </c>
      <c r="H1446" s="12" t="s">
        <v>4443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568</v>
      </c>
      <c r="AA1446" s="12" t="s">
        <v>78</v>
      </c>
    </row>
    <row r="1447" spans="1:27" x14ac:dyDescent="0.25">
      <c r="A1447" s="10">
        <v>45680</v>
      </c>
      <c r="B1447" s="11" t="s">
        <v>348</v>
      </c>
      <c r="C1447" s="11" t="s">
        <v>3299</v>
      </c>
      <c r="D1447" s="11" t="s">
        <v>26</v>
      </c>
      <c r="E1447" s="11" t="s">
        <v>442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3300</v>
      </c>
      <c r="C1448" s="11" t="s">
        <v>3301</v>
      </c>
      <c r="D1448" s="11" t="s">
        <v>26</v>
      </c>
      <c r="E1448" s="11" t="s">
        <v>508</v>
      </c>
      <c r="F1448" s="11" t="s">
        <v>26</v>
      </c>
      <c r="G1448" s="11">
        <v>1256</v>
      </c>
      <c r="H1448" s="12" t="s">
        <v>144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697</v>
      </c>
      <c r="C1449" s="11" t="s">
        <v>3302</v>
      </c>
      <c r="D1449" s="11" t="s">
        <v>26</v>
      </c>
      <c r="E1449" s="11" t="s">
        <v>447</v>
      </c>
      <c r="F1449" s="11" t="s">
        <v>26</v>
      </c>
      <c r="G1449" s="11" t="s">
        <v>188</v>
      </c>
      <c r="H1449" s="12" t="s">
        <v>4471</v>
      </c>
      <c r="I1449" s="12" t="s">
        <v>27</v>
      </c>
      <c r="J1449" s="12" t="s">
        <v>209</v>
      </c>
      <c r="K1449" s="12" t="s">
        <v>210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746</v>
      </c>
      <c r="C1450" s="11" t="s">
        <v>3303</v>
      </c>
      <c r="D1450" s="11" t="s">
        <v>26</v>
      </c>
      <c r="E1450" s="11" t="s">
        <v>77</v>
      </c>
      <c r="F1450" s="11" t="s">
        <v>26</v>
      </c>
      <c r="G1450" s="11" t="s">
        <v>188</v>
      </c>
      <c r="H1450" s="12" t="s">
        <v>4471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3304</v>
      </c>
      <c r="C1451" s="11" t="s">
        <v>3305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143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263</v>
      </c>
      <c r="C1452" s="11" t="s">
        <v>3306</v>
      </c>
      <c r="D1452" s="11" t="s">
        <v>26</v>
      </c>
      <c r="E1452" s="11" t="s">
        <v>522</v>
      </c>
      <c r="F1452" s="11" t="s">
        <v>26</v>
      </c>
      <c r="G1452" s="11">
        <v>21761</v>
      </c>
      <c r="H1452" s="12" t="s">
        <v>4470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2913</v>
      </c>
      <c r="C1453" s="11" t="s">
        <v>3307</v>
      </c>
      <c r="D1453" s="11" t="s">
        <v>26</v>
      </c>
      <c r="E1453" s="11" t="s">
        <v>182</v>
      </c>
      <c r="F1453" s="11" t="s">
        <v>26</v>
      </c>
      <c r="G1453" s="11">
        <v>57741</v>
      </c>
      <c r="H1453" s="12" t="s">
        <v>4444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3308</v>
      </c>
      <c r="C1454" s="11" t="s">
        <v>3309</v>
      </c>
      <c r="D1454" s="11" t="s">
        <v>26</v>
      </c>
      <c r="E1454" s="11" t="s">
        <v>99</v>
      </c>
      <c r="F1454" s="11" t="s">
        <v>26</v>
      </c>
      <c r="G1454" s="11">
        <v>10146</v>
      </c>
      <c r="H1454" s="12" t="s">
        <v>143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3310</v>
      </c>
      <c r="C1455" s="11" t="s">
        <v>3311</v>
      </c>
      <c r="D1455" s="11" t="s">
        <v>26</v>
      </c>
      <c r="E1455" s="11" t="s">
        <v>523</v>
      </c>
      <c r="F1455" s="11" t="s">
        <v>26</v>
      </c>
      <c r="G1455" s="11">
        <v>4379</v>
      </c>
      <c r="H1455" s="12" t="s">
        <v>143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3312</v>
      </c>
      <c r="C1456" s="11" t="s">
        <v>3313</v>
      </c>
      <c r="D1456" s="11" t="s">
        <v>26</v>
      </c>
      <c r="E1456" s="11" t="s">
        <v>509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3314</v>
      </c>
      <c r="C1457" s="11" t="s">
        <v>3315</v>
      </c>
      <c r="D1457" s="11" t="s">
        <v>26</v>
      </c>
      <c r="E1457" s="11" t="s">
        <v>573</v>
      </c>
      <c r="F1457" s="11" t="s">
        <v>26</v>
      </c>
      <c r="G1457" s="11">
        <v>10334</v>
      </c>
      <c r="H1457" s="12" t="s">
        <v>143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698</v>
      </c>
      <c r="C1458" s="11" t="s">
        <v>3316</v>
      </c>
      <c r="D1458" s="11" t="s">
        <v>26</v>
      </c>
      <c r="E1458" s="11" t="s">
        <v>504</v>
      </c>
      <c r="F1458" s="11" t="s">
        <v>26</v>
      </c>
      <c r="G1458" s="11">
        <v>808</v>
      </c>
      <c r="H1458" s="12" t="s">
        <v>144</v>
      </c>
      <c r="I1458" s="12" t="s">
        <v>37</v>
      </c>
      <c r="J1458" s="12" t="s">
        <v>602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3317</v>
      </c>
      <c r="C1459" s="11" t="s">
        <v>3318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3009</v>
      </c>
      <c r="C1460" s="11" t="s">
        <v>3319</v>
      </c>
      <c r="D1460" s="11" t="s">
        <v>26</v>
      </c>
      <c r="E1460" s="11" t="s">
        <v>1221</v>
      </c>
      <c r="F1460" s="11" t="s">
        <v>26</v>
      </c>
      <c r="G1460" s="11">
        <v>555</v>
      </c>
      <c r="H1460" s="12" t="s">
        <v>166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3320</v>
      </c>
      <c r="C1461" s="11" t="s">
        <v>3321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166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685</v>
      </c>
      <c r="C1462" s="11" t="s">
        <v>3322</v>
      </c>
      <c r="D1462" s="11" t="s">
        <v>26</v>
      </c>
      <c r="E1462" s="11" t="s">
        <v>562</v>
      </c>
      <c r="F1462" s="11" t="s">
        <v>26</v>
      </c>
      <c r="G1462" s="11" t="s">
        <v>26</v>
      </c>
      <c r="H1462" s="12" t="s">
        <v>4445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750</v>
      </c>
    </row>
    <row r="1463" spans="1:27" x14ac:dyDescent="0.25">
      <c r="A1463" s="10">
        <v>45680</v>
      </c>
      <c r="B1463" s="11" t="s">
        <v>428</v>
      </c>
      <c r="C1463" s="11" t="s">
        <v>3323</v>
      </c>
      <c r="D1463" s="11" t="s">
        <v>26</v>
      </c>
      <c r="E1463" s="11" t="s">
        <v>447</v>
      </c>
      <c r="F1463" s="11" t="s">
        <v>26</v>
      </c>
      <c r="G1463" s="11" t="s">
        <v>188</v>
      </c>
      <c r="H1463" s="12" t="s">
        <v>4471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3324</v>
      </c>
      <c r="C1464" s="11" t="s">
        <v>3325</v>
      </c>
      <c r="D1464" s="11" t="s">
        <v>26</v>
      </c>
      <c r="E1464" s="11" t="s">
        <v>77</v>
      </c>
      <c r="F1464" s="11" t="s">
        <v>26</v>
      </c>
      <c r="G1464" s="11" t="s">
        <v>188</v>
      </c>
      <c r="H1464" s="12" t="s">
        <v>4471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256</v>
      </c>
      <c r="C1465" s="11" t="s">
        <v>3326</v>
      </c>
      <c r="D1465" s="11" t="s">
        <v>26</v>
      </c>
      <c r="E1465" s="11" t="s">
        <v>575</v>
      </c>
      <c r="F1465" s="11" t="s">
        <v>26</v>
      </c>
      <c r="G1465" s="11">
        <v>112217</v>
      </c>
      <c r="H1465" s="12" t="s">
        <v>4468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3327</v>
      </c>
      <c r="C1466" s="11" t="s">
        <v>3328</v>
      </c>
      <c r="D1466" s="11" t="s">
        <v>26</v>
      </c>
      <c r="E1466" s="11" t="s">
        <v>325</v>
      </c>
      <c r="F1466" s="11" t="s">
        <v>26</v>
      </c>
      <c r="G1466" s="11">
        <v>112291</v>
      </c>
      <c r="H1466" s="12" t="s">
        <v>4468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198</v>
      </c>
      <c r="C1467" s="11" t="s">
        <v>3329</v>
      </c>
      <c r="D1467" s="11" t="s">
        <v>26</v>
      </c>
      <c r="E1467" s="11" t="s">
        <v>91</v>
      </c>
      <c r="F1467" s="11" t="s">
        <v>26</v>
      </c>
      <c r="G1467" s="11">
        <v>60859</v>
      </c>
      <c r="H1467" s="12" t="s">
        <v>4444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3330</v>
      </c>
      <c r="C1468" s="11" t="s">
        <v>3331</v>
      </c>
      <c r="D1468" s="11" t="s">
        <v>26</v>
      </c>
      <c r="E1468" s="11" t="s">
        <v>596</v>
      </c>
      <c r="F1468" s="11" t="s">
        <v>26</v>
      </c>
      <c r="G1468" s="11">
        <v>59500</v>
      </c>
      <c r="H1468" s="12" t="s">
        <v>4444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3332</v>
      </c>
      <c r="C1469" s="11" t="s">
        <v>3333</v>
      </c>
      <c r="D1469" s="11" t="s">
        <v>26</v>
      </c>
      <c r="E1469" s="11" t="s">
        <v>607</v>
      </c>
      <c r="F1469" s="11" t="s">
        <v>26</v>
      </c>
      <c r="G1469" s="11">
        <v>1114</v>
      </c>
      <c r="H1469" s="12" t="s">
        <v>144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3334</v>
      </c>
      <c r="C1470" s="11" t="s">
        <v>3335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4444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3336</v>
      </c>
      <c r="C1471" s="11" t="s">
        <v>3337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3338</v>
      </c>
      <c r="C1472" s="11" t="s">
        <v>3339</v>
      </c>
      <c r="D1472" s="11" t="s">
        <v>26</v>
      </c>
      <c r="E1472" s="11" t="s">
        <v>447</v>
      </c>
      <c r="F1472" s="11" t="s">
        <v>26</v>
      </c>
      <c r="G1472" s="11" t="s">
        <v>188</v>
      </c>
      <c r="H1472" s="12" t="s">
        <v>4471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3340</v>
      </c>
      <c r="C1473" s="11" t="s">
        <v>3341</v>
      </c>
      <c r="D1473" s="11" t="s">
        <v>26</v>
      </c>
      <c r="E1473" s="11" t="s">
        <v>77</v>
      </c>
      <c r="F1473" s="11" t="s">
        <v>26</v>
      </c>
      <c r="G1473" s="11" t="s">
        <v>188</v>
      </c>
      <c r="H1473" s="12" t="s">
        <v>4471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3342</v>
      </c>
      <c r="C1474" s="11" t="s">
        <v>3343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143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3344</v>
      </c>
      <c r="C1475" s="11" t="s">
        <v>3345</v>
      </c>
      <c r="D1475" s="11" t="s">
        <v>26</v>
      </c>
      <c r="E1475" s="11" t="s">
        <v>562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3346</v>
      </c>
      <c r="C1476" s="11" t="s">
        <v>3347</v>
      </c>
      <c r="D1476" s="11" t="s">
        <v>26</v>
      </c>
      <c r="E1476" s="11" t="s">
        <v>573</v>
      </c>
      <c r="F1476" s="11" t="s">
        <v>26</v>
      </c>
      <c r="G1476" s="11">
        <v>10335</v>
      </c>
      <c r="H1476" s="12" t="s">
        <v>143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296</v>
      </c>
      <c r="C1477" s="11" t="s">
        <v>3348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166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3349</v>
      </c>
      <c r="C1478" s="11" t="s">
        <v>3350</v>
      </c>
      <c r="D1478" s="11" t="s">
        <v>26</v>
      </c>
      <c r="E1478" s="11" t="s">
        <v>233</v>
      </c>
      <c r="F1478" s="11" t="s">
        <v>26</v>
      </c>
      <c r="G1478" s="11" t="s">
        <v>26</v>
      </c>
      <c r="H1478" s="12" t="s">
        <v>4443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568</v>
      </c>
      <c r="AA1478" s="12" t="s">
        <v>78</v>
      </c>
    </row>
    <row r="1479" spans="1:27" x14ac:dyDescent="0.25">
      <c r="A1479" s="10">
        <v>45680</v>
      </c>
      <c r="B1479" s="11" t="s">
        <v>3351</v>
      </c>
      <c r="C1479" s="11" t="s">
        <v>3352</v>
      </c>
      <c r="D1479" s="11" t="s">
        <v>26</v>
      </c>
      <c r="E1479" s="11" t="s">
        <v>244</v>
      </c>
      <c r="F1479" s="11" t="s">
        <v>26</v>
      </c>
      <c r="G1479" s="11">
        <v>74965</v>
      </c>
      <c r="H1479" s="12" t="s">
        <v>4470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3353</v>
      </c>
      <c r="C1480" s="11" t="s">
        <v>3354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3355</v>
      </c>
      <c r="C1481" s="11" t="s">
        <v>3356</v>
      </c>
      <c r="D1481" s="11" t="s">
        <v>26</v>
      </c>
      <c r="E1481" s="11" t="s">
        <v>243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3357</v>
      </c>
      <c r="C1482" s="11" t="s">
        <v>3358</v>
      </c>
      <c r="D1482" s="11" t="s">
        <v>26</v>
      </c>
      <c r="E1482" s="11" t="s">
        <v>504</v>
      </c>
      <c r="F1482" s="11" t="s">
        <v>26</v>
      </c>
      <c r="G1482" s="11">
        <v>809</v>
      </c>
      <c r="H1482" s="12" t="s">
        <v>144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1856</v>
      </c>
      <c r="C1483" s="11" t="s">
        <v>3359</v>
      </c>
      <c r="D1483" s="11" t="s">
        <v>26</v>
      </c>
      <c r="E1483" s="11" t="s">
        <v>447</v>
      </c>
      <c r="F1483" s="11" t="s">
        <v>26</v>
      </c>
      <c r="G1483" s="11" t="s">
        <v>188</v>
      </c>
      <c r="H1483" s="12" t="s">
        <v>4471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3360</v>
      </c>
      <c r="C1484" s="11" t="s">
        <v>3361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3362</v>
      </c>
      <c r="C1485" s="11" t="s">
        <v>3363</v>
      </c>
      <c r="D1485" s="11" t="s">
        <v>26</v>
      </c>
      <c r="E1485" s="11" t="s">
        <v>529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3364</v>
      </c>
      <c r="C1486" s="11" t="s">
        <v>3365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3366</v>
      </c>
      <c r="C1487" s="11" t="s">
        <v>3367</v>
      </c>
      <c r="D1487" s="11" t="s">
        <v>26</v>
      </c>
      <c r="E1487" s="11" t="s">
        <v>249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1804</v>
      </c>
      <c r="C1488" s="11" t="s">
        <v>3368</v>
      </c>
      <c r="D1488" s="11" t="s">
        <v>26</v>
      </c>
      <c r="E1488" s="11" t="s">
        <v>3369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3370</v>
      </c>
      <c r="C1489" s="11" t="s">
        <v>3371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1930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3372</v>
      </c>
      <c r="C1490" s="11" t="s">
        <v>3373</v>
      </c>
      <c r="D1490" s="11" t="s">
        <v>26</v>
      </c>
      <c r="E1490" s="11" t="s">
        <v>3374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3375</v>
      </c>
      <c r="C1491" s="11" t="s">
        <v>3376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4444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1752</v>
      </c>
      <c r="C1492" s="11" t="s">
        <v>3377</v>
      </c>
      <c r="D1492" s="11" t="s">
        <v>26</v>
      </c>
      <c r="E1492" s="11" t="s">
        <v>2130</v>
      </c>
      <c r="F1492" s="11" t="s">
        <v>26</v>
      </c>
      <c r="G1492" s="11">
        <v>10607</v>
      </c>
      <c r="H1492" s="12" t="s">
        <v>143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3378</v>
      </c>
      <c r="C1493" s="11" t="s">
        <v>3379</v>
      </c>
      <c r="D1493" s="11" t="s">
        <v>26</v>
      </c>
      <c r="E1493" s="11" t="s">
        <v>186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700</v>
      </c>
      <c r="C1494" s="11" t="s">
        <v>3380</v>
      </c>
      <c r="D1494" s="11" t="s">
        <v>26</v>
      </c>
      <c r="E1494" s="11" t="s">
        <v>182</v>
      </c>
      <c r="F1494" s="11" t="s">
        <v>26</v>
      </c>
      <c r="G1494" s="11">
        <v>57743</v>
      </c>
      <c r="H1494" s="12" t="s">
        <v>4444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3040</v>
      </c>
      <c r="C1495" s="11" t="s">
        <v>3381</v>
      </c>
      <c r="D1495" s="11" t="s">
        <v>26</v>
      </c>
      <c r="E1495" s="11" t="s">
        <v>447</v>
      </c>
      <c r="F1495" s="11" t="s">
        <v>26</v>
      </c>
      <c r="G1495" s="11" t="s">
        <v>188</v>
      </c>
      <c r="H1495" s="12" t="s">
        <v>4471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3382</v>
      </c>
      <c r="C1496" s="11" t="s">
        <v>3383</v>
      </c>
      <c r="D1496" s="11" t="s">
        <v>26</v>
      </c>
      <c r="E1496" s="11" t="s">
        <v>92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383</v>
      </c>
      <c r="C1497" s="11" t="s">
        <v>3384</v>
      </c>
      <c r="D1497" s="11" t="s">
        <v>26</v>
      </c>
      <c r="E1497" s="11" t="s">
        <v>101</v>
      </c>
      <c r="F1497" s="11" t="s">
        <v>26</v>
      </c>
      <c r="G1497" s="11">
        <v>21730</v>
      </c>
      <c r="H1497" s="12" t="s">
        <v>4470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1072</v>
      </c>
      <c r="C1498" s="11" t="s">
        <v>3385</v>
      </c>
      <c r="D1498" s="11" t="s">
        <v>26</v>
      </c>
      <c r="E1498" s="11" t="s">
        <v>657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3386</v>
      </c>
      <c r="C1499" s="11" t="s">
        <v>3387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166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387</v>
      </c>
      <c r="C1500" s="11" t="s">
        <v>3388</v>
      </c>
      <c r="D1500" s="11" t="s">
        <v>26</v>
      </c>
      <c r="E1500" s="11" t="s">
        <v>556</v>
      </c>
      <c r="F1500" s="11" t="s">
        <v>26</v>
      </c>
      <c r="G1500" s="11">
        <v>4654</v>
      </c>
      <c r="H1500" s="12" t="s">
        <v>4444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3389</v>
      </c>
      <c r="C1501" s="11" t="s">
        <v>3390</v>
      </c>
      <c r="D1501" s="11" t="s">
        <v>26</v>
      </c>
      <c r="E1501" s="11" t="s">
        <v>577</v>
      </c>
      <c r="F1501" s="11" t="s">
        <v>26</v>
      </c>
      <c r="G1501" s="11">
        <v>773</v>
      </c>
      <c r="H1501" s="12" t="s">
        <v>144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3391</v>
      </c>
      <c r="C1502" s="11" t="s">
        <v>3392</v>
      </c>
      <c r="D1502" s="11" t="s">
        <v>26</v>
      </c>
      <c r="E1502" s="11" t="s">
        <v>504</v>
      </c>
      <c r="F1502" s="11" t="s">
        <v>26</v>
      </c>
      <c r="G1502" s="11">
        <v>810</v>
      </c>
      <c r="H1502" s="12" t="s">
        <v>144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3393</v>
      </c>
      <c r="C1503" s="11" t="s">
        <v>3394</v>
      </c>
      <c r="D1503" s="11" t="s">
        <v>26</v>
      </c>
      <c r="E1503" s="11" t="s">
        <v>325</v>
      </c>
      <c r="F1503" s="11" t="s">
        <v>26</v>
      </c>
      <c r="G1503" s="11">
        <v>112297</v>
      </c>
      <c r="H1503" s="12" t="s">
        <v>4468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616</v>
      </c>
      <c r="C1504" s="11" t="s">
        <v>3395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3370</v>
      </c>
      <c r="C1505" s="11" t="s">
        <v>3396</v>
      </c>
      <c r="D1505" s="11" t="s">
        <v>26</v>
      </c>
      <c r="E1505" s="11" t="s">
        <v>101</v>
      </c>
      <c r="F1505" s="11" t="s">
        <v>26</v>
      </c>
      <c r="G1505" s="11">
        <v>21731</v>
      </c>
      <c r="H1505" s="12" t="s">
        <v>4470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670</v>
      </c>
      <c r="C1506" s="11" t="s">
        <v>3397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3398</v>
      </c>
      <c r="C1507" s="11" t="s">
        <v>3399</v>
      </c>
      <c r="D1507" s="11" t="s">
        <v>26</v>
      </c>
      <c r="E1507" s="11" t="s">
        <v>555</v>
      </c>
      <c r="F1507" s="11" t="s">
        <v>26</v>
      </c>
      <c r="G1507" s="11">
        <v>69127</v>
      </c>
      <c r="H1507" s="12" t="s">
        <v>4444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3400</v>
      </c>
      <c r="C1508" s="11" t="s">
        <v>3401</v>
      </c>
      <c r="D1508" s="11" t="s">
        <v>26</v>
      </c>
      <c r="E1508" s="11" t="s">
        <v>187</v>
      </c>
      <c r="F1508" s="11" t="s">
        <v>26</v>
      </c>
      <c r="G1508" s="11">
        <v>1004</v>
      </c>
      <c r="H1508" s="12" t="s">
        <v>144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3402</v>
      </c>
      <c r="C1509" s="11" t="s">
        <v>3403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1930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3404</v>
      </c>
      <c r="C1510" s="11" t="s">
        <v>3405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144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3406</v>
      </c>
      <c r="C1511" s="11" t="s">
        <v>3407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299</v>
      </c>
      <c r="C1512" s="11" t="s">
        <v>3408</v>
      </c>
      <c r="D1512" s="11" t="s">
        <v>26</v>
      </c>
      <c r="E1512" s="11" t="s">
        <v>77</v>
      </c>
      <c r="F1512" s="11" t="s">
        <v>26</v>
      </c>
      <c r="G1512" s="11" t="s">
        <v>188</v>
      </c>
      <c r="H1512" s="12" t="s">
        <v>4471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3409</v>
      </c>
      <c r="C1513" s="11" t="s">
        <v>3410</v>
      </c>
      <c r="D1513" s="11" t="s">
        <v>26</v>
      </c>
      <c r="E1513" s="11" t="s">
        <v>509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3411</v>
      </c>
      <c r="C1514" s="11" t="s">
        <v>3412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1930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3413</v>
      </c>
      <c r="C1515" s="11" t="s">
        <v>3414</v>
      </c>
      <c r="D1515" s="11" t="s">
        <v>26</v>
      </c>
      <c r="E1515" s="11" t="s">
        <v>2130</v>
      </c>
      <c r="F1515" s="11" t="s">
        <v>26</v>
      </c>
      <c r="G1515" s="11" t="s">
        <v>26</v>
      </c>
      <c r="H1515" s="12" t="s">
        <v>4443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143</v>
      </c>
      <c r="AA1515" s="12" t="s">
        <v>78</v>
      </c>
    </row>
    <row r="1516" spans="1:27" x14ac:dyDescent="0.25">
      <c r="A1516" s="10">
        <v>45681</v>
      </c>
      <c r="B1516" s="11" t="s">
        <v>3415</v>
      </c>
      <c r="C1516" s="11" t="s">
        <v>3416</v>
      </c>
      <c r="D1516" s="11" t="s">
        <v>26</v>
      </c>
      <c r="E1516" s="11" t="s">
        <v>608</v>
      </c>
      <c r="F1516" s="11" t="s">
        <v>26</v>
      </c>
      <c r="G1516" s="11">
        <v>1056</v>
      </c>
      <c r="H1516" s="12" t="s">
        <v>144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3417</v>
      </c>
      <c r="C1517" s="11" t="s">
        <v>3418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4443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3419</v>
      </c>
      <c r="C1518" s="11" t="s">
        <v>3420</v>
      </c>
      <c r="D1518" s="11" t="s">
        <v>26</v>
      </c>
      <c r="E1518" s="11" t="s">
        <v>227</v>
      </c>
      <c r="F1518" s="11" t="s">
        <v>26</v>
      </c>
      <c r="G1518" s="11">
        <v>55331</v>
      </c>
      <c r="H1518" s="12" t="s">
        <v>4444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3421</v>
      </c>
      <c r="C1519" s="11" t="s">
        <v>3422</v>
      </c>
      <c r="D1519" s="11" t="s">
        <v>26</v>
      </c>
      <c r="E1519" s="11" t="s">
        <v>485</v>
      </c>
      <c r="F1519" s="11" t="s">
        <v>26</v>
      </c>
      <c r="G1519" s="11">
        <v>74897</v>
      </c>
      <c r="H1519" s="12" t="s">
        <v>4470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3423</v>
      </c>
      <c r="C1520" s="11" t="s">
        <v>3424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4443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143</v>
      </c>
      <c r="AA1520" s="12" t="s">
        <v>78</v>
      </c>
    </row>
    <row r="1521" spans="1:27" x14ac:dyDescent="0.25">
      <c r="A1521" s="10">
        <v>45681</v>
      </c>
      <c r="B1521" s="11" t="s">
        <v>3425</v>
      </c>
      <c r="C1521" s="11" t="s">
        <v>3426</v>
      </c>
      <c r="D1521" s="11" t="s">
        <v>26</v>
      </c>
      <c r="E1521" s="11" t="s">
        <v>523</v>
      </c>
      <c r="F1521" s="11" t="s">
        <v>26</v>
      </c>
      <c r="G1521" s="11" t="s">
        <v>26</v>
      </c>
      <c r="H1521" s="12" t="s">
        <v>4443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143</v>
      </c>
      <c r="AA1521" s="12" t="s">
        <v>78</v>
      </c>
    </row>
    <row r="1522" spans="1:27" x14ac:dyDescent="0.25">
      <c r="A1522" s="10">
        <v>45681</v>
      </c>
      <c r="B1522" s="11" t="s">
        <v>3427</v>
      </c>
      <c r="C1522" s="11" t="s">
        <v>3428</v>
      </c>
      <c r="D1522" s="11" t="s">
        <v>26</v>
      </c>
      <c r="E1522" s="11" t="s">
        <v>576</v>
      </c>
      <c r="F1522" s="11" t="s">
        <v>26</v>
      </c>
      <c r="G1522" s="11">
        <v>112085</v>
      </c>
      <c r="H1522" s="12" t="s">
        <v>4468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3429</v>
      </c>
      <c r="C1523" s="11" t="s">
        <v>3430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4444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3431</v>
      </c>
      <c r="C1524" s="11" t="s">
        <v>3432</v>
      </c>
      <c r="D1524" s="11" t="s">
        <v>26</v>
      </c>
      <c r="E1524" s="11" t="s">
        <v>596</v>
      </c>
      <c r="F1524" s="11" t="s">
        <v>26</v>
      </c>
      <c r="G1524" s="11">
        <v>44301</v>
      </c>
      <c r="H1524" s="12" t="s">
        <v>4444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3433</v>
      </c>
      <c r="C1525" s="11" t="s">
        <v>3434</v>
      </c>
      <c r="D1525" s="11" t="s">
        <v>26</v>
      </c>
      <c r="E1525" s="11" t="s">
        <v>77</v>
      </c>
      <c r="F1525" s="11" t="s">
        <v>26</v>
      </c>
      <c r="G1525" s="11" t="s">
        <v>188</v>
      </c>
      <c r="H1525" s="12" t="s">
        <v>4471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3435</v>
      </c>
      <c r="C1526" s="11" t="s">
        <v>3436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166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3344</v>
      </c>
      <c r="C1527" s="11" t="s">
        <v>3437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4468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3438</v>
      </c>
      <c r="C1528" s="11" t="s">
        <v>3439</v>
      </c>
      <c r="D1528" s="11" t="s">
        <v>26</v>
      </c>
      <c r="E1528" s="11" t="s">
        <v>233</v>
      </c>
      <c r="F1528" s="11" t="s">
        <v>26</v>
      </c>
      <c r="G1528" s="11" t="s">
        <v>26</v>
      </c>
      <c r="H1528" s="12" t="s">
        <v>4443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568</v>
      </c>
      <c r="AA1528" s="12" t="s">
        <v>78</v>
      </c>
    </row>
    <row r="1529" spans="1:27" x14ac:dyDescent="0.25">
      <c r="A1529" s="10">
        <v>45681</v>
      </c>
      <c r="B1529" s="11" t="s">
        <v>612</v>
      </c>
      <c r="C1529" s="11" t="s">
        <v>3440</v>
      </c>
      <c r="D1529" s="11" t="s">
        <v>26</v>
      </c>
      <c r="E1529" s="11" t="s">
        <v>499</v>
      </c>
      <c r="F1529" s="11" t="s">
        <v>26</v>
      </c>
      <c r="G1529" s="11">
        <v>22910</v>
      </c>
      <c r="H1529" s="12" t="s">
        <v>4470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3441</v>
      </c>
      <c r="C1530" s="11" t="s">
        <v>3442</v>
      </c>
      <c r="D1530" s="11" t="s">
        <v>26</v>
      </c>
      <c r="E1530" s="11" t="s">
        <v>555</v>
      </c>
      <c r="F1530" s="11" t="s">
        <v>26</v>
      </c>
      <c r="G1530" s="11">
        <v>69128</v>
      </c>
      <c r="H1530" s="12" t="s">
        <v>4444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3443</v>
      </c>
      <c r="C1531" s="11" t="s">
        <v>3444</v>
      </c>
      <c r="D1531" s="11" t="s">
        <v>26</v>
      </c>
      <c r="E1531" s="11" t="s">
        <v>447</v>
      </c>
      <c r="F1531" s="11" t="s">
        <v>26</v>
      </c>
      <c r="G1531" s="11" t="s">
        <v>188</v>
      </c>
      <c r="H1531" s="12" t="s">
        <v>4471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3445</v>
      </c>
      <c r="C1532" s="11" t="s">
        <v>3446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4443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3069</v>
      </c>
      <c r="C1533" s="11" t="s">
        <v>3447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749</v>
      </c>
      <c r="C1534" s="11" t="s">
        <v>3448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1930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3449</v>
      </c>
      <c r="C1535" s="11" t="s">
        <v>3450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1917</v>
      </c>
      <c r="C1536" s="11" t="s">
        <v>3451</v>
      </c>
      <c r="D1536" s="11" t="s">
        <v>26</v>
      </c>
      <c r="E1536" s="11" t="s">
        <v>504</v>
      </c>
      <c r="F1536" s="11" t="s">
        <v>26</v>
      </c>
      <c r="G1536" s="11">
        <v>811</v>
      </c>
      <c r="H1536" s="12" t="s">
        <v>144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3452</v>
      </c>
      <c r="C1537" s="11" t="s">
        <v>3453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3454</v>
      </c>
      <c r="C1538" s="11" t="s">
        <v>3455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1930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3456</v>
      </c>
      <c r="C1539" s="11" t="s">
        <v>3457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3458</v>
      </c>
      <c r="C1540" s="11" t="s">
        <v>3459</v>
      </c>
      <c r="D1540" s="11" t="s">
        <v>26</v>
      </c>
      <c r="E1540" s="11" t="s">
        <v>77</v>
      </c>
      <c r="F1540" s="11" t="s">
        <v>26</v>
      </c>
      <c r="G1540" s="11" t="s">
        <v>188</v>
      </c>
      <c r="H1540" s="12" t="s">
        <v>4471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1108</v>
      </c>
      <c r="C1541" s="11" t="s">
        <v>3460</v>
      </c>
      <c r="D1541" s="11" t="s">
        <v>26</v>
      </c>
      <c r="E1541" s="11" t="s">
        <v>447</v>
      </c>
      <c r="F1541" s="11" t="s">
        <v>26</v>
      </c>
      <c r="G1541" s="11" t="s">
        <v>188</v>
      </c>
      <c r="H1541" s="12" t="s">
        <v>4471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3461</v>
      </c>
      <c r="C1542" s="11" t="s">
        <v>3462</v>
      </c>
      <c r="D1542" s="11" t="s">
        <v>26</v>
      </c>
      <c r="E1542" s="11" t="s">
        <v>325</v>
      </c>
      <c r="F1542" s="11" t="s">
        <v>26</v>
      </c>
      <c r="G1542" s="11">
        <v>112351</v>
      </c>
      <c r="H1542" s="12" t="s">
        <v>4468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333</v>
      </c>
      <c r="C1543" s="11" t="s">
        <v>3463</v>
      </c>
      <c r="D1543" s="11" t="s">
        <v>26</v>
      </c>
      <c r="E1543" s="11" t="s">
        <v>243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639</v>
      </c>
      <c r="C1544" s="11" t="s">
        <v>3464</v>
      </c>
      <c r="D1544" s="11" t="s">
        <v>26</v>
      </c>
      <c r="E1544" s="11" t="s">
        <v>91</v>
      </c>
      <c r="F1544" s="11" t="s">
        <v>26</v>
      </c>
      <c r="G1544" s="11">
        <v>60862</v>
      </c>
      <c r="H1544" s="12" t="s">
        <v>4444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3465</v>
      </c>
      <c r="C1545" s="11" t="s">
        <v>3466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144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3467</v>
      </c>
      <c r="C1546" s="11" t="s">
        <v>3468</v>
      </c>
      <c r="D1546" s="11" t="s">
        <v>26</v>
      </c>
      <c r="E1546" s="11" t="s">
        <v>608</v>
      </c>
      <c r="F1546" s="11" t="s">
        <v>26</v>
      </c>
      <c r="G1546" s="11">
        <v>1057</v>
      </c>
      <c r="H1546" s="12" t="s">
        <v>144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3469</v>
      </c>
      <c r="C1547" s="11" t="s">
        <v>3470</v>
      </c>
      <c r="D1547" s="11" t="s">
        <v>26</v>
      </c>
      <c r="E1547" s="11" t="s">
        <v>573</v>
      </c>
      <c r="F1547" s="11" t="s">
        <v>26</v>
      </c>
      <c r="G1547" s="11" t="s">
        <v>26</v>
      </c>
      <c r="H1547" s="12" t="s">
        <v>4443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143</v>
      </c>
      <c r="AA1547" s="12" t="s">
        <v>78</v>
      </c>
    </row>
    <row r="1548" spans="1:27" x14ac:dyDescent="0.25">
      <c r="A1548" s="10">
        <v>45681</v>
      </c>
      <c r="B1548" s="11" t="s">
        <v>3471</v>
      </c>
      <c r="C1548" s="11" t="s">
        <v>3472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143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3473</v>
      </c>
      <c r="C1549" s="11" t="s">
        <v>3474</v>
      </c>
      <c r="D1549" s="11" t="s">
        <v>26</v>
      </c>
      <c r="E1549" s="11" t="s">
        <v>499</v>
      </c>
      <c r="F1549" s="11" t="s">
        <v>26</v>
      </c>
      <c r="G1549" s="11">
        <v>22911</v>
      </c>
      <c r="H1549" s="12" t="s">
        <v>4470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3475</v>
      </c>
      <c r="C1550" s="11" t="s">
        <v>3476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4444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743</v>
      </c>
      <c r="C1551" s="11" t="s">
        <v>3477</v>
      </c>
      <c r="D1551" s="11" t="s">
        <v>26</v>
      </c>
      <c r="E1551" s="11" t="s">
        <v>592</v>
      </c>
      <c r="F1551" s="11" t="s">
        <v>26</v>
      </c>
      <c r="G1551" s="11">
        <v>4595</v>
      </c>
      <c r="H1551" s="12" t="s">
        <v>4444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2902</v>
      </c>
      <c r="C1552" s="11" t="s">
        <v>3478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166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3479</v>
      </c>
      <c r="C1553" s="11" t="s">
        <v>3480</v>
      </c>
      <c r="D1553" s="11" t="s">
        <v>26</v>
      </c>
      <c r="E1553" s="11" t="s">
        <v>545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3481</v>
      </c>
      <c r="C1554" s="11" t="s">
        <v>3482</v>
      </c>
      <c r="D1554" s="11" t="s">
        <v>26</v>
      </c>
      <c r="E1554" s="11" t="s">
        <v>509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3483</v>
      </c>
      <c r="C1555" s="11" t="s">
        <v>3484</v>
      </c>
      <c r="D1555" s="11" t="s">
        <v>26</v>
      </c>
      <c r="E1555" s="11" t="s">
        <v>555</v>
      </c>
      <c r="F1555" s="11" t="s">
        <v>26</v>
      </c>
      <c r="G1555" s="11">
        <v>69129</v>
      </c>
      <c r="H1555" s="12" t="s">
        <v>4444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3485</v>
      </c>
      <c r="C1556" s="11" t="s">
        <v>3486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4468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3487</v>
      </c>
      <c r="C1557" s="11" t="s">
        <v>3488</v>
      </c>
      <c r="D1557" s="11" t="s">
        <v>26</v>
      </c>
      <c r="E1557" s="11" t="s">
        <v>77</v>
      </c>
      <c r="F1557" s="11" t="s">
        <v>26</v>
      </c>
      <c r="G1557" s="11" t="s">
        <v>188</v>
      </c>
      <c r="H1557" s="12" t="s">
        <v>4471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3489</v>
      </c>
      <c r="C1558" s="11" t="s">
        <v>3490</v>
      </c>
      <c r="D1558" s="11" t="s">
        <v>26</v>
      </c>
      <c r="E1558" s="11" t="s">
        <v>596</v>
      </c>
      <c r="F1558" s="11" t="s">
        <v>26</v>
      </c>
      <c r="G1558" s="11">
        <v>44302</v>
      </c>
      <c r="H1558" s="12" t="s">
        <v>4444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3491</v>
      </c>
      <c r="C1559" s="11" t="s">
        <v>3492</v>
      </c>
      <c r="D1559" s="11" t="s">
        <v>26</v>
      </c>
      <c r="E1559" s="11" t="s">
        <v>233</v>
      </c>
      <c r="F1559" s="11" t="s">
        <v>26</v>
      </c>
      <c r="G1559" s="11" t="s">
        <v>26</v>
      </c>
      <c r="H1559" s="12" t="s">
        <v>4443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568</v>
      </c>
      <c r="AA1559" s="12" t="s">
        <v>78</v>
      </c>
    </row>
    <row r="1560" spans="1:27" x14ac:dyDescent="0.25">
      <c r="A1560" s="10">
        <v>45681</v>
      </c>
      <c r="B1560" s="11" t="s">
        <v>3493</v>
      </c>
      <c r="C1560" s="11" t="s">
        <v>3494</v>
      </c>
      <c r="D1560" s="11" t="s">
        <v>26</v>
      </c>
      <c r="E1560" s="11" t="s">
        <v>556</v>
      </c>
      <c r="F1560" s="11" t="s">
        <v>26</v>
      </c>
      <c r="G1560" s="11">
        <v>4656</v>
      </c>
      <c r="H1560" s="12" t="s">
        <v>4444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3495</v>
      </c>
      <c r="C1561" s="11" t="s">
        <v>3496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468</v>
      </c>
      <c r="C1562" s="11" t="s">
        <v>3497</v>
      </c>
      <c r="D1562" s="11" t="s">
        <v>26</v>
      </c>
      <c r="E1562" s="11" t="s">
        <v>489</v>
      </c>
      <c r="F1562" s="11" t="s">
        <v>26</v>
      </c>
      <c r="G1562" s="11">
        <v>72893</v>
      </c>
      <c r="H1562" s="12" t="s">
        <v>4470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3498</v>
      </c>
      <c r="C1563" s="11" t="s">
        <v>3499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1930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405</v>
      </c>
      <c r="C1564" s="11" t="s">
        <v>3500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4470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3501</v>
      </c>
      <c r="C1565" s="11" t="s">
        <v>3502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4443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3503</v>
      </c>
      <c r="C1566" s="11" t="s">
        <v>3504</v>
      </c>
      <c r="D1566" s="11" t="s">
        <v>26</v>
      </c>
      <c r="E1566" s="11" t="s">
        <v>99</v>
      </c>
      <c r="F1566" s="11" t="s">
        <v>26</v>
      </c>
      <c r="G1566" s="11" t="s">
        <v>26</v>
      </c>
      <c r="H1566" s="12" t="s">
        <v>4443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143</v>
      </c>
      <c r="AA1566" s="12" t="s">
        <v>78</v>
      </c>
    </row>
    <row r="1567" spans="1:27" x14ac:dyDescent="0.25">
      <c r="A1567" s="10">
        <v>45681</v>
      </c>
      <c r="B1567" s="11" t="s">
        <v>3505</v>
      </c>
      <c r="C1567" s="11" t="s">
        <v>3506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1930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3507</v>
      </c>
      <c r="C1568" s="11" t="s">
        <v>3508</v>
      </c>
      <c r="D1568" s="11" t="s">
        <v>26</v>
      </c>
      <c r="E1568" s="11" t="s">
        <v>562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3509</v>
      </c>
      <c r="C1569" s="11" t="s">
        <v>3510</v>
      </c>
      <c r="D1569" s="11" t="s">
        <v>26</v>
      </c>
      <c r="E1569" s="11" t="s">
        <v>657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3511</v>
      </c>
      <c r="C1570" s="11" t="s">
        <v>3512</v>
      </c>
      <c r="D1570" s="11" t="s">
        <v>26</v>
      </c>
      <c r="E1570" s="11" t="s">
        <v>244</v>
      </c>
      <c r="F1570" s="11" t="s">
        <v>26</v>
      </c>
      <c r="G1570" s="11">
        <v>74966</v>
      </c>
      <c r="H1570" s="12" t="s">
        <v>4470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290</v>
      </c>
      <c r="C1571" s="11" t="s">
        <v>3513</v>
      </c>
      <c r="D1571" s="11" t="s">
        <v>26</v>
      </c>
      <c r="E1571" s="11" t="s">
        <v>482</v>
      </c>
      <c r="F1571" s="11" t="s">
        <v>26</v>
      </c>
      <c r="G1571" s="11">
        <v>76346</v>
      </c>
      <c r="H1571" s="12" t="s">
        <v>4470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3514</v>
      </c>
      <c r="C1572" s="11" t="s">
        <v>3515</v>
      </c>
      <c r="D1572" s="11" t="s">
        <v>26</v>
      </c>
      <c r="E1572" s="11" t="s">
        <v>182</v>
      </c>
      <c r="F1572" s="11" t="s">
        <v>26</v>
      </c>
      <c r="G1572" s="11">
        <v>57744</v>
      </c>
      <c r="H1572" s="12" t="s">
        <v>4444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752</v>
      </c>
      <c r="C1573" s="11" t="s">
        <v>3516</v>
      </c>
      <c r="D1573" s="11" t="s">
        <v>26</v>
      </c>
      <c r="E1573" s="11" t="s">
        <v>243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269</v>
      </c>
      <c r="C1574" s="11" t="s">
        <v>3517</v>
      </c>
      <c r="D1574" s="11" t="s">
        <v>26</v>
      </c>
      <c r="E1574" s="11" t="s">
        <v>576</v>
      </c>
      <c r="F1574" s="11" t="s">
        <v>26</v>
      </c>
      <c r="G1574" s="11">
        <v>112087</v>
      </c>
      <c r="H1574" s="12" t="s">
        <v>4468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427</v>
      </c>
      <c r="C1575" s="11" t="s">
        <v>3518</v>
      </c>
      <c r="D1575" s="11" t="s">
        <v>26</v>
      </c>
      <c r="E1575" s="11" t="s">
        <v>573</v>
      </c>
      <c r="F1575" s="11" t="s">
        <v>26</v>
      </c>
      <c r="G1575" s="11" t="s">
        <v>26</v>
      </c>
      <c r="H1575" s="12" t="s">
        <v>4443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143</v>
      </c>
      <c r="AA1575" s="12" t="s">
        <v>78</v>
      </c>
    </row>
    <row r="1576" spans="1:27" x14ac:dyDescent="0.25">
      <c r="A1576" s="10">
        <v>45681</v>
      </c>
      <c r="B1576" s="11" t="s">
        <v>3519</v>
      </c>
      <c r="C1576" s="11" t="s">
        <v>3520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2663</v>
      </c>
      <c r="C1577" s="11" t="s">
        <v>3521</v>
      </c>
      <c r="D1577" s="11" t="s">
        <v>26</v>
      </c>
      <c r="E1577" s="11" t="s">
        <v>438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469</v>
      </c>
      <c r="C1578" s="11" t="s">
        <v>3522</v>
      </c>
      <c r="D1578" s="11" t="s">
        <v>26</v>
      </c>
      <c r="E1578" s="11" t="s">
        <v>447</v>
      </c>
      <c r="F1578" s="11" t="s">
        <v>26</v>
      </c>
      <c r="G1578" s="11" t="s">
        <v>188</v>
      </c>
      <c r="H1578" s="12" t="s">
        <v>4471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3523</v>
      </c>
      <c r="C1579" s="11" t="s">
        <v>3524</v>
      </c>
      <c r="D1579" s="11" t="s">
        <v>26</v>
      </c>
      <c r="E1579" s="11" t="s">
        <v>240</v>
      </c>
      <c r="F1579" s="11" t="s">
        <v>26</v>
      </c>
      <c r="G1579" s="11">
        <v>61860</v>
      </c>
      <c r="H1579" s="12" t="s">
        <v>4444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3525</v>
      </c>
      <c r="C1580" s="11" t="s">
        <v>3526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166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3038</v>
      </c>
      <c r="C1581" s="11" t="s">
        <v>3527</v>
      </c>
      <c r="D1581" s="11" t="s">
        <v>26</v>
      </c>
      <c r="E1581" s="11" t="s">
        <v>2639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231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1254</v>
      </c>
      <c r="C1582" s="11" t="s">
        <v>3528</v>
      </c>
      <c r="D1582" s="11" t="s">
        <v>26</v>
      </c>
      <c r="E1582" s="11" t="s">
        <v>487</v>
      </c>
      <c r="F1582" s="11" t="s">
        <v>26</v>
      </c>
      <c r="G1582" s="11">
        <v>1005</v>
      </c>
      <c r="H1582" s="12" t="s">
        <v>144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1350</v>
      </c>
      <c r="C1583" s="11" t="s">
        <v>3529</v>
      </c>
      <c r="D1583" s="11" t="s">
        <v>26</v>
      </c>
      <c r="E1583" s="11" t="s">
        <v>499</v>
      </c>
      <c r="F1583" s="11" t="s">
        <v>26</v>
      </c>
      <c r="G1583" s="11">
        <v>22912</v>
      </c>
      <c r="H1583" s="12" t="s">
        <v>4470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388</v>
      </c>
      <c r="C1584" s="11" t="s">
        <v>3530</v>
      </c>
      <c r="D1584" s="11" t="s">
        <v>26</v>
      </c>
      <c r="E1584" s="11" t="s">
        <v>101</v>
      </c>
      <c r="F1584" s="11" t="s">
        <v>26</v>
      </c>
      <c r="G1584" s="11">
        <v>21732</v>
      </c>
      <c r="H1584" s="12" t="s">
        <v>4470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324</v>
      </c>
      <c r="C1585" s="11" t="s">
        <v>3531</v>
      </c>
      <c r="D1585" s="11" t="s">
        <v>26</v>
      </c>
      <c r="E1585" s="11" t="s">
        <v>187</v>
      </c>
      <c r="F1585" s="11" t="s">
        <v>26</v>
      </c>
      <c r="G1585" s="11">
        <v>1006</v>
      </c>
      <c r="H1585" s="12" t="s">
        <v>144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3532</v>
      </c>
      <c r="C1586" s="11" t="s">
        <v>3533</v>
      </c>
      <c r="D1586" s="11" t="s">
        <v>26</v>
      </c>
      <c r="E1586" s="11" t="s">
        <v>325</v>
      </c>
      <c r="F1586" s="11" t="s">
        <v>26</v>
      </c>
      <c r="G1586" s="11">
        <v>112358</v>
      </c>
      <c r="H1586" s="12" t="s">
        <v>4468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366</v>
      </c>
      <c r="C1587" s="11" t="s">
        <v>3534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166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3535</v>
      </c>
      <c r="C1588" s="11" t="s">
        <v>3536</v>
      </c>
      <c r="D1588" s="11" t="s">
        <v>26</v>
      </c>
      <c r="E1588" s="11" t="s">
        <v>99</v>
      </c>
      <c r="F1588" s="11" t="s">
        <v>26</v>
      </c>
      <c r="G1588" s="11" t="s">
        <v>26</v>
      </c>
      <c r="H1588" s="12" t="s">
        <v>4443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143</v>
      </c>
      <c r="AA1588" s="12" t="s">
        <v>78</v>
      </c>
    </row>
    <row r="1589" spans="1:27" x14ac:dyDescent="0.25">
      <c r="A1589" s="10">
        <v>45682</v>
      </c>
      <c r="B1589" s="11" t="s">
        <v>1367</v>
      </c>
      <c r="C1589" s="11" t="s">
        <v>3537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144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415</v>
      </c>
      <c r="C1590" s="11" t="s">
        <v>3538</v>
      </c>
      <c r="D1590" s="11" t="s">
        <v>26</v>
      </c>
      <c r="E1590" s="11" t="s">
        <v>504</v>
      </c>
      <c r="F1590" s="11" t="s">
        <v>26</v>
      </c>
      <c r="G1590" s="11">
        <v>812</v>
      </c>
      <c r="H1590" s="12" t="s">
        <v>144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3539</v>
      </c>
      <c r="C1591" s="11" t="s">
        <v>3540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149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334</v>
      </c>
      <c r="C1592" s="11" t="s">
        <v>3541</v>
      </c>
      <c r="D1592" s="11" t="s">
        <v>26</v>
      </c>
      <c r="E1592" s="11" t="s">
        <v>483</v>
      </c>
      <c r="F1592" s="11" t="s">
        <v>26</v>
      </c>
      <c r="G1592" s="11">
        <v>74949</v>
      </c>
      <c r="H1592" s="12" t="s">
        <v>4470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3542</v>
      </c>
      <c r="C1593" s="11" t="s">
        <v>3543</v>
      </c>
      <c r="D1593" s="11" t="s">
        <v>26</v>
      </c>
      <c r="E1593" s="11" t="s">
        <v>522</v>
      </c>
      <c r="F1593" s="11" t="s">
        <v>26</v>
      </c>
      <c r="G1593" s="11">
        <v>21762</v>
      </c>
      <c r="H1593" s="12" t="s">
        <v>4470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3544</v>
      </c>
      <c r="C1594" s="11" t="s">
        <v>3545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149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3511</v>
      </c>
      <c r="C1595" s="11" t="s">
        <v>3546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144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3547</v>
      </c>
      <c r="C1596" s="11" t="s">
        <v>3548</v>
      </c>
      <c r="D1596" s="11" t="s">
        <v>26</v>
      </c>
      <c r="E1596" s="11" t="s">
        <v>556</v>
      </c>
      <c r="F1596" s="11" t="s">
        <v>26</v>
      </c>
      <c r="G1596" s="11">
        <v>4657</v>
      </c>
      <c r="H1596" s="12" t="s">
        <v>4444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3549</v>
      </c>
      <c r="C1597" s="11" t="s">
        <v>3550</v>
      </c>
      <c r="D1597" s="11" t="s">
        <v>26</v>
      </c>
      <c r="E1597" s="11" t="s">
        <v>555</v>
      </c>
      <c r="F1597" s="11" t="s">
        <v>26</v>
      </c>
      <c r="G1597" s="11">
        <v>69130</v>
      </c>
      <c r="H1597" s="12" t="s">
        <v>4444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3551</v>
      </c>
      <c r="C1598" s="11" t="s">
        <v>3552</v>
      </c>
      <c r="D1598" s="11" t="s">
        <v>26</v>
      </c>
      <c r="E1598" s="11" t="s">
        <v>180</v>
      </c>
      <c r="F1598" s="11" t="s">
        <v>26</v>
      </c>
      <c r="G1598" s="11">
        <v>775</v>
      </c>
      <c r="H1598" s="12" t="s">
        <v>144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3553</v>
      </c>
      <c r="C1599" s="11" t="s">
        <v>3554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144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3555</v>
      </c>
      <c r="C1600" s="11" t="s">
        <v>3556</v>
      </c>
      <c r="D1600" s="11" t="s">
        <v>26</v>
      </c>
      <c r="E1600" s="11" t="s">
        <v>227</v>
      </c>
      <c r="F1600" s="11" t="s">
        <v>26</v>
      </c>
      <c r="G1600" s="11">
        <v>55333</v>
      </c>
      <c r="H1600" s="12" t="s">
        <v>4444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3557</v>
      </c>
      <c r="C1601" s="11" t="s">
        <v>3558</v>
      </c>
      <c r="D1601" s="11" t="s">
        <v>26</v>
      </c>
      <c r="E1601" s="11" t="s">
        <v>240</v>
      </c>
      <c r="F1601" s="11" t="s">
        <v>26</v>
      </c>
      <c r="G1601" s="11">
        <v>61861</v>
      </c>
      <c r="H1601" s="12" t="s">
        <v>4444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3559</v>
      </c>
      <c r="C1602" s="11" t="s">
        <v>3560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1930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3561</v>
      </c>
      <c r="C1603" s="11" t="s">
        <v>3562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4444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2695</v>
      </c>
      <c r="C1604" s="11" t="s">
        <v>3563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1930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3564</v>
      </c>
      <c r="C1605" s="11" t="s">
        <v>3565</v>
      </c>
      <c r="D1605" s="11" t="s">
        <v>26</v>
      </c>
      <c r="E1605" s="11" t="s">
        <v>542</v>
      </c>
      <c r="F1605" s="11" t="s">
        <v>26</v>
      </c>
      <c r="G1605" s="11" t="s">
        <v>26</v>
      </c>
      <c r="H1605" s="12" t="s">
        <v>149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3566</v>
      </c>
      <c r="C1606" s="11" t="s">
        <v>3567</v>
      </c>
      <c r="D1606" s="11" t="s">
        <v>26</v>
      </c>
      <c r="E1606" s="11" t="s">
        <v>608</v>
      </c>
      <c r="F1606" s="11" t="s">
        <v>26</v>
      </c>
      <c r="G1606" s="11">
        <v>1058</v>
      </c>
      <c r="H1606" s="12" t="s">
        <v>144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3568</v>
      </c>
      <c r="C1607" s="11" t="s">
        <v>3569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144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3570</v>
      </c>
      <c r="C1608" s="11" t="s">
        <v>3571</v>
      </c>
      <c r="D1608" s="11" t="s">
        <v>26</v>
      </c>
      <c r="E1608" s="11" t="s">
        <v>577</v>
      </c>
      <c r="F1608" s="11" t="s">
        <v>26</v>
      </c>
      <c r="G1608" s="11">
        <v>778</v>
      </c>
      <c r="H1608" s="12" t="s">
        <v>144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646</v>
      </c>
      <c r="C1609" s="11" t="s">
        <v>3572</v>
      </c>
      <c r="D1609" s="11" t="s">
        <v>26</v>
      </c>
      <c r="E1609" s="11" t="s">
        <v>486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122</v>
      </c>
      <c r="C1610" s="11" t="s">
        <v>3573</v>
      </c>
      <c r="D1610" s="11" t="s">
        <v>26</v>
      </c>
      <c r="E1610" s="11" t="s">
        <v>438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3574</v>
      </c>
      <c r="C1611" s="11" t="s">
        <v>3575</v>
      </c>
      <c r="D1611" s="11" t="s">
        <v>26</v>
      </c>
      <c r="E1611" s="11" t="s">
        <v>249</v>
      </c>
      <c r="F1611" s="11" t="s">
        <v>26</v>
      </c>
      <c r="G1611" s="11" t="s">
        <v>26</v>
      </c>
      <c r="H1611" s="12" t="s">
        <v>4443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3576</v>
      </c>
      <c r="C1612" s="11" t="s">
        <v>3577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568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3578</v>
      </c>
      <c r="C1613" s="11" t="s">
        <v>3579</v>
      </c>
      <c r="D1613" s="11" t="s">
        <v>26</v>
      </c>
      <c r="E1613" s="11" t="s">
        <v>243</v>
      </c>
      <c r="F1613" s="11" t="s">
        <v>26</v>
      </c>
      <c r="G1613" s="11" t="s">
        <v>26</v>
      </c>
      <c r="H1613" s="12" t="s">
        <v>4443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3580</v>
      </c>
      <c r="C1614" s="11" t="s">
        <v>3581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3582</v>
      </c>
      <c r="C1615" s="11" t="s">
        <v>3583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3584</v>
      </c>
      <c r="C1616" s="11" t="s">
        <v>3585</v>
      </c>
      <c r="D1616" s="11" t="s">
        <v>26</v>
      </c>
      <c r="E1616" s="11" t="s">
        <v>2130</v>
      </c>
      <c r="F1616" s="11" t="s">
        <v>26</v>
      </c>
      <c r="G1616" s="11" t="s">
        <v>26</v>
      </c>
      <c r="H1616" s="12" t="s">
        <v>4443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143</v>
      </c>
      <c r="AA1616" s="12" t="s">
        <v>78</v>
      </c>
    </row>
    <row r="1617" spans="1:27" x14ac:dyDescent="0.25">
      <c r="A1617" s="10">
        <v>45682</v>
      </c>
      <c r="B1617" s="11" t="s">
        <v>3586</v>
      </c>
      <c r="C1617" s="11" t="s">
        <v>3587</v>
      </c>
      <c r="D1617" s="11" t="s">
        <v>26</v>
      </c>
      <c r="E1617" s="11" t="s">
        <v>523</v>
      </c>
      <c r="F1617" s="11" t="s">
        <v>26</v>
      </c>
      <c r="G1617" s="11" t="s">
        <v>26</v>
      </c>
      <c r="H1617" s="12" t="s">
        <v>4443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143</v>
      </c>
      <c r="AA1617" s="12" t="s">
        <v>78</v>
      </c>
    </row>
    <row r="1618" spans="1:27" x14ac:dyDescent="0.25">
      <c r="A1618" s="10">
        <v>45682</v>
      </c>
      <c r="B1618" s="11" t="s">
        <v>3588</v>
      </c>
      <c r="C1618" s="11" t="s">
        <v>3589</v>
      </c>
      <c r="D1618" s="11" t="s">
        <v>26</v>
      </c>
      <c r="E1618" s="11" t="s">
        <v>592</v>
      </c>
      <c r="F1618" s="11" t="s">
        <v>26</v>
      </c>
      <c r="G1618" s="11">
        <v>4596</v>
      </c>
      <c r="H1618" s="12" t="s">
        <v>4444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3590</v>
      </c>
      <c r="C1619" s="11" t="s">
        <v>3591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694</v>
      </c>
      <c r="C1620" s="11" t="s">
        <v>3592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143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3593</v>
      </c>
      <c r="C1621" s="11" t="s">
        <v>3594</v>
      </c>
      <c r="D1621" s="11" t="s">
        <v>26</v>
      </c>
      <c r="E1621" s="11" t="s">
        <v>596</v>
      </c>
      <c r="F1621" s="11" t="s">
        <v>26</v>
      </c>
      <c r="G1621" s="11">
        <v>44303</v>
      </c>
      <c r="H1621" s="12" t="s">
        <v>4444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3595</v>
      </c>
      <c r="C1622" s="11" t="s">
        <v>3596</v>
      </c>
      <c r="D1622" s="11" t="s">
        <v>26</v>
      </c>
      <c r="E1622" s="11" t="s">
        <v>91</v>
      </c>
      <c r="F1622" s="11" t="s">
        <v>26</v>
      </c>
      <c r="G1622" s="11">
        <v>60864</v>
      </c>
      <c r="H1622" s="12" t="s">
        <v>4444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3597</v>
      </c>
      <c r="C1623" s="11" t="s">
        <v>3598</v>
      </c>
      <c r="D1623" s="11" t="s">
        <v>26</v>
      </c>
      <c r="E1623" s="11" t="s">
        <v>233</v>
      </c>
      <c r="F1623" s="11" t="s">
        <v>26</v>
      </c>
      <c r="G1623" s="11" t="s">
        <v>26</v>
      </c>
      <c r="H1623" s="12" t="s">
        <v>4443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568</v>
      </c>
      <c r="AA1623" s="12" t="s">
        <v>78</v>
      </c>
    </row>
    <row r="1624" spans="1:27" x14ac:dyDescent="0.25">
      <c r="A1624" s="10">
        <v>45682</v>
      </c>
      <c r="B1624" s="11" t="s">
        <v>689</v>
      </c>
      <c r="C1624" s="11" t="s">
        <v>3599</v>
      </c>
      <c r="D1624" s="11" t="s">
        <v>26</v>
      </c>
      <c r="E1624" s="11" t="s">
        <v>77</v>
      </c>
      <c r="F1624" s="11" t="s">
        <v>26</v>
      </c>
      <c r="G1624" s="11" t="s">
        <v>188</v>
      </c>
      <c r="H1624" s="12" t="s">
        <v>4471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3600</v>
      </c>
      <c r="C1625" s="11" t="s">
        <v>3601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4468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3602</v>
      </c>
      <c r="C1626" s="11" t="s">
        <v>3603</v>
      </c>
      <c r="D1626" s="11" t="s">
        <v>26</v>
      </c>
      <c r="E1626" s="11" t="s">
        <v>573</v>
      </c>
      <c r="F1626" s="11" t="s">
        <v>26</v>
      </c>
      <c r="G1626" s="11">
        <v>10336</v>
      </c>
      <c r="H1626" s="12" t="s">
        <v>143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350</v>
      </c>
      <c r="C1627" s="11" t="s">
        <v>3604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3605</v>
      </c>
      <c r="C1628" s="11" t="s">
        <v>3606</v>
      </c>
      <c r="D1628" s="11" t="s">
        <v>26</v>
      </c>
      <c r="E1628" s="11" t="s">
        <v>3607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402</v>
      </c>
      <c r="C1629" s="11" t="s">
        <v>3608</v>
      </c>
      <c r="D1629" s="11" t="s">
        <v>26</v>
      </c>
      <c r="E1629" s="11" t="s">
        <v>1221</v>
      </c>
      <c r="F1629" s="11" t="s">
        <v>26</v>
      </c>
      <c r="G1629" s="11">
        <v>556</v>
      </c>
      <c r="H1629" s="12" t="s">
        <v>166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310</v>
      </c>
      <c r="C1630" s="11" t="s">
        <v>3609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144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2797</v>
      </c>
      <c r="C1631" s="11" t="s">
        <v>3610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166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3611</v>
      </c>
      <c r="C1632" s="11" t="s">
        <v>3612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4443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143</v>
      </c>
      <c r="AA1632" s="12" t="s">
        <v>78</v>
      </c>
    </row>
    <row r="1633" spans="1:27" x14ac:dyDescent="0.25">
      <c r="A1633" s="10">
        <v>45682</v>
      </c>
      <c r="B1633" s="11" t="s">
        <v>1126</v>
      </c>
      <c r="C1633" s="11" t="s">
        <v>3613</v>
      </c>
      <c r="D1633" s="11" t="s">
        <v>26</v>
      </c>
      <c r="E1633" s="11" t="s">
        <v>77</v>
      </c>
      <c r="F1633" s="11" t="s">
        <v>26</v>
      </c>
      <c r="G1633" s="11" t="s">
        <v>188</v>
      </c>
      <c r="H1633" s="12" t="s">
        <v>4471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3614</v>
      </c>
      <c r="C1634" s="11" t="s">
        <v>3615</v>
      </c>
      <c r="D1634" s="11" t="s">
        <v>26</v>
      </c>
      <c r="E1634" s="11" t="s">
        <v>325</v>
      </c>
      <c r="F1634" s="11" t="s">
        <v>26</v>
      </c>
      <c r="G1634" s="11">
        <v>112363</v>
      </c>
      <c r="H1634" s="12" t="s">
        <v>4468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252</v>
      </c>
      <c r="C1635" s="11" t="s">
        <v>3616</v>
      </c>
      <c r="D1635" s="11" t="s">
        <v>26</v>
      </c>
      <c r="E1635" s="11" t="s">
        <v>542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422</v>
      </c>
      <c r="C1636" s="11" t="s">
        <v>3617</v>
      </c>
      <c r="D1636" s="11" t="s">
        <v>26</v>
      </c>
      <c r="E1636" s="11" t="s">
        <v>555</v>
      </c>
      <c r="F1636" s="11" t="s">
        <v>26</v>
      </c>
      <c r="G1636" s="11">
        <v>69131</v>
      </c>
      <c r="H1636" s="12" t="s">
        <v>4444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336</v>
      </c>
      <c r="C1637" s="11" t="s">
        <v>3618</v>
      </c>
      <c r="D1637" s="11" t="s">
        <v>26</v>
      </c>
      <c r="E1637" s="11" t="s">
        <v>483</v>
      </c>
      <c r="F1637" s="11" t="s">
        <v>26</v>
      </c>
      <c r="G1637" s="11">
        <v>74950</v>
      </c>
      <c r="H1637" s="12" t="s">
        <v>4470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346</v>
      </c>
      <c r="C1638" s="11" t="s">
        <v>3619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4443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3620</v>
      </c>
      <c r="C1639" s="11" t="s">
        <v>3621</v>
      </c>
      <c r="D1639" s="11" t="s">
        <v>26</v>
      </c>
      <c r="E1639" s="11" t="s">
        <v>522</v>
      </c>
      <c r="F1639" s="11" t="s">
        <v>26</v>
      </c>
      <c r="G1639" s="11">
        <v>21763</v>
      </c>
      <c r="H1639" s="12" t="s">
        <v>4470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653</v>
      </c>
      <c r="C1640" s="11" t="s">
        <v>3622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1930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3623</v>
      </c>
      <c r="C1641" s="11" t="s">
        <v>3624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1930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3625</v>
      </c>
      <c r="C1642" s="11" t="s">
        <v>3626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4443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3627</v>
      </c>
      <c r="C1643" s="11" t="s">
        <v>3628</v>
      </c>
      <c r="D1643" s="11" t="s">
        <v>26</v>
      </c>
      <c r="E1643" s="11" t="s">
        <v>556</v>
      </c>
      <c r="F1643" s="11" t="s">
        <v>26</v>
      </c>
      <c r="G1643" s="11">
        <v>4658</v>
      </c>
      <c r="H1643" s="12" t="s">
        <v>4444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119</v>
      </c>
      <c r="C1644" s="11" t="s">
        <v>3629</v>
      </c>
      <c r="D1644" s="11" t="s">
        <v>26</v>
      </c>
      <c r="E1644" s="11" t="s">
        <v>662</v>
      </c>
      <c r="F1644" s="11" t="s">
        <v>26</v>
      </c>
      <c r="G1644" s="11">
        <v>861</v>
      </c>
      <c r="H1644" s="12" t="s">
        <v>144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3630</v>
      </c>
      <c r="C1645" s="11" t="s">
        <v>3631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4444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3632</v>
      </c>
      <c r="C1646" s="11" t="s">
        <v>3633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751</v>
      </c>
      <c r="C1647" s="11" t="s">
        <v>3634</v>
      </c>
      <c r="D1647" s="11" t="s">
        <v>26</v>
      </c>
      <c r="E1647" s="11" t="s">
        <v>504</v>
      </c>
      <c r="F1647" s="11" t="s">
        <v>26</v>
      </c>
      <c r="G1647" s="11">
        <v>813</v>
      </c>
      <c r="H1647" s="12" t="s">
        <v>144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3009</v>
      </c>
      <c r="C1648" s="11" t="s">
        <v>3635</v>
      </c>
      <c r="D1648" s="11" t="s">
        <v>26</v>
      </c>
      <c r="E1648" s="11" t="s">
        <v>608</v>
      </c>
      <c r="F1648" s="11" t="s">
        <v>26</v>
      </c>
      <c r="G1648" s="11">
        <v>1059</v>
      </c>
      <c r="H1648" s="12" t="s">
        <v>144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333</v>
      </c>
      <c r="C1649" s="11" t="s">
        <v>3636</v>
      </c>
      <c r="D1649" s="11" t="s">
        <v>26</v>
      </c>
      <c r="E1649" s="11" t="s">
        <v>438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643</v>
      </c>
      <c r="C1650" s="11" t="s">
        <v>3637</v>
      </c>
      <c r="D1650" s="11" t="s">
        <v>26</v>
      </c>
      <c r="E1650" s="11" t="s">
        <v>508</v>
      </c>
      <c r="F1650" s="11" t="s">
        <v>26</v>
      </c>
      <c r="G1650" s="11">
        <v>1257</v>
      </c>
      <c r="H1650" s="12" t="s">
        <v>144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391</v>
      </c>
      <c r="C1651" s="11" t="s">
        <v>3638</v>
      </c>
      <c r="D1651" s="11" t="s">
        <v>26</v>
      </c>
      <c r="E1651" s="11" t="s">
        <v>233</v>
      </c>
      <c r="F1651" s="11" t="s">
        <v>26</v>
      </c>
      <c r="G1651" s="11" t="s">
        <v>26</v>
      </c>
      <c r="H1651" s="12" t="s">
        <v>4443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568</v>
      </c>
      <c r="AA1651" s="12" t="s">
        <v>78</v>
      </c>
    </row>
    <row r="1652" spans="1:27" x14ac:dyDescent="0.25">
      <c r="A1652" s="10">
        <v>45682</v>
      </c>
      <c r="B1652" s="11" t="s">
        <v>3639</v>
      </c>
      <c r="C1652" s="11" t="s">
        <v>3640</v>
      </c>
      <c r="D1652" s="11" t="s">
        <v>26</v>
      </c>
      <c r="E1652" s="11" t="s">
        <v>488</v>
      </c>
      <c r="F1652" s="11" t="s">
        <v>26</v>
      </c>
      <c r="G1652" s="11">
        <v>72145</v>
      </c>
      <c r="H1652" s="12" t="s">
        <v>4470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3641</v>
      </c>
      <c r="C1653" s="11" t="s">
        <v>3642</v>
      </c>
      <c r="D1653" s="11" t="s">
        <v>26</v>
      </c>
      <c r="E1653" s="11" t="s">
        <v>490</v>
      </c>
      <c r="F1653" s="11" t="s">
        <v>26</v>
      </c>
      <c r="G1653" s="11">
        <v>5706</v>
      </c>
      <c r="H1653" s="12" t="s">
        <v>4470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1778</v>
      </c>
      <c r="C1654" s="11" t="s">
        <v>3643</v>
      </c>
      <c r="D1654" s="11" t="s">
        <v>26</v>
      </c>
      <c r="E1654" s="11" t="s">
        <v>249</v>
      </c>
      <c r="F1654" s="11" t="s">
        <v>26</v>
      </c>
      <c r="G1654" s="11" t="s">
        <v>26</v>
      </c>
      <c r="H1654" s="12" t="s">
        <v>4443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3644</v>
      </c>
      <c r="C1655" s="11" t="s">
        <v>3645</v>
      </c>
      <c r="D1655" s="11" t="s">
        <v>26</v>
      </c>
      <c r="E1655" s="11" t="s">
        <v>486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629</v>
      </c>
      <c r="C1656" s="11" t="s">
        <v>3646</v>
      </c>
      <c r="D1656" s="11" t="s">
        <v>26</v>
      </c>
      <c r="E1656" s="11" t="s">
        <v>243</v>
      </c>
      <c r="F1656" s="11" t="s">
        <v>26</v>
      </c>
      <c r="G1656" s="11" t="s">
        <v>26</v>
      </c>
      <c r="H1656" s="12" t="s">
        <v>4443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3647</v>
      </c>
      <c r="C1657" s="11" t="s">
        <v>3648</v>
      </c>
      <c r="D1657" s="11" t="s">
        <v>26</v>
      </c>
      <c r="E1657" s="11" t="s">
        <v>577</v>
      </c>
      <c r="F1657" s="11" t="s">
        <v>26</v>
      </c>
      <c r="G1657" s="11">
        <v>779</v>
      </c>
      <c r="H1657" s="12" t="s">
        <v>144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123</v>
      </c>
      <c r="C1658" s="11" t="s">
        <v>3649</v>
      </c>
      <c r="D1658" s="11" t="s">
        <v>26</v>
      </c>
      <c r="E1658" s="11" t="s">
        <v>90</v>
      </c>
      <c r="F1658" s="11" t="s">
        <v>26</v>
      </c>
      <c r="G1658" s="11">
        <v>60461</v>
      </c>
      <c r="H1658" s="12" t="s">
        <v>4444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3650</v>
      </c>
      <c r="C1659" s="11" t="s">
        <v>3651</v>
      </c>
      <c r="D1659" s="11" t="s">
        <v>26</v>
      </c>
      <c r="E1659" s="11" t="s">
        <v>596</v>
      </c>
      <c r="F1659" s="11" t="s">
        <v>26</v>
      </c>
      <c r="G1659" s="11">
        <v>44304</v>
      </c>
      <c r="H1659" s="12" t="s">
        <v>4444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710</v>
      </c>
      <c r="C1660" s="11" t="s">
        <v>3652</v>
      </c>
      <c r="D1660" s="11" t="s">
        <v>26</v>
      </c>
      <c r="E1660" s="11" t="s">
        <v>554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3653</v>
      </c>
      <c r="C1661" s="11" t="s">
        <v>3654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3655</v>
      </c>
      <c r="C1662" s="11" t="s">
        <v>3656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143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672</v>
      </c>
      <c r="C1663" s="11" t="s">
        <v>3657</v>
      </c>
      <c r="D1663" s="11" t="s">
        <v>26</v>
      </c>
      <c r="E1663" s="11" t="s">
        <v>3658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2813</v>
      </c>
      <c r="C1664" s="11" t="s">
        <v>3659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166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3660</v>
      </c>
      <c r="C1665" s="11" t="s">
        <v>3661</v>
      </c>
      <c r="D1665" s="11" t="s">
        <v>26</v>
      </c>
      <c r="E1665" s="11" t="s">
        <v>607</v>
      </c>
      <c r="F1665" s="11" t="s">
        <v>26</v>
      </c>
      <c r="G1665" s="11">
        <v>1115</v>
      </c>
      <c r="H1665" s="12" t="s">
        <v>144</v>
      </c>
      <c r="I1665" s="12" t="s">
        <v>37</v>
      </c>
      <c r="J1665" s="12" t="s">
        <v>602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3662</v>
      </c>
      <c r="C1666" s="11" t="s">
        <v>3663</v>
      </c>
      <c r="D1666" s="11" t="s">
        <v>26</v>
      </c>
      <c r="E1666" s="11" t="s">
        <v>573</v>
      </c>
      <c r="F1666" s="11" t="s">
        <v>26</v>
      </c>
      <c r="G1666" s="11">
        <v>10337</v>
      </c>
      <c r="H1666" s="12" t="s">
        <v>143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3664</v>
      </c>
      <c r="C1667" s="11" t="s">
        <v>3665</v>
      </c>
      <c r="D1667" s="11" t="s">
        <v>26</v>
      </c>
      <c r="E1667" s="11" t="s">
        <v>1672</v>
      </c>
      <c r="F1667" s="11" t="s">
        <v>26</v>
      </c>
      <c r="G1667" s="11">
        <v>42031</v>
      </c>
      <c r="H1667" s="12" t="s">
        <v>568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1827</v>
      </c>
      <c r="C1668" s="11" t="s">
        <v>3666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335</v>
      </c>
      <c r="C1669" s="11" t="s">
        <v>3667</v>
      </c>
      <c r="D1669" s="11" t="s">
        <v>26</v>
      </c>
      <c r="E1669" s="11" t="s">
        <v>1221</v>
      </c>
      <c r="F1669" s="11" t="s">
        <v>26</v>
      </c>
      <c r="G1669" s="11">
        <v>2557</v>
      </c>
      <c r="H1669" s="12" t="s">
        <v>166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684</v>
      </c>
      <c r="C1670" s="11" t="s">
        <v>3668</v>
      </c>
      <c r="D1670" s="11" t="s">
        <v>26</v>
      </c>
      <c r="E1670" s="11" t="s">
        <v>555</v>
      </c>
      <c r="F1670" s="11" t="s">
        <v>26</v>
      </c>
      <c r="G1670" s="11">
        <v>69132</v>
      </c>
      <c r="H1670" s="12" t="s">
        <v>4444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3669</v>
      </c>
      <c r="C1671" s="11" t="s">
        <v>3670</v>
      </c>
      <c r="D1671" s="11" t="s">
        <v>26</v>
      </c>
      <c r="E1671" s="11" t="s">
        <v>182</v>
      </c>
      <c r="F1671" s="11" t="s">
        <v>26</v>
      </c>
      <c r="G1671" s="11">
        <v>57748</v>
      </c>
      <c r="H1671" s="12" t="s">
        <v>4444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431</v>
      </c>
      <c r="C1672" s="11" t="s">
        <v>3671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231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633</v>
      </c>
      <c r="C1673" s="11" t="s">
        <v>3672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231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112</v>
      </c>
      <c r="C1674" s="11" t="s">
        <v>3673</v>
      </c>
      <c r="D1674" s="11" t="s">
        <v>26</v>
      </c>
      <c r="E1674" s="11" t="s">
        <v>657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3674</v>
      </c>
      <c r="C1675" s="11" t="s">
        <v>3675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568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3676</v>
      </c>
      <c r="C1676" s="11" t="s">
        <v>3677</v>
      </c>
      <c r="D1676" s="11" t="s">
        <v>26</v>
      </c>
      <c r="E1676" s="11" t="s">
        <v>233</v>
      </c>
      <c r="F1676" s="11" t="s">
        <v>26</v>
      </c>
      <c r="G1676" s="11" t="s">
        <v>26</v>
      </c>
      <c r="H1676" s="12" t="s">
        <v>4443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568</v>
      </c>
      <c r="AA1676" s="12" t="s">
        <v>78</v>
      </c>
    </row>
    <row r="1677" spans="1:27" x14ac:dyDescent="0.25">
      <c r="A1677" s="10">
        <v>45682</v>
      </c>
      <c r="B1677" s="11" t="s">
        <v>2469</v>
      </c>
      <c r="C1677" s="11" t="s">
        <v>3678</v>
      </c>
      <c r="D1677" s="11" t="s">
        <v>26</v>
      </c>
      <c r="E1677" s="11" t="s">
        <v>562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3679</v>
      </c>
      <c r="C1678" s="11" t="s">
        <v>3680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3681</v>
      </c>
      <c r="C1679" s="11" t="s">
        <v>3682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3386</v>
      </c>
      <c r="C1680" s="11" t="s">
        <v>3683</v>
      </c>
      <c r="D1680" s="11" t="s">
        <v>26</v>
      </c>
      <c r="E1680" s="11" t="s">
        <v>438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3684</v>
      </c>
      <c r="C1681" s="11" t="s">
        <v>3685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379</v>
      </c>
      <c r="C1682" s="11" t="s">
        <v>3686</v>
      </c>
      <c r="D1682" s="11" t="s">
        <v>26</v>
      </c>
      <c r="E1682" s="11" t="s">
        <v>100</v>
      </c>
      <c r="F1682" s="11" t="s">
        <v>26</v>
      </c>
      <c r="G1682" s="11">
        <v>3107</v>
      </c>
      <c r="H1682" s="12" t="s">
        <v>4444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2527</v>
      </c>
      <c r="C1683" s="11" t="s">
        <v>3687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3688</v>
      </c>
      <c r="C1684" s="11" t="s">
        <v>3689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398</v>
      </c>
      <c r="C1685" s="11" t="s">
        <v>3690</v>
      </c>
      <c r="D1685" s="11" t="s">
        <v>26</v>
      </c>
      <c r="E1685" s="11" t="s">
        <v>498</v>
      </c>
      <c r="F1685" s="11" t="s">
        <v>26</v>
      </c>
      <c r="G1685" s="11">
        <v>21543</v>
      </c>
      <c r="H1685" s="12" t="s">
        <v>4470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384</v>
      </c>
      <c r="C1686" s="11" t="s">
        <v>3691</v>
      </c>
      <c r="D1686" s="11" t="s">
        <v>26</v>
      </c>
      <c r="E1686" s="11" t="s">
        <v>570</v>
      </c>
      <c r="F1686" s="11" t="s">
        <v>26</v>
      </c>
      <c r="G1686" s="11">
        <v>112296</v>
      </c>
      <c r="H1686" s="12" t="s">
        <v>4468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734</v>
      </c>
      <c r="C1687" s="11" t="s">
        <v>3692</v>
      </c>
      <c r="D1687" s="11" t="s">
        <v>26</v>
      </c>
      <c r="E1687" s="11" t="s">
        <v>486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293</v>
      </c>
      <c r="C1688" s="11" t="s">
        <v>3693</v>
      </c>
      <c r="D1688" s="11" t="s">
        <v>26</v>
      </c>
      <c r="E1688" s="11" t="s">
        <v>499</v>
      </c>
      <c r="F1688" s="11" t="s">
        <v>26</v>
      </c>
      <c r="G1688" s="11">
        <v>22913</v>
      </c>
      <c r="H1688" s="12" t="s">
        <v>4470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3694</v>
      </c>
      <c r="C1689" s="11" t="s">
        <v>3695</v>
      </c>
      <c r="D1689" s="11" t="s">
        <v>26</v>
      </c>
      <c r="E1689" s="11" t="s">
        <v>101</v>
      </c>
      <c r="F1689" s="11" t="s">
        <v>26</v>
      </c>
      <c r="G1689" s="11">
        <v>21734</v>
      </c>
      <c r="H1689" s="12" t="s">
        <v>4470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189</v>
      </c>
      <c r="C1690" s="11" t="s">
        <v>3696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4443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3697</v>
      </c>
      <c r="C1691" s="11" t="s">
        <v>3698</v>
      </c>
      <c r="D1691" s="11" t="s">
        <v>26</v>
      </c>
      <c r="E1691" s="11" t="s">
        <v>482</v>
      </c>
      <c r="F1691" s="11" t="s">
        <v>26</v>
      </c>
      <c r="G1691" s="11">
        <v>76347</v>
      </c>
      <c r="H1691" s="12" t="s">
        <v>4470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676</v>
      </c>
      <c r="C1692" s="11" t="s">
        <v>3699</v>
      </c>
      <c r="D1692" s="11" t="s">
        <v>26</v>
      </c>
      <c r="E1692" s="11" t="s">
        <v>187</v>
      </c>
      <c r="F1692" s="11" t="s">
        <v>26</v>
      </c>
      <c r="G1692" s="11" t="s">
        <v>26</v>
      </c>
      <c r="H1692" s="12" t="s">
        <v>4443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144</v>
      </c>
      <c r="AA1692" s="12" t="s">
        <v>78</v>
      </c>
    </row>
    <row r="1693" spans="1:27" x14ac:dyDescent="0.25">
      <c r="A1693" s="10">
        <v>45684</v>
      </c>
      <c r="B1693" s="11" t="s">
        <v>3004</v>
      </c>
      <c r="C1693" s="11" t="s">
        <v>3700</v>
      </c>
      <c r="D1693" s="11" t="s">
        <v>26</v>
      </c>
      <c r="E1693" s="11" t="s">
        <v>325</v>
      </c>
      <c r="F1693" s="11" t="s">
        <v>26</v>
      </c>
      <c r="G1693" s="11">
        <v>112367</v>
      </c>
      <c r="H1693" s="12" t="s">
        <v>4468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3701</v>
      </c>
      <c r="C1694" s="11" t="s">
        <v>3702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4443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144</v>
      </c>
      <c r="AA1694" s="12" t="s">
        <v>78</v>
      </c>
    </row>
    <row r="1695" spans="1:27" x14ac:dyDescent="0.25">
      <c r="A1695" s="10">
        <v>45684</v>
      </c>
      <c r="B1695" s="11" t="s">
        <v>3703</v>
      </c>
      <c r="C1695" s="11" t="s">
        <v>3704</v>
      </c>
      <c r="D1695" s="11" t="s">
        <v>26</v>
      </c>
      <c r="E1695" s="11" t="s">
        <v>504</v>
      </c>
      <c r="F1695" s="11" t="s">
        <v>26</v>
      </c>
      <c r="G1695" s="11" t="s">
        <v>26</v>
      </c>
      <c r="H1695" s="12" t="s">
        <v>4443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144</v>
      </c>
      <c r="AA1695" s="12" t="s">
        <v>78</v>
      </c>
    </row>
    <row r="1696" spans="1:27" x14ac:dyDescent="0.25">
      <c r="A1696" s="10">
        <v>45684</v>
      </c>
      <c r="B1696" s="11" t="s">
        <v>3705</v>
      </c>
      <c r="C1696" s="11" t="s">
        <v>3706</v>
      </c>
      <c r="D1696" s="11" t="s">
        <v>26</v>
      </c>
      <c r="E1696" s="11" t="s">
        <v>492</v>
      </c>
      <c r="F1696" s="11" t="s">
        <v>26</v>
      </c>
      <c r="G1696" s="11">
        <v>77487</v>
      </c>
      <c r="H1696" s="12" t="s">
        <v>4470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3707</v>
      </c>
      <c r="C1697" s="11" t="s">
        <v>3708</v>
      </c>
      <c r="D1697" s="11" t="s">
        <v>26</v>
      </c>
      <c r="E1697" s="11" t="s">
        <v>608</v>
      </c>
      <c r="F1697" s="11" t="s">
        <v>26</v>
      </c>
      <c r="G1697" s="11" t="s">
        <v>26</v>
      </c>
      <c r="H1697" s="12" t="s">
        <v>4443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144</v>
      </c>
      <c r="AA1697" s="12" t="s">
        <v>78</v>
      </c>
    </row>
    <row r="1698" spans="1:27" x14ac:dyDescent="0.25">
      <c r="A1698" s="10">
        <v>45684</v>
      </c>
      <c r="B1698" s="11" t="s">
        <v>2648</v>
      </c>
      <c r="C1698" s="11" t="s">
        <v>3709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3710</v>
      </c>
      <c r="C1699" s="11" t="s">
        <v>3711</v>
      </c>
      <c r="D1699" s="11" t="s">
        <v>26</v>
      </c>
      <c r="E1699" s="11" t="s">
        <v>555</v>
      </c>
      <c r="F1699" s="11" t="s">
        <v>26</v>
      </c>
      <c r="G1699" s="11">
        <v>69133</v>
      </c>
      <c r="H1699" s="12" t="s">
        <v>4444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3712</v>
      </c>
      <c r="C1700" s="11" t="s">
        <v>3713</v>
      </c>
      <c r="D1700" s="11" t="s">
        <v>26</v>
      </c>
      <c r="E1700" s="11" t="s">
        <v>2130</v>
      </c>
      <c r="F1700" s="11" t="s">
        <v>26</v>
      </c>
      <c r="G1700" s="11">
        <v>10608</v>
      </c>
      <c r="H1700" s="12" t="s">
        <v>143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3714</v>
      </c>
      <c r="C1701" s="11" t="s">
        <v>3715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618</v>
      </c>
      <c r="C1702" s="11" t="s">
        <v>3716</v>
      </c>
      <c r="D1702" s="11" t="s">
        <v>26</v>
      </c>
      <c r="E1702" s="11" t="s">
        <v>486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3717</v>
      </c>
      <c r="C1703" s="11" t="s">
        <v>3718</v>
      </c>
      <c r="D1703" s="11" t="s">
        <v>26</v>
      </c>
      <c r="E1703" s="11" t="s">
        <v>657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3719</v>
      </c>
      <c r="C1704" s="11" t="s">
        <v>3720</v>
      </c>
      <c r="D1704" s="11" t="s">
        <v>26</v>
      </c>
      <c r="E1704" s="11" t="s">
        <v>249</v>
      </c>
      <c r="F1704" s="11" t="s">
        <v>26</v>
      </c>
      <c r="G1704" s="11" t="s">
        <v>26</v>
      </c>
      <c r="H1704" s="12" t="s">
        <v>4443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3721</v>
      </c>
      <c r="C1705" s="11" t="s">
        <v>3722</v>
      </c>
      <c r="D1705" s="11" t="s">
        <v>26</v>
      </c>
      <c r="E1705" s="11" t="s">
        <v>493</v>
      </c>
      <c r="F1705" s="11" t="s">
        <v>26</v>
      </c>
      <c r="G1705" s="11">
        <v>22102</v>
      </c>
      <c r="H1705" s="12" t="s">
        <v>4470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2340</v>
      </c>
      <c r="C1706" s="11" t="s">
        <v>3723</v>
      </c>
      <c r="D1706" s="11" t="s">
        <v>26</v>
      </c>
      <c r="E1706" s="11" t="s">
        <v>542</v>
      </c>
      <c r="F1706" s="11" t="s">
        <v>26</v>
      </c>
      <c r="G1706" s="11" t="s">
        <v>26</v>
      </c>
      <c r="H1706" s="12" t="s">
        <v>4443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3724</v>
      </c>
      <c r="C1707" s="11" t="s">
        <v>3725</v>
      </c>
      <c r="D1707" s="11" t="s">
        <v>26</v>
      </c>
      <c r="E1707" s="11" t="s">
        <v>438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3726</v>
      </c>
      <c r="C1708" s="11" t="s">
        <v>3727</v>
      </c>
      <c r="D1708" s="11" t="s">
        <v>26</v>
      </c>
      <c r="E1708" s="11" t="s">
        <v>607</v>
      </c>
      <c r="F1708" s="11" t="s">
        <v>26</v>
      </c>
      <c r="G1708" s="11" t="s">
        <v>26</v>
      </c>
      <c r="H1708" s="12" t="s">
        <v>4443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144</v>
      </c>
      <c r="AA1708" s="12" t="s">
        <v>78</v>
      </c>
    </row>
    <row r="1709" spans="1:27" x14ac:dyDescent="0.25">
      <c r="A1709" s="10">
        <v>45684</v>
      </c>
      <c r="B1709" s="11" t="s">
        <v>362</v>
      </c>
      <c r="C1709" s="11" t="s">
        <v>3728</v>
      </c>
      <c r="D1709" s="11" t="s">
        <v>26</v>
      </c>
      <c r="E1709" s="11" t="s">
        <v>234</v>
      </c>
      <c r="F1709" s="11" t="s">
        <v>26</v>
      </c>
      <c r="G1709" s="11">
        <v>22957</v>
      </c>
      <c r="H1709" s="12" t="s">
        <v>4470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3729</v>
      </c>
      <c r="C1710" s="11" t="s">
        <v>3730</v>
      </c>
      <c r="D1710" s="11" t="s">
        <v>26</v>
      </c>
      <c r="E1710" s="11" t="s">
        <v>523</v>
      </c>
      <c r="F1710" s="11" t="s">
        <v>26</v>
      </c>
      <c r="G1710" s="11">
        <v>4380</v>
      </c>
      <c r="H1710" s="12" t="s">
        <v>143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257</v>
      </c>
      <c r="C1711" s="11" t="s">
        <v>3731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3732</v>
      </c>
      <c r="C1712" s="11" t="s">
        <v>3733</v>
      </c>
      <c r="D1712" s="11" t="s">
        <v>26</v>
      </c>
      <c r="E1712" s="11" t="s">
        <v>243</v>
      </c>
      <c r="F1712" s="11" t="s">
        <v>26</v>
      </c>
      <c r="G1712" s="11" t="s">
        <v>26</v>
      </c>
      <c r="H1712" s="12" t="s">
        <v>149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3734</v>
      </c>
      <c r="C1713" s="11" t="s">
        <v>3735</v>
      </c>
      <c r="D1713" s="11" t="s">
        <v>26</v>
      </c>
      <c r="E1713" s="11" t="s">
        <v>705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3736</v>
      </c>
      <c r="C1714" s="11" t="s">
        <v>3737</v>
      </c>
      <c r="D1714" s="11" t="s">
        <v>26</v>
      </c>
      <c r="E1714" s="11" t="s">
        <v>1221</v>
      </c>
      <c r="F1714" s="11" t="s">
        <v>26</v>
      </c>
      <c r="G1714" s="11">
        <v>2558</v>
      </c>
      <c r="H1714" s="12" t="s">
        <v>166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3738</v>
      </c>
      <c r="C1715" s="11" t="s">
        <v>3739</v>
      </c>
      <c r="D1715" s="11" t="s">
        <v>26</v>
      </c>
      <c r="E1715" s="11" t="s">
        <v>572</v>
      </c>
      <c r="F1715" s="11" t="s">
        <v>26</v>
      </c>
      <c r="G1715" s="11">
        <v>112184</v>
      </c>
      <c r="H1715" s="12" t="s">
        <v>4468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253</v>
      </c>
      <c r="C1716" s="11" t="s">
        <v>3740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280</v>
      </c>
      <c r="C1717" s="11" t="s">
        <v>3741</v>
      </c>
      <c r="D1717" s="11" t="s">
        <v>26</v>
      </c>
      <c r="E1717" s="11" t="s">
        <v>106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3742</v>
      </c>
      <c r="C1718" s="11" t="s">
        <v>3743</v>
      </c>
      <c r="D1718" s="11" t="s">
        <v>26</v>
      </c>
      <c r="E1718" s="11" t="s">
        <v>240</v>
      </c>
      <c r="F1718" s="11" t="s">
        <v>26</v>
      </c>
      <c r="G1718" s="11">
        <v>61863</v>
      </c>
      <c r="H1718" s="12" t="s">
        <v>4444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3744</v>
      </c>
      <c r="C1719" s="11" t="s">
        <v>3745</v>
      </c>
      <c r="D1719" s="11" t="s">
        <v>26</v>
      </c>
      <c r="E1719" s="11" t="s">
        <v>92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634</v>
      </c>
      <c r="C1720" s="11" t="s">
        <v>3746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3747</v>
      </c>
      <c r="C1721" s="11" t="s">
        <v>3748</v>
      </c>
      <c r="D1721" s="11" t="s">
        <v>26</v>
      </c>
      <c r="E1721" s="11" t="s">
        <v>186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3681</v>
      </c>
      <c r="C1722" s="11" t="s">
        <v>3749</v>
      </c>
      <c r="D1722" s="11" t="s">
        <v>26</v>
      </c>
      <c r="E1722" s="11" t="s">
        <v>77</v>
      </c>
      <c r="F1722" s="11" t="s">
        <v>26</v>
      </c>
      <c r="G1722" s="11" t="s">
        <v>188</v>
      </c>
      <c r="H1722" s="12" t="s">
        <v>4471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3750</v>
      </c>
      <c r="C1723" s="11" t="s">
        <v>3751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143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177</v>
      </c>
      <c r="C1724" s="11" t="s">
        <v>3752</v>
      </c>
      <c r="D1724" s="11" t="s">
        <v>26</v>
      </c>
      <c r="E1724" s="11" t="s">
        <v>233</v>
      </c>
      <c r="F1724" s="11" t="s">
        <v>26</v>
      </c>
      <c r="G1724" s="11">
        <v>23147</v>
      </c>
      <c r="H1724" s="12" t="s">
        <v>568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336</v>
      </c>
      <c r="C1725" s="11" t="s">
        <v>3753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4468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321</v>
      </c>
      <c r="C1726" s="11" t="s">
        <v>3754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166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3755</v>
      </c>
      <c r="C1727" s="11" t="s">
        <v>3756</v>
      </c>
      <c r="D1727" s="11" t="s">
        <v>26</v>
      </c>
      <c r="E1727" s="11" t="s">
        <v>555</v>
      </c>
      <c r="F1727" s="11" t="s">
        <v>26</v>
      </c>
      <c r="G1727" s="11">
        <v>69134</v>
      </c>
      <c r="H1727" s="12" t="s">
        <v>4444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3523</v>
      </c>
      <c r="C1728" s="11" t="s">
        <v>3757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4471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3758</v>
      </c>
      <c r="C1729" s="11" t="s">
        <v>3759</v>
      </c>
      <c r="D1729" s="11" t="s">
        <v>26</v>
      </c>
      <c r="E1729" s="11" t="s">
        <v>182</v>
      </c>
      <c r="F1729" s="11" t="s">
        <v>26</v>
      </c>
      <c r="G1729" s="11">
        <v>57750</v>
      </c>
      <c r="H1729" s="12" t="s">
        <v>4444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121</v>
      </c>
      <c r="C1730" s="11" t="s">
        <v>3760</v>
      </c>
      <c r="D1730" s="11" t="s">
        <v>26</v>
      </c>
      <c r="E1730" s="11" t="s">
        <v>486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3761</v>
      </c>
      <c r="C1731" s="11" t="s">
        <v>3762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4443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144</v>
      </c>
      <c r="AA1731" s="12" t="s">
        <v>78</v>
      </c>
    </row>
    <row r="1732" spans="1:27" x14ac:dyDescent="0.25">
      <c r="A1732" s="10">
        <v>45684</v>
      </c>
      <c r="B1732" s="11" t="s">
        <v>3763</v>
      </c>
      <c r="C1732" s="11" t="s">
        <v>3764</v>
      </c>
      <c r="D1732" s="11" t="s">
        <v>26</v>
      </c>
      <c r="E1732" s="11" t="s">
        <v>600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3765</v>
      </c>
      <c r="C1733" s="11" t="s">
        <v>3766</v>
      </c>
      <c r="D1733" s="11" t="s">
        <v>26</v>
      </c>
      <c r="E1733" s="11" t="s">
        <v>608</v>
      </c>
      <c r="F1733" s="11" t="s">
        <v>26</v>
      </c>
      <c r="G1733" s="11" t="s">
        <v>26</v>
      </c>
      <c r="H1733" s="12" t="s">
        <v>4443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144</v>
      </c>
      <c r="AA1733" s="12" t="s">
        <v>78</v>
      </c>
    </row>
    <row r="1734" spans="1:27" x14ac:dyDescent="0.25">
      <c r="A1734" s="10">
        <v>45684</v>
      </c>
      <c r="B1734" s="11" t="s">
        <v>3767</v>
      </c>
      <c r="C1734" s="11" t="s">
        <v>3768</v>
      </c>
      <c r="D1734" s="11" t="s">
        <v>26</v>
      </c>
      <c r="E1734" s="11" t="s">
        <v>249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103</v>
      </c>
      <c r="C1735" s="11" t="s">
        <v>3769</v>
      </c>
      <c r="D1735" s="11" t="s">
        <v>26</v>
      </c>
      <c r="E1735" s="11" t="s">
        <v>542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131</v>
      </c>
      <c r="C1736" s="11" t="s">
        <v>3770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3771</v>
      </c>
      <c r="C1737" s="11" t="s">
        <v>3772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413</v>
      </c>
      <c r="C1738" s="11" t="s">
        <v>3773</v>
      </c>
      <c r="D1738" s="11" t="s">
        <v>26</v>
      </c>
      <c r="E1738" s="11" t="s">
        <v>438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1120</v>
      </c>
      <c r="C1739" s="11" t="s">
        <v>3774</v>
      </c>
      <c r="D1739" s="11" t="s">
        <v>26</v>
      </c>
      <c r="E1739" s="11" t="s">
        <v>705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2247</v>
      </c>
      <c r="C1740" s="11" t="s">
        <v>3775</v>
      </c>
      <c r="D1740" s="11" t="s">
        <v>26</v>
      </c>
      <c r="E1740" s="11" t="s">
        <v>243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237</v>
      </c>
      <c r="C1741" s="11" t="s">
        <v>3776</v>
      </c>
      <c r="D1741" s="11" t="s">
        <v>26</v>
      </c>
      <c r="E1741" s="11" t="s">
        <v>92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3777</v>
      </c>
      <c r="C1742" s="11" t="s">
        <v>3778</v>
      </c>
      <c r="D1742" s="11" t="s">
        <v>26</v>
      </c>
      <c r="E1742" s="11" t="s">
        <v>230</v>
      </c>
      <c r="F1742" s="11" t="s">
        <v>26</v>
      </c>
      <c r="G1742" s="11">
        <v>2559</v>
      </c>
      <c r="H1742" s="12" t="s">
        <v>166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3779</v>
      </c>
      <c r="C1743" s="11" t="s">
        <v>3780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4443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635</v>
      </c>
      <c r="C1744" s="11" t="s">
        <v>3781</v>
      </c>
      <c r="D1744" s="11" t="s">
        <v>26</v>
      </c>
      <c r="E1744" s="11" t="s">
        <v>528</v>
      </c>
      <c r="F1744" s="11" t="s">
        <v>26</v>
      </c>
      <c r="G1744" s="11">
        <v>26333</v>
      </c>
      <c r="H1744" s="12" t="s">
        <v>4470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3782</v>
      </c>
      <c r="C1745" s="11" t="s">
        <v>3783</v>
      </c>
      <c r="D1745" s="11" t="s">
        <v>26</v>
      </c>
      <c r="E1745" s="11" t="s">
        <v>106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365</v>
      </c>
      <c r="C1746" s="11" t="s">
        <v>3784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3785</v>
      </c>
      <c r="C1747" s="11" t="s">
        <v>3786</v>
      </c>
      <c r="D1747" s="11" t="s">
        <v>26</v>
      </c>
      <c r="E1747" s="11" t="s">
        <v>592</v>
      </c>
      <c r="F1747" s="11" t="s">
        <v>26</v>
      </c>
      <c r="G1747" s="11">
        <v>4597</v>
      </c>
      <c r="H1747" s="12" t="s">
        <v>4444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282</v>
      </c>
      <c r="C1748" s="11" t="s">
        <v>3787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458</v>
      </c>
      <c r="C1749" s="11" t="s">
        <v>3788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4471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3789</v>
      </c>
      <c r="C1750" s="11" t="s">
        <v>3790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4468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3605</v>
      </c>
      <c r="C1751" s="11" t="s">
        <v>3791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143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642</v>
      </c>
      <c r="C1752" s="11" t="s">
        <v>3792</v>
      </c>
      <c r="D1752" s="11" t="s">
        <v>26</v>
      </c>
      <c r="E1752" s="11" t="s">
        <v>1221</v>
      </c>
      <c r="F1752" s="11" t="s">
        <v>26</v>
      </c>
      <c r="G1752" s="11">
        <v>2563</v>
      </c>
      <c r="H1752" s="12" t="s">
        <v>166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357</v>
      </c>
      <c r="C1753" s="11" t="s">
        <v>3793</v>
      </c>
      <c r="D1753" s="11" t="s">
        <v>26</v>
      </c>
      <c r="E1753" s="11" t="s">
        <v>578</v>
      </c>
      <c r="F1753" s="11" t="s">
        <v>26</v>
      </c>
      <c r="G1753" s="11">
        <v>112091</v>
      </c>
      <c r="H1753" s="12" t="s">
        <v>4468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364</v>
      </c>
      <c r="C1754" s="11" t="s">
        <v>3794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3795</v>
      </c>
      <c r="C1755" s="11" t="s">
        <v>3796</v>
      </c>
      <c r="D1755" s="11" t="s">
        <v>26</v>
      </c>
      <c r="E1755" s="11" t="s">
        <v>485</v>
      </c>
      <c r="F1755" s="11" t="s">
        <v>26</v>
      </c>
      <c r="G1755" s="11">
        <v>74898</v>
      </c>
      <c r="H1755" s="12" t="s">
        <v>4470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3797</v>
      </c>
      <c r="C1756" s="11" t="s">
        <v>3798</v>
      </c>
      <c r="D1756" s="11" t="s">
        <v>26</v>
      </c>
      <c r="E1756" s="11" t="s">
        <v>234</v>
      </c>
      <c r="F1756" s="11" t="s">
        <v>26</v>
      </c>
      <c r="G1756" s="11">
        <v>22958</v>
      </c>
      <c r="H1756" s="12" t="s">
        <v>4470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3799</v>
      </c>
      <c r="C1757" s="11" t="s">
        <v>3800</v>
      </c>
      <c r="D1757" s="11" t="s">
        <v>26</v>
      </c>
      <c r="E1757" s="11" t="s">
        <v>530</v>
      </c>
      <c r="F1757" s="11" t="s">
        <v>26</v>
      </c>
      <c r="G1757" s="11">
        <v>2562</v>
      </c>
      <c r="H1757" s="12" t="s">
        <v>166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738</v>
      </c>
      <c r="C1758" s="11" t="s">
        <v>3801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4471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3802</v>
      </c>
      <c r="C1759" s="11" t="s">
        <v>3803</v>
      </c>
      <c r="D1759" s="11" t="s">
        <v>26</v>
      </c>
      <c r="E1759" s="11" t="s">
        <v>555</v>
      </c>
      <c r="F1759" s="11" t="s">
        <v>26</v>
      </c>
      <c r="G1759" s="11">
        <v>69135</v>
      </c>
      <c r="H1759" s="12" t="s">
        <v>4444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614</v>
      </c>
      <c r="C1760" s="11" t="s">
        <v>3804</v>
      </c>
      <c r="D1760" s="11" t="s">
        <v>26</v>
      </c>
      <c r="E1760" s="11" t="s">
        <v>446</v>
      </c>
      <c r="F1760" s="11" t="s">
        <v>26</v>
      </c>
      <c r="G1760" s="11">
        <v>20675</v>
      </c>
      <c r="H1760" s="12" t="s">
        <v>4470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1600</v>
      </c>
      <c r="C1761" s="11" t="s">
        <v>3805</v>
      </c>
      <c r="D1761" s="11" t="s">
        <v>26</v>
      </c>
      <c r="E1761" s="11" t="s">
        <v>486</v>
      </c>
      <c r="F1761" s="11" t="s">
        <v>26</v>
      </c>
      <c r="G1761" s="11" t="s">
        <v>26</v>
      </c>
      <c r="H1761" s="12" t="s">
        <v>149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712</v>
      </c>
      <c r="C1762" s="11" t="s">
        <v>3806</v>
      </c>
      <c r="D1762" s="11" t="s">
        <v>26</v>
      </c>
      <c r="E1762" s="11" t="s">
        <v>3807</v>
      </c>
      <c r="F1762" s="11" t="s">
        <v>26</v>
      </c>
      <c r="G1762" s="11">
        <v>24325</v>
      </c>
      <c r="H1762" s="12" t="s">
        <v>4470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3808</v>
      </c>
      <c r="D1763" s="11" t="s">
        <v>26</v>
      </c>
      <c r="E1763" s="11" t="s">
        <v>443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1276</v>
      </c>
      <c r="C1764" s="11" t="s">
        <v>3809</v>
      </c>
      <c r="D1764" s="11" t="s">
        <v>26</v>
      </c>
      <c r="E1764" s="11" t="s">
        <v>489</v>
      </c>
      <c r="F1764" s="11" t="s">
        <v>26</v>
      </c>
      <c r="G1764" s="11">
        <v>72894</v>
      </c>
      <c r="H1764" s="12" t="s">
        <v>4470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190</v>
      </c>
      <c r="C1765" s="11" t="s">
        <v>3810</v>
      </c>
      <c r="D1765" s="11" t="s">
        <v>26</v>
      </c>
      <c r="E1765" s="11" t="s">
        <v>243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683</v>
      </c>
      <c r="C1766" s="11" t="s">
        <v>3811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149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3812</v>
      </c>
      <c r="C1767" s="11" t="s">
        <v>3813</v>
      </c>
      <c r="D1767" s="11" t="s">
        <v>26</v>
      </c>
      <c r="E1767" s="11" t="s">
        <v>438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620</v>
      </c>
      <c r="C1768" s="11" t="s">
        <v>3814</v>
      </c>
      <c r="D1768" s="11" t="s">
        <v>26</v>
      </c>
      <c r="E1768" s="11" t="s">
        <v>236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664</v>
      </c>
      <c r="C1769" s="11" t="s">
        <v>3815</v>
      </c>
      <c r="D1769" s="11" t="s">
        <v>26</v>
      </c>
      <c r="E1769" s="11" t="s">
        <v>230</v>
      </c>
      <c r="F1769" s="11" t="s">
        <v>26</v>
      </c>
      <c r="G1769" s="11">
        <v>2561</v>
      </c>
      <c r="H1769" s="12" t="s">
        <v>166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3816</v>
      </c>
      <c r="C1770" s="11" t="s">
        <v>3817</v>
      </c>
      <c r="D1770" s="11" t="s">
        <v>26</v>
      </c>
      <c r="E1770" s="11" t="s">
        <v>592</v>
      </c>
      <c r="F1770" s="11" t="s">
        <v>26</v>
      </c>
      <c r="G1770" s="11">
        <v>4598</v>
      </c>
      <c r="H1770" s="12" t="s">
        <v>4444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281</v>
      </c>
      <c r="C1771" s="11" t="s">
        <v>3818</v>
      </c>
      <c r="D1771" s="11" t="s">
        <v>26</v>
      </c>
      <c r="E1771" s="11" t="s">
        <v>3658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688</v>
      </c>
      <c r="C1772" s="11" t="s">
        <v>3819</v>
      </c>
      <c r="D1772" s="11" t="s">
        <v>26</v>
      </c>
      <c r="E1772" s="11" t="s">
        <v>596</v>
      </c>
      <c r="F1772" s="11" t="s">
        <v>26</v>
      </c>
      <c r="G1772" s="11">
        <v>44306</v>
      </c>
      <c r="H1772" s="12" t="s">
        <v>4444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3820</v>
      </c>
      <c r="C1773" s="11" t="s">
        <v>3821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568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644</v>
      </c>
      <c r="C1774" s="11" t="s">
        <v>3822</v>
      </c>
      <c r="D1774" s="11" t="s">
        <v>26</v>
      </c>
      <c r="E1774" s="11" t="s">
        <v>562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231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2785</v>
      </c>
      <c r="C1775" s="11" t="s">
        <v>3823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231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1240</v>
      </c>
      <c r="C1776" s="11" t="s">
        <v>3824</v>
      </c>
      <c r="D1776" s="11" t="s">
        <v>26</v>
      </c>
      <c r="E1776" s="11" t="s">
        <v>2130</v>
      </c>
      <c r="F1776" s="11" t="s">
        <v>26</v>
      </c>
      <c r="G1776" s="11">
        <v>10609</v>
      </c>
      <c r="H1776" s="12" t="s">
        <v>143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3825</v>
      </c>
      <c r="C1777" s="11" t="s">
        <v>3826</v>
      </c>
      <c r="D1777" s="11" t="s">
        <v>26</v>
      </c>
      <c r="E1777" s="11" t="s">
        <v>233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1074</v>
      </c>
      <c r="C1778" s="11" t="s">
        <v>3827</v>
      </c>
      <c r="D1778" s="11" t="s">
        <v>26</v>
      </c>
      <c r="E1778" s="11" t="s">
        <v>443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3828</v>
      </c>
      <c r="C1779" s="11" t="s">
        <v>3829</v>
      </c>
      <c r="D1779" s="11" t="s">
        <v>26</v>
      </c>
      <c r="E1779" s="11" t="s">
        <v>657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231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3830</v>
      </c>
      <c r="C1780" s="11" t="s">
        <v>3831</v>
      </c>
      <c r="D1780" s="11" t="s">
        <v>26</v>
      </c>
      <c r="E1780" s="11" t="s">
        <v>1221</v>
      </c>
      <c r="F1780" s="11" t="s">
        <v>26</v>
      </c>
      <c r="G1780" s="11">
        <v>2564</v>
      </c>
      <c r="H1780" s="12" t="s">
        <v>166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3832</v>
      </c>
      <c r="C1781" s="11" t="s">
        <v>3833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143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3454</v>
      </c>
      <c r="C1782" s="11" t="s">
        <v>3834</v>
      </c>
      <c r="D1782" s="11" t="s">
        <v>26</v>
      </c>
      <c r="E1782" s="11" t="s">
        <v>530</v>
      </c>
      <c r="F1782" s="11" t="s">
        <v>26</v>
      </c>
      <c r="G1782" s="11">
        <v>2560</v>
      </c>
      <c r="H1782" s="12" t="s">
        <v>166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3835</v>
      </c>
      <c r="C1783" s="11" t="s">
        <v>3836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3837</v>
      </c>
      <c r="C1784" s="11" t="s">
        <v>3838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569</v>
      </c>
      <c r="K1784" s="12" t="s">
        <v>553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424</v>
      </c>
      <c r="C1785" s="11" t="s">
        <v>3839</v>
      </c>
      <c r="D1785" s="11" t="s">
        <v>26</v>
      </c>
      <c r="E1785" s="11" t="s">
        <v>325</v>
      </c>
      <c r="F1785" s="11" t="s">
        <v>26</v>
      </c>
      <c r="G1785" s="11">
        <v>112372</v>
      </c>
      <c r="H1785" s="12" t="s">
        <v>4468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237</v>
      </c>
      <c r="C1786" s="11" t="s">
        <v>3840</v>
      </c>
      <c r="D1786" s="11" t="s">
        <v>26</v>
      </c>
      <c r="E1786" s="11" t="s">
        <v>509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1072</v>
      </c>
      <c r="C1787" s="11" t="s">
        <v>3841</v>
      </c>
      <c r="D1787" s="11" t="s">
        <v>26</v>
      </c>
      <c r="E1787" s="11" t="s">
        <v>555</v>
      </c>
      <c r="F1787" s="11" t="s">
        <v>26</v>
      </c>
      <c r="G1787" s="11">
        <v>69136</v>
      </c>
      <c r="H1787" s="12" t="s">
        <v>4444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3842</v>
      </c>
      <c r="C1788" s="11" t="s">
        <v>3843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166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3844</v>
      </c>
      <c r="C1789" s="11" t="s">
        <v>3845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4443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1334</v>
      </c>
      <c r="C1790" s="11" t="s">
        <v>3846</v>
      </c>
      <c r="D1790" s="11" t="s">
        <v>26</v>
      </c>
      <c r="E1790" s="11" t="s">
        <v>249</v>
      </c>
      <c r="F1790" s="11" t="s">
        <v>26</v>
      </c>
      <c r="G1790" s="11" t="s">
        <v>26</v>
      </c>
      <c r="H1790" s="12" t="s">
        <v>4443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1141</v>
      </c>
      <c r="C1791" s="11" t="s">
        <v>3847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143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3848</v>
      </c>
      <c r="C1792" s="11" t="s">
        <v>3849</v>
      </c>
      <c r="D1792" s="11" t="s">
        <v>26</v>
      </c>
      <c r="E1792" s="11" t="s">
        <v>542</v>
      </c>
      <c r="F1792" s="11" t="s">
        <v>26</v>
      </c>
      <c r="G1792" s="11" t="s">
        <v>26</v>
      </c>
      <c r="H1792" s="12" t="s">
        <v>149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3850</v>
      </c>
      <c r="C1793" s="11" t="s">
        <v>3851</v>
      </c>
      <c r="D1793" s="11" t="s">
        <v>26</v>
      </c>
      <c r="E1793" s="11" t="s">
        <v>2130</v>
      </c>
      <c r="F1793" s="11" t="s">
        <v>26</v>
      </c>
      <c r="G1793" s="11">
        <v>10610</v>
      </c>
      <c r="H1793" s="12" t="s">
        <v>143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2997</v>
      </c>
      <c r="C1794" s="11" t="s">
        <v>3852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3853</v>
      </c>
      <c r="C1795" s="11" t="s">
        <v>3854</v>
      </c>
      <c r="D1795" s="11" t="s">
        <v>26</v>
      </c>
      <c r="E1795" s="11" t="s">
        <v>3855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735</v>
      </c>
      <c r="C1796" s="11" t="s">
        <v>3856</v>
      </c>
      <c r="D1796" s="11" t="s">
        <v>26</v>
      </c>
      <c r="E1796" s="11" t="s">
        <v>92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695</v>
      </c>
      <c r="C1797" s="11" t="s">
        <v>3857</v>
      </c>
      <c r="D1797" s="11" t="s">
        <v>26</v>
      </c>
      <c r="E1797" s="11" t="s">
        <v>106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3858</v>
      </c>
      <c r="C1798" s="11" t="s">
        <v>3859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735</v>
      </c>
      <c r="C1799" s="11" t="s">
        <v>3860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4468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3861</v>
      </c>
      <c r="C1800" s="11" t="s">
        <v>3862</v>
      </c>
      <c r="D1800" s="11" t="s">
        <v>26</v>
      </c>
      <c r="E1800" s="11" t="s">
        <v>438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3417</v>
      </c>
      <c r="C1801" s="11" t="s">
        <v>3863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1404</v>
      </c>
      <c r="C1802" s="11" t="s">
        <v>3864</v>
      </c>
      <c r="D1802" s="11" t="s">
        <v>26</v>
      </c>
      <c r="E1802" s="11" t="s">
        <v>243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3865</v>
      </c>
      <c r="C1803" s="11" t="s">
        <v>3866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467</v>
      </c>
      <c r="C1804" s="11" t="s">
        <v>3867</v>
      </c>
      <c r="D1804" s="11" t="s">
        <v>26</v>
      </c>
      <c r="E1804" s="11" t="s">
        <v>523</v>
      </c>
      <c r="F1804" s="11" t="s">
        <v>26</v>
      </c>
      <c r="G1804" s="11">
        <v>4381</v>
      </c>
      <c r="H1804" s="12" t="s">
        <v>143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1685</v>
      </c>
      <c r="C1805" s="11" t="s">
        <v>3868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3869</v>
      </c>
      <c r="C1806" s="11" t="s">
        <v>3870</v>
      </c>
      <c r="D1806" s="11" t="s">
        <v>26</v>
      </c>
      <c r="E1806" s="11" t="s">
        <v>98</v>
      </c>
      <c r="F1806" s="11" t="s">
        <v>26</v>
      </c>
      <c r="G1806" s="11">
        <v>5449</v>
      </c>
      <c r="H1806" s="12" t="s">
        <v>4469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3342</v>
      </c>
      <c r="C1807" s="11" t="s">
        <v>3871</v>
      </c>
      <c r="D1807" s="11" t="s">
        <v>26</v>
      </c>
      <c r="E1807" s="11" t="s">
        <v>532</v>
      </c>
      <c r="F1807" s="11" t="s">
        <v>26</v>
      </c>
      <c r="G1807" s="11">
        <v>917</v>
      </c>
      <c r="H1807" s="12" t="s">
        <v>166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3872</v>
      </c>
      <c r="C1808" s="11" t="s">
        <v>3873</v>
      </c>
      <c r="D1808" s="11" t="s">
        <v>26</v>
      </c>
      <c r="E1808" s="11" t="s">
        <v>537</v>
      </c>
      <c r="F1808" s="11" t="s">
        <v>26</v>
      </c>
      <c r="G1808" s="11">
        <v>916</v>
      </c>
      <c r="H1808" s="12" t="s">
        <v>166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3874</v>
      </c>
      <c r="C1809" s="11" t="s">
        <v>3875</v>
      </c>
      <c r="D1809" s="11" t="s">
        <v>26</v>
      </c>
      <c r="E1809" s="11" t="s">
        <v>592</v>
      </c>
      <c r="F1809" s="11" t="s">
        <v>26</v>
      </c>
      <c r="G1809" s="11">
        <v>4599</v>
      </c>
      <c r="H1809" s="12" t="s">
        <v>4444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3876</v>
      </c>
      <c r="C1810" s="11" t="s">
        <v>3877</v>
      </c>
      <c r="D1810" s="11" t="s">
        <v>26</v>
      </c>
      <c r="E1810" s="11" t="s">
        <v>600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3878</v>
      </c>
      <c r="C1811" s="11" t="s">
        <v>3879</v>
      </c>
      <c r="D1811" s="11" t="s">
        <v>26</v>
      </c>
      <c r="E1811" s="11" t="s">
        <v>233</v>
      </c>
      <c r="F1811" s="11" t="s">
        <v>26</v>
      </c>
      <c r="G1811" s="11" t="s">
        <v>26</v>
      </c>
      <c r="H1811" s="12" t="s">
        <v>4443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568</v>
      </c>
      <c r="AA1811" s="12" t="s">
        <v>78</v>
      </c>
    </row>
    <row r="1812" spans="1:27" x14ac:dyDescent="0.25">
      <c r="A1812" s="10">
        <v>45685</v>
      </c>
      <c r="B1812" s="11" t="s">
        <v>3880</v>
      </c>
      <c r="C1812" s="11" t="s">
        <v>3881</v>
      </c>
      <c r="D1812" s="11" t="s">
        <v>26</v>
      </c>
      <c r="E1812" s="11" t="s">
        <v>596</v>
      </c>
      <c r="F1812" s="11" t="s">
        <v>26</v>
      </c>
      <c r="G1812" s="11">
        <v>44307</v>
      </c>
      <c r="H1812" s="12" t="s">
        <v>4444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271</v>
      </c>
      <c r="C1813" s="11" t="s">
        <v>3882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569</v>
      </c>
      <c r="K1813" s="12" t="s">
        <v>553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1921</v>
      </c>
      <c r="C1814" s="11" t="s">
        <v>3883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568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1379</v>
      </c>
      <c r="C1815" s="11" t="s">
        <v>3884</v>
      </c>
      <c r="D1815" s="11" t="s">
        <v>26</v>
      </c>
      <c r="E1815" s="11" t="s">
        <v>555</v>
      </c>
      <c r="F1815" s="11" t="s">
        <v>26</v>
      </c>
      <c r="G1815" s="11">
        <v>69137</v>
      </c>
      <c r="H1815" s="12" t="s">
        <v>4444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3885</v>
      </c>
      <c r="C1816" s="11" t="s">
        <v>3886</v>
      </c>
      <c r="D1816" s="11" t="s">
        <v>26</v>
      </c>
      <c r="E1816" s="11" t="s">
        <v>564</v>
      </c>
      <c r="F1816" s="11" t="s">
        <v>26</v>
      </c>
      <c r="G1816" s="11">
        <v>112376</v>
      </c>
      <c r="H1816" s="12" t="s">
        <v>4468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132</v>
      </c>
      <c r="C1817" s="11" t="s">
        <v>3887</v>
      </c>
      <c r="D1817" s="11" t="s">
        <v>26</v>
      </c>
      <c r="E1817" s="11" t="s">
        <v>185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3888</v>
      </c>
      <c r="C1818" s="11" t="s">
        <v>3889</v>
      </c>
      <c r="D1818" s="11" t="s">
        <v>26</v>
      </c>
      <c r="E1818" s="11" t="s">
        <v>547</v>
      </c>
      <c r="F1818" s="11" t="s">
        <v>26</v>
      </c>
      <c r="G1818" s="11">
        <v>70173</v>
      </c>
      <c r="H1818" s="12" t="s">
        <v>4470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672</v>
      </c>
      <c r="C1819" s="11" t="s">
        <v>3890</v>
      </c>
      <c r="D1819" s="11" t="s">
        <v>26</v>
      </c>
      <c r="E1819" s="11" t="s">
        <v>542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3891</v>
      </c>
      <c r="C1820" s="11" t="s">
        <v>3892</v>
      </c>
      <c r="D1820" s="11" t="s">
        <v>26</v>
      </c>
      <c r="E1820" s="11" t="s">
        <v>443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3893</v>
      </c>
      <c r="C1821" s="11" t="s">
        <v>3894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3895</v>
      </c>
      <c r="C1822" s="11" t="s">
        <v>3896</v>
      </c>
      <c r="D1822" s="11" t="s">
        <v>26</v>
      </c>
      <c r="E1822" s="11" t="s">
        <v>579</v>
      </c>
      <c r="F1822" s="11" t="s">
        <v>26</v>
      </c>
      <c r="G1822" s="11" t="s">
        <v>26</v>
      </c>
      <c r="H1822" s="12" t="s">
        <v>4445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568</v>
      </c>
      <c r="AA1822" s="12" t="s">
        <v>3897</v>
      </c>
    </row>
    <row r="1823" spans="1:27" x14ac:dyDescent="0.25">
      <c r="A1823" s="10">
        <v>45685</v>
      </c>
      <c r="B1823" s="11" t="s">
        <v>640</v>
      </c>
      <c r="C1823" s="11" t="s">
        <v>3898</v>
      </c>
      <c r="D1823" s="11" t="s">
        <v>26</v>
      </c>
      <c r="E1823" s="11" t="s">
        <v>92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3899</v>
      </c>
      <c r="C1824" s="11" t="s">
        <v>3900</v>
      </c>
      <c r="D1824" s="11" t="s">
        <v>26</v>
      </c>
      <c r="E1824" s="11" t="s">
        <v>447</v>
      </c>
      <c r="F1824" s="11" t="s">
        <v>26</v>
      </c>
      <c r="G1824" s="11">
        <v>2101</v>
      </c>
      <c r="H1824" s="12" t="s">
        <v>4471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623</v>
      </c>
      <c r="C1825" s="11" t="s">
        <v>3901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569</v>
      </c>
      <c r="K1825" s="12" t="s">
        <v>553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673</v>
      </c>
      <c r="C1826" s="11" t="s">
        <v>3902</v>
      </c>
      <c r="D1826" s="11" t="s">
        <v>26</v>
      </c>
      <c r="E1826" s="11" t="s">
        <v>106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714</v>
      </c>
      <c r="C1827" s="11" t="s">
        <v>3903</v>
      </c>
      <c r="D1827" s="11" t="s">
        <v>26</v>
      </c>
      <c r="E1827" s="11" t="s">
        <v>3855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3904</v>
      </c>
      <c r="C1828" s="11" t="s">
        <v>3905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143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126</v>
      </c>
      <c r="C1829" s="11" t="s">
        <v>3906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294</v>
      </c>
      <c r="C1830" s="11" t="s">
        <v>3907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4471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3908</v>
      </c>
      <c r="C1831" s="11" t="s">
        <v>3909</v>
      </c>
      <c r="D1831" s="11" t="s">
        <v>26</v>
      </c>
      <c r="E1831" s="11" t="s">
        <v>249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3910</v>
      </c>
      <c r="C1832" s="11" t="s">
        <v>3911</v>
      </c>
      <c r="D1832" s="11" t="s">
        <v>26</v>
      </c>
      <c r="E1832" s="11" t="s">
        <v>1221</v>
      </c>
      <c r="F1832" s="11" t="s">
        <v>26</v>
      </c>
      <c r="G1832" s="11">
        <v>2565</v>
      </c>
      <c r="H1832" s="12" t="s">
        <v>166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3912</v>
      </c>
      <c r="C1833" s="11" t="s">
        <v>3913</v>
      </c>
      <c r="D1833" s="11" t="s">
        <v>26</v>
      </c>
      <c r="E1833" s="11" t="s">
        <v>243</v>
      </c>
      <c r="F1833" s="11" t="s">
        <v>26</v>
      </c>
      <c r="G1833" s="11" t="s">
        <v>26</v>
      </c>
      <c r="H1833" s="12" t="s">
        <v>149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3914</v>
      </c>
      <c r="C1834" s="11" t="s">
        <v>3915</v>
      </c>
      <c r="D1834" s="11" t="s">
        <v>26</v>
      </c>
      <c r="E1834" s="11" t="s">
        <v>657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3916</v>
      </c>
      <c r="C1835" s="11" t="s">
        <v>3917</v>
      </c>
      <c r="D1835" s="11" t="s">
        <v>26</v>
      </c>
      <c r="E1835" s="11" t="s">
        <v>705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3918</v>
      </c>
      <c r="C1836" s="11" t="s">
        <v>3919</v>
      </c>
      <c r="D1836" s="11" t="s">
        <v>26</v>
      </c>
      <c r="E1836" s="11" t="s">
        <v>447</v>
      </c>
      <c r="F1836" s="11" t="s">
        <v>26</v>
      </c>
      <c r="G1836" s="11">
        <v>2102</v>
      </c>
      <c r="H1836" s="12" t="s">
        <v>4471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3920</v>
      </c>
      <c r="C1837" s="11" t="s">
        <v>3921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143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3922</v>
      </c>
      <c r="C1838" s="11" t="s">
        <v>3923</v>
      </c>
      <c r="D1838" s="11" t="s">
        <v>26</v>
      </c>
      <c r="E1838" s="11" t="s">
        <v>486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307</v>
      </c>
      <c r="C1839" s="11" t="s">
        <v>3924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4468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272</v>
      </c>
      <c r="C1840" s="11" t="s">
        <v>3925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4471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3926</v>
      </c>
      <c r="C1841" s="11" t="s">
        <v>3927</v>
      </c>
      <c r="D1841" s="11" t="s">
        <v>26</v>
      </c>
      <c r="E1841" s="11" t="s">
        <v>98</v>
      </c>
      <c r="F1841" s="11" t="s">
        <v>26</v>
      </c>
      <c r="G1841" s="11">
        <v>9932</v>
      </c>
      <c r="H1841" s="12" t="s">
        <v>4469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3928</v>
      </c>
      <c r="C1842" s="11" t="s">
        <v>3929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4468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3930</v>
      </c>
      <c r="C1843" s="11" t="s">
        <v>3931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1930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3932</v>
      </c>
      <c r="C1844" s="11" t="s">
        <v>3933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1930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3934</v>
      </c>
      <c r="C1845" s="11" t="s">
        <v>3935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3936</v>
      </c>
      <c r="C1846" s="11" t="s">
        <v>3937</v>
      </c>
      <c r="D1846" s="11" t="s">
        <v>26</v>
      </c>
      <c r="E1846" s="11" t="s">
        <v>532</v>
      </c>
      <c r="F1846" s="11" t="s">
        <v>26</v>
      </c>
      <c r="G1846" s="11">
        <v>915</v>
      </c>
      <c r="H1846" s="12" t="s">
        <v>166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1363</v>
      </c>
      <c r="C1847" s="11" t="s">
        <v>3938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711</v>
      </c>
      <c r="C1848" s="11" t="s">
        <v>3939</v>
      </c>
      <c r="D1848" s="11" t="s">
        <v>26</v>
      </c>
      <c r="E1848" s="11" t="s">
        <v>537</v>
      </c>
      <c r="F1848" s="11" t="s">
        <v>26</v>
      </c>
      <c r="G1848" s="11">
        <v>914</v>
      </c>
      <c r="H1848" s="12" t="s">
        <v>166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3940</v>
      </c>
      <c r="C1849" s="11" t="s">
        <v>3941</v>
      </c>
      <c r="D1849" s="11" t="s">
        <v>26</v>
      </c>
      <c r="E1849" s="11" t="s">
        <v>592</v>
      </c>
      <c r="F1849" s="11" t="s">
        <v>26</v>
      </c>
      <c r="G1849" s="11">
        <v>4600</v>
      </c>
      <c r="H1849" s="12" t="s">
        <v>4444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133</v>
      </c>
      <c r="C1850" s="11" t="s">
        <v>3942</v>
      </c>
      <c r="D1850" s="11" t="s">
        <v>26</v>
      </c>
      <c r="E1850" s="11" t="s">
        <v>227</v>
      </c>
      <c r="F1850" s="11" t="s">
        <v>26</v>
      </c>
      <c r="G1850" s="11">
        <v>55334</v>
      </c>
      <c r="H1850" s="12" t="s">
        <v>4444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458</v>
      </c>
      <c r="C1851" s="11" t="s">
        <v>3943</v>
      </c>
      <c r="D1851" s="11" t="s">
        <v>26</v>
      </c>
      <c r="E1851" s="11" t="s">
        <v>421</v>
      </c>
      <c r="F1851" s="11" t="s">
        <v>26</v>
      </c>
      <c r="G1851" s="11">
        <v>913</v>
      </c>
      <c r="H1851" s="12" t="s">
        <v>166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452</v>
      </c>
      <c r="C1852" s="11" t="s">
        <v>3944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569</v>
      </c>
      <c r="K1852" s="12" t="s">
        <v>553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3945</v>
      </c>
      <c r="C1853" s="11" t="s">
        <v>3946</v>
      </c>
      <c r="D1853" s="11" t="s">
        <v>26</v>
      </c>
      <c r="E1853" s="11" t="s">
        <v>509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3947</v>
      </c>
      <c r="C1854" s="11" t="s">
        <v>3948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568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201</v>
      </c>
      <c r="C1855" s="11" t="s">
        <v>3949</v>
      </c>
      <c r="D1855" s="11" t="s">
        <v>26</v>
      </c>
      <c r="E1855" s="11" t="s">
        <v>1221</v>
      </c>
      <c r="F1855" s="11" t="s">
        <v>26</v>
      </c>
      <c r="G1855" s="11">
        <v>2566</v>
      </c>
      <c r="H1855" s="12" t="s">
        <v>166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255</v>
      </c>
      <c r="C1856" s="11" t="s">
        <v>3950</v>
      </c>
      <c r="D1856" s="11" t="s">
        <v>26</v>
      </c>
      <c r="E1856" s="11" t="s">
        <v>564</v>
      </c>
      <c r="F1856" s="11" t="s">
        <v>26</v>
      </c>
      <c r="G1856" s="11">
        <v>112380</v>
      </c>
      <c r="H1856" s="12" t="s">
        <v>4468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3951</v>
      </c>
      <c r="C1857" s="11" t="s">
        <v>3952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4468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3953</v>
      </c>
      <c r="C1858" s="11" t="s">
        <v>3954</v>
      </c>
      <c r="D1858" s="11" t="s">
        <v>26</v>
      </c>
      <c r="E1858" s="11" t="s">
        <v>249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569</v>
      </c>
      <c r="K1858" s="12" t="s">
        <v>553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3955</v>
      </c>
      <c r="C1859" s="11" t="s">
        <v>3956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4471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3957</v>
      </c>
      <c r="C1860" s="11" t="s">
        <v>3958</v>
      </c>
      <c r="D1860" s="11" t="s">
        <v>26</v>
      </c>
      <c r="E1860" s="11" t="s">
        <v>3959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392</v>
      </c>
      <c r="C1861" s="11" t="s">
        <v>3960</v>
      </c>
      <c r="D1861" s="11" t="s">
        <v>26</v>
      </c>
      <c r="E1861" s="11" t="s">
        <v>447</v>
      </c>
      <c r="F1861" s="11" t="s">
        <v>26</v>
      </c>
      <c r="G1861" s="11">
        <v>2103</v>
      </c>
      <c r="H1861" s="12" t="s">
        <v>4471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196</v>
      </c>
      <c r="C1862" s="11" t="s">
        <v>3961</v>
      </c>
      <c r="D1862" s="11" t="s">
        <v>26</v>
      </c>
      <c r="E1862" s="11" t="s">
        <v>438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3962</v>
      </c>
      <c r="C1863" s="11" t="s">
        <v>3963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143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3964</v>
      </c>
      <c r="C1864" s="11" t="s">
        <v>3965</v>
      </c>
      <c r="D1864" s="11" t="s">
        <v>26</v>
      </c>
      <c r="E1864" s="11" t="s">
        <v>2147</v>
      </c>
      <c r="F1864" s="11" t="s">
        <v>26</v>
      </c>
      <c r="G1864" s="11">
        <v>112379</v>
      </c>
      <c r="H1864" s="12" t="s">
        <v>4468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3966</v>
      </c>
      <c r="C1865" s="11" t="s">
        <v>3967</v>
      </c>
      <c r="D1865" s="11" t="s">
        <v>26</v>
      </c>
      <c r="E1865" s="11" t="s">
        <v>596</v>
      </c>
      <c r="F1865" s="11" t="s">
        <v>26</v>
      </c>
      <c r="G1865" s="11">
        <v>44308</v>
      </c>
      <c r="H1865" s="12" t="s">
        <v>4444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3968</v>
      </c>
      <c r="C1866" s="11" t="s">
        <v>3969</v>
      </c>
      <c r="D1866" s="11" t="s">
        <v>26</v>
      </c>
      <c r="E1866" s="11" t="s">
        <v>486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569</v>
      </c>
      <c r="K1866" s="12" t="s">
        <v>553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3970</v>
      </c>
      <c r="C1867" s="11" t="s">
        <v>3971</v>
      </c>
      <c r="D1867" s="11" t="s">
        <v>26</v>
      </c>
      <c r="E1867" s="11" t="s">
        <v>534</v>
      </c>
      <c r="F1867" s="11" t="s">
        <v>26</v>
      </c>
      <c r="G1867" s="11">
        <v>912</v>
      </c>
      <c r="H1867" s="12" t="s">
        <v>166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3972</v>
      </c>
      <c r="C1868" s="11" t="s">
        <v>3973</v>
      </c>
      <c r="D1868" s="11" t="s">
        <v>26</v>
      </c>
      <c r="E1868" s="11" t="s">
        <v>186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231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3974</v>
      </c>
      <c r="C1869" s="11" t="s">
        <v>3975</v>
      </c>
      <c r="D1869" s="11" t="s">
        <v>26</v>
      </c>
      <c r="E1869" s="11" t="s">
        <v>562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231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3402</v>
      </c>
      <c r="C1870" s="11" t="s">
        <v>3976</v>
      </c>
      <c r="D1870" s="11" t="s">
        <v>26</v>
      </c>
      <c r="E1870" s="11" t="s">
        <v>3959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3977</v>
      </c>
      <c r="C1871" s="11" t="s">
        <v>3978</v>
      </c>
      <c r="D1871" s="11" t="s">
        <v>26</v>
      </c>
      <c r="E1871" s="11" t="s">
        <v>1672</v>
      </c>
      <c r="F1871" s="11" t="s">
        <v>26</v>
      </c>
      <c r="G1871" s="11">
        <v>42269</v>
      </c>
      <c r="H1871" s="12" t="s">
        <v>568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3979</v>
      </c>
      <c r="C1872" s="11" t="s">
        <v>3980</v>
      </c>
      <c r="D1872" s="11" t="s">
        <v>26</v>
      </c>
      <c r="E1872" s="11" t="s">
        <v>572</v>
      </c>
      <c r="F1872" s="11" t="s">
        <v>26</v>
      </c>
      <c r="G1872" s="11">
        <v>112189</v>
      </c>
      <c r="H1872" s="12" t="s">
        <v>4468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3981</v>
      </c>
      <c r="C1873" s="11" t="s">
        <v>3982</v>
      </c>
      <c r="D1873" s="11" t="s">
        <v>26</v>
      </c>
      <c r="E1873" s="11" t="s">
        <v>574</v>
      </c>
      <c r="F1873" s="11" t="s">
        <v>26</v>
      </c>
      <c r="G1873" s="11">
        <v>111943</v>
      </c>
      <c r="H1873" s="12" t="s">
        <v>4468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3983</v>
      </c>
      <c r="C1874" s="11" t="s">
        <v>3984</v>
      </c>
      <c r="D1874" s="11" t="s">
        <v>26</v>
      </c>
      <c r="E1874" s="11" t="s">
        <v>233</v>
      </c>
      <c r="F1874" s="11" t="s">
        <v>26</v>
      </c>
      <c r="G1874" s="11" t="s">
        <v>26</v>
      </c>
      <c r="H1874" s="12" t="s">
        <v>4443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568</v>
      </c>
      <c r="AA1874" s="12" t="s">
        <v>78</v>
      </c>
    </row>
    <row r="1875" spans="1:27" x14ac:dyDescent="0.25">
      <c r="A1875" s="10">
        <v>45685</v>
      </c>
      <c r="B1875" s="11" t="s">
        <v>3985</v>
      </c>
      <c r="C1875" s="11" t="s">
        <v>3986</v>
      </c>
      <c r="D1875" s="11" t="s">
        <v>26</v>
      </c>
      <c r="E1875" s="11" t="s">
        <v>1681</v>
      </c>
      <c r="F1875" s="11" t="s">
        <v>26</v>
      </c>
      <c r="G1875" s="11">
        <v>42275</v>
      </c>
      <c r="H1875" s="12" t="s">
        <v>568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3987</v>
      </c>
      <c r="C1876" s="11" t="s">
        <v>3988</v>
      </c>
      <c r="D1876" s="11" t="s">
        <v>26</v>
      </c>
      <c r="E1876" s="11" t="s">
        <v>555</v>
      </c>
      <c r="F1876" s="11" t="s">
        <v>26</v>
      </c>
      <c r="G1876" s="11">
        <v>69138</v>
      </c>
      <c r="H1876" s="12" t="s">
        <v>4444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3989</v>
      </c>
      <c r="C1877" s="11" t="s">
        <v>3990</v>
      </c>
      <c r="D1877" s="11" t="s">
        <v>26</v>
      </c>
      <c r="E1877" s="11" t="s">
        <v>532</v>
      </c>
      <c r="F1877" s="11" t="s">
        <v>26</v>
      </c>
      <c r="G1877" s="11">
        <v>918</v>
      </c>
      <c r="H1877" s="12" t="s">
        <v>166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3991</v>
      </c>
      <c r="C1878" s="11" t="s">
        <v>3992</v>
      </c>
      <c r="D1878" s="11" t="s">
        <v>26</v>
      </c>
      <c r="E1878" s="11" t="s">
        <v>537</v>
      </c>
      <c r="F1878" s="11" t="s">
        <v>26</v>
      </c>
      <c r="G1878" s="11">
        <v>911</v>
      </c>
      <c r="H1878" s="12" t="s">
        <v>166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3993</v>
      </c>
      <c r="C1879" s="11" t="s">
        <v>3994</v>
      </c>
      <c r="D1879" s="11" t="s">
        <v>26</v>
      </c>
      <c r="E1879" s="11" t="s">
        <v>509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664</v>
      </c>
      <c r="C1880" s="11" t="s">
        <v>3995</v>
      </c>
      <c r="D1880" s="11" t="s">
        <v>26</v>
      </c>
      <c r="E1880" s="11" t="s">
        <v>227</v>
      </c>
      <c r="F1880" s="11" t="s">
        <v>26</v>
      </c>
      <c r="G1880" s="11">
        <v>55336</v>
      </c>
      <c r="H1880" s="12" t="s">
        <v>4444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3996</v>
      </c>
      <c r="C1881" s="11" t="s">
        <v>3997</v>
      </c>
      <c r="D1881" s="11" t="s">
        <v>26</v>
      </c>
      <c r="E1881" s="11" t="s">
        <v>101</v>
      </c>
      <c r="F1881" s="11" t="s">
        <v>26</v>
      </c>
      <c r="G1881" s="11">
        <v>21735</v>
      </c>
      <c r="H1881" s="12" t="s">
        <v>4470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3996</v>
      </c>
      <c r="C1882" s="11" t="s">
        <v>3998</v>
      </c>
      <c r="D1882" s="11" t="s">
        <v>26</v>
      </c>
      <c r="E1882" s="11" t="s">
        <v>499</v>
      </c>
      <c r="F1882" s="11" t="s">
        <v>26</v>
      </c>
      <c r="G1882" s="11">
        <v>22914</v>
      </c>
      <c r="H1882" s="12" t="s">
        <v>4470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1178</v>
      </c>
      <c r="C1883" s="11" t="s">
        <v>3999</v>
      </c>
      <c r="D1883" s="11" t="s">
        <v>26</v>
      </c>
      <c r="E1883" s="11" t="s">
        <v>556</v>
      </c>
      <c r="F1883" s="11" t="s">
        <v>26</v>
      </c>
      <c r="G1883" s="11">
        <v>4666</v>
      </c>
      <c r="H1883" s="12" t="s">
        <v>4444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266</v>
      </c>
      <c r="C1884" s="11" t="s">
        <v>4000</v>
      </c>
      <c r="D1884" s="11" t="s">
        <v>26</v>
      </c>
      <c r="E1884" s="11" t="s">
        <v>486</v>
      </c>
      <c r="F1884" s="11" t="s">
        <v>26</v>
      </c>
      <c r="G1884" s="11" t="s">
        <v>26</v>
      </c>
      <c r="H1884" s="12" t="s">
        <v>4443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4001</v>
      </c>
      <c r="C1885" s="11" t="s">
        <v>4002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166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111</v>
      </c>
      <c r="C1886" s="11" t="s">
        <v>4003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4443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4004</v>
      </c>
      <c r="C1887" s="11" t="s">
        <v>4005</v>
      </c>
      <c r="D1887" s="11" t="s">
        <v>26</v>
      </c>
      <c r="E1887" s="11" t="s">
        <v>509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4006</v>
      </c>
      <c r="C1888" s="11" t="s">
        <v>4007</v>
      </c>
      <c r="D1888" s="11" t="s">
        <v>26</v>
      </c>
      <c r="E1888" s="11" t="s">
        <v>542</v>
      </c>
      <c r="F1888" s="11" t="s">
        <v>26</v>
      </c>
      <c r="G1888" s="11" t="s">
        <v>26</v>
      </c>
      <c r="H1888" s="12" t="s">
        <v>4443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3920</v>
      </c>
      <c r="C1889" s="11" t="s">
        <v>4008</v>
      </c>
      <c r="D1889" s="11" t="s">
        <v>26</v>
      </c>
      <c r="E1889" s="11" t="s">
        <v>249</v>
      </c>
      <c r="F1889" s="11" t="s">
        <v>26</v>
      </c>
      <c r="G1889" s="11" t="s">
        <v>26</v>
      </c>
      <c r="H1889" s="12" t="s">
        <v>4443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4009</v>
      </c>
      <c r="C1890" s="11" t="s">
        <v>4010</v>
      </c>
      <c r="D1890" s="11" t="s">
        <v>26</v>
      </c>
      <c r="E1890" s="11" t="s">
        <v>2130</v>
      </c>
      <c r="F1890" s="11" t="s">
        <v>26</v>
      </c>
      <c r="G1890" s="11">
        <v>10612</v>
      </c>
      <c r="H1890" s="12" t="s">
        <v>143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4011</v>
      </c>
      <c r="C1891" s="11" t="s">
        <v>4012</v>
      </c>
      <c r="D1891" s="11" t="s">
        <v>26</v>
      </c>
      <c r="E1891" s="11" t="s">
        <v>438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4013</v>
      </c>
      <c r="C1892" s="11" t="s">
        <v>4014</v>
      </c>
      <c r="D1892" s="11" t="s">
        <v>26</v>
      </c>
      <c r="E1892" s="11" t="s">
        <v>532</v>
      </c>
      <c r="F1892" s="11" t="s">
        <v>26</v>
      </c>
      <c r="G1892" s="11">
        <v>910</v>
      </c>
      <c r="H1892" s="12" t="s">
        <v>166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4015</v>
      </c>
      <c r="C1893" s="11" t="s">
        <v>4016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4017</v>
      </c>
      <c r="C1894" s="11" t="s">
        <v>4018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4443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4019</v>
      </c>
      <c r="C1895" s="11" t="s">
        <v>4020</v>
      </c>
      <c r="D1895" s="11" t="s">
        <v>26</v>
      </c>
      <c r="E1895" s="11" t="s">
        <v>1221</v>
      </c>
      <c r="F1895" s="11" t="s">
        <v>26</v>
      </c>
      <c r="G1895" s="11">
        <v>2567</v>
      </c>
      <c r="H1895" s="12" t="s">
        <v>166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1219</v>
      </c>
      <c r="C1896" s="11" t="s">
        <v>4021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1930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4022</v>
      </c>
      <c r="C1897" s="11" t="s">
        <v>4023</v>
      </c>
      <c r="D1897" s="11" t="s">
        <v>26</v>
      </c>
      <c r="E1897" s="11" t="s">
        <v>99</v>
      </c>
      <c r="F1897" s="11" t="s">
        <v>26</v>
      </c>
      <c r="G1897" s="11">
        <v>10702</v>
      </c>
      <c r="H1897" s="12" t="s">
        <v>143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2759</v>
      </c>
      <c r="C1898" s="11" t="s">
        <v>4024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4471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4025</v>
      </c>
      <c r="C1899" s="11" t="s">
        <v>4026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1930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4027</v>
      </c>
      <c r="C1900" s="11" t="s">
        <v>4028</v>
      </c>
      <c r="D1900" s="11" t="s">
        <v>26</v>
      </c>
      <c r="E1900" s="11" t="s">
        <v>243</v>
      </c>
      <c r="F1900" s="11" t="s">
        <v>26</v>
      </c>
      <c r="G1900" s="11" t="s">
        <v>26</v>
      </c>
      <c r="H1900" s="12" t="s">
        <v>149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4029</v>
      </c>
      <c r="C1901" s="11" t="s">
        <v>4030</v>
      </c>
      <c r="D1901" s="11" t="s">
        <v>26</v>
      </c>
      <c r="E1901" s="11" t="s">
        <v>592</v>
      </c>
      <c r="F1901" s="11" t="s">
        <v>26</v>
      </c>
      <c r="G1901" s="11">
        <v>52647</v>
      </c>
      <c r="H1901" s="12" t="s">
        <v>4444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4031</v>
      </c>
      <c r="C1902" s="11" t="s">
        <v>4032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143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4033</v>
      </c>
      <c r="C1903" s="11" t="s">
        <v>4034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4470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4035</v>
      </c>
      <c r="C1904" s="11" t="s">
        <v>4036</v>
      </c>
      <c r="D1904" s="11" t="s">
        <v>26</v>
      </c>
      <c r="E1904" s="11" t="s">
        <v>523</v>
      </c>
      <c r="F1904" s="11" t="s">
        <v>26</v>
      </c>
      <c r="G1904" s="11">
        <v>4382</v>
      </c>
      <c r="H1904" s="12" t="s">
        <v>143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4037</v>
      </c>
      <c r="C1905" s="11" t="s">
        <v>4038</v>
      </c>
      <c r="D1905" s="11" t="s">
        <v>26</v>
      </c>
      <c r="E1905" s="11" t="s">
        <v>537</v>
      </c>
      <c r="F1905" s="11" t="s">
        <v>26</v>
      </c>
      <c r="G1905" s="11">
        <v>2574</v>
      </c>
      <c r="H1905" s="12" t="s">
        <v>166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4039</v>
      </c>
      <c r="C1906" s="11" t="s">
        <v>4040</v>
      </c>
      <c r="D1906" s="11" t="s">
        <v>26</v>
      </c>
      <c r="E1906" s="11" t="s">
        <v>421</v>
      </c>
      <c r="F1906" s="11" t="s">
        <v>26</v>
      </c>
      <c r="G1906" s="11">
        <v>2573</v>
      </c>
      <c r="H1906" s="12" t="s">
        <v>166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682</v>
      </c>
      <c r="C1907" s="11" t="s">
        <v>4041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143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4042</v>
      </c>
      <c r="C1908" s="11" t="s">
        <v>4043</v>
      </c>
      <c r="D1908" s="11" t="s">
        <v>26</v>
      </c>
      <c r="E1908" s="11" t="s">
        <v>596</v>
      </c>
      <c r="F1908" s="11" t="s">
        <v>26</v>
      </c>
      <c r="G1908" s="11">
        <v>44309</v>
      </c>
      <c r="H1908" s="12" t="s">
        <v>4444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4044</v>
      </c>
      <c r="C1909" s="11" t="s">
        <v>4045</v>
      </c>
      <c r="D1909" s="11" t="s">
        <v>26</v>
      </c>
      <c r="E1909" s="11" t="s">
        <v>573</v>
      </c>
      <c r="F1909" s="11" t="s">
        <v>26</v>
      </c>
      <c r="G1909" s="11">
        <v>10338</v>
      </c>
      <c r="H1909" s="12" t="s">
        <v>143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205</v>
      </c>
      <c r="C1910" s="11" t="s">
        <v>4046</v>
      </c>
      <c r="D1910" s="11" t="s">
        <v>26</v>
      </c>
      <c r="E1910" s="11" t="s">
        <v>486</v>
      </c>
      <c r="F1910" s="11" t="s">
        <v>26</v>
      </c>
      <c r="G1910" s="11" t="s">
        <v>26</v>
      </c>
      <c r="H1910" s="12" t="s">
        <v>149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4047</v>
      </c>
      <c r="C1911" s="11" t="s">
        <v>4048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4468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622</v>
      </c>
      <c r="C1912" s="11" t="s">
        <v>4049</v>
      </c>
      <c r="D1912" s="11" t="s">
        <v>26</v>
      </c>
      <c r="E1912" s="11" t="s">
        <v>447</v>
      </c>
      <c r="F1912" s="11" t="s">
        <v>26</v>
      </c>
      <c r="G1912" s="11">
        <v>2104</v>
      </c>
      <c r="H1912" s="12" t="s">
        <v>4471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730</v>
      </c>
      <c r="C1913" s="11" t="s">
        <v>4050</v>
      </c>
      <c r="D1913" s="11" t="s">
        <v>26</v>
      </c>
      <c r="E1913" s="11" t="s">
        <v>227</v>
      </c>
      <c r="F1913" s="11" t="s">
        <v>26</v>
      </c>
      <c r="G1913" s="11">
        <v>55337</v>
      </c>
      <c r="H1913" s="12" t="s">
        <v>4444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344</v>
      </c>
      <c r="C1914" s="11" t="s">
        <v>4051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4471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318</v>
      </c>
      <c r="C1915" s="11" t="s">
        <v>4052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166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4053</v>
      </c>
      <c r="C1916" s="11" t="s">
        <v>4054</v>
      </c>
      <c r="D1916" s="11" t="s">
        <v>26</v>
      </c>
      <c r="E1916" s="11" t="s">
        <v>90</v>
      </c>
      <c r="F1916" s="11" t="s">
        <v>26</v>
      </c>
      <c r="G1916" s="11">
        <v>60465</v>
      </c>
      <c r="H1916" s="12" t="s">
        <v>4444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461</v>
      </c>
      <c r="C1917" s="11" t="s">
        <v>4055</v>
      </c>
      <c r="D1917" s="11" t="s">
        <v>26</v>
      </c>
      <c r="E1917" s="11" t="s">
        <v>1672</v>
      </c>
      <c r="F1917" s="11" t="s">
        <v>26</v>
      </c>
      <c r="G1917" s="11">
        <v>42276</v>
      </c>
      <c r="H1917" s="12" t="s">
        <v>568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4056</v>
      </c>
      <c r="C1918" s="11" t="s">
        <v>4057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568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4058</v>
      </c>
      <c r="C1919" s="11" t="s">
        <v>4059</v>
      </c>
      <c r="D1919" s="11" t="s">
        <v>26</v>
      </c>
      <c r="E1919" s="11" t="s">
        <v>483</v>
      </c>
      <c r="F1919" s="11" t="s">
        <v>26</v>
      </c>
      <c r="G1919" s="11">
        <v>70401</v>
      </c>
      <c r="H1919" s="12" t="s">
        <v>4470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4060</v>
      </c>
      <c r="C1920" s="11" t="s">
        <v>4061</v>
      </c>
      <c r="D1920" s="11" t="s">
        <v>26</v>
      </c>
      <c r="E1920" s="11" t="s">
        <v>233</v>
      </c>
      <c r="F1920" s="11" t="s">
        <v>26</v>
      </c>
      <c r="G1920" s="11">
        <v>23148</v>
      </c>
      <c r="H1920" s="12" t="s">
        <v>568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418</v>
      </c>
      <c r="C1921" s="11" t="s">
        <v>4062</v>
      </c>
      <c r="D1921" s="11" t="s">
        <v>26</v>
      </c>
      <c r="E1921" s="11" t="s">
        <v>497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4063</v>
      </c>
      <c r="C1922" s="11" t="s">
        <v>4064</v>
      </c>
      <c r="D1922" s="11" t="s">
        <v>26</v>
      </c>
      <c r="E1922" s="11" t="s">
        <v>443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308</v>
      </c>
      <c r="C1923" s="11" t="s">
        <v>4065</v>
      </c>
      <c r="D1923" s="11" t="s">
        <v>26</v>
      </c>
      <c r="E1923" s="11" t="s">
        <v>3959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420</v>
      </c>
      <c r="C1924" s="11" t="s">
        <v>4066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4443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4067</v>
      </c>
      <c r="C1925" s="11" t="s">
        <v>4068</v>
      </c>
      <c r="D1925" s="11" t="s">
        <v>26</v>
      </c>
      <c r="E1925" s="11" t="s">
        <v>484</v>
      </c>
      <c r="F1925" s="11" t="s">
        <v>26</v>
      </c>
      <c r="G1925" s="11">
        <v>73994</v>
      </c>
      <c r="H1925" s="12" t="s">
        <v>4470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4069</v>
      </c>
      <c r="C1926" s="11" t="s">
        <v>4070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291</v>
      </c>
      <c r="C1927" s="11" t="s">
        <v>4071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288</v>
      </c>
      <c r="C1928" s="11" t="s">
        <v>4072</v>
      </c>
      <c r="D1928" s="11" t="s">
        <v>26</v>
      </c>
      <c r="E1928" s="11" t="s">
        <v>243</v>
      </c>
      <c r="F1928" s="11" t="s">
        <v>26</v>
      </c>
      <c r="G1928" s="11" t="s">
        <v>26</v>
      </c>
      <c r="H1928" s="12" t="s">
        <v>149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4073</v>
      </c>
      <c r="C1929" s="11" t="s">
        <v>4074</v>
      </c>
      <c r="D1929" s="11" t="s">
        <v>26</v>
      </c>
      <c r="E1929" s="11" t="s">
        <v>447</v>
      </c>
      <c r="F1929" s="11" t="s">
        <v>26</v>
      </c>
      <c r="G1929" s="11">
        <v>2105</v>
      </c>
      <c r="H1929" s="12" t="s">
        <v>4471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4075</v>
      </c>
      <c r="C1930" s="11" t="s">
        <v>4076</v>
      </c>
      <c r="D1930" s="11" t="s">
        <v>26</v>
      </c>
      <c r="E1930" s="11" t="s">
        <v>555</v>
      </c>
      <c r="F1930" s="11" t="s">
        <v>26</v>
      </c>
      <c r="G1930" s="11">
        <v>69139</v>
      </c>
      <c r="H1930" s="12" t="s">
        <v>4444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2471</v>
      </c>
      <c r="C1931" s="11" t="s">
        <v>4077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1930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3084</v>
      </c>
      <c r="C1932" s="11" t="s">
        <v>4078</v>
      </c>
      <c r="D1932" s="11" t="s">
        <v>26</v>
      </c>
      <c r="E1932" s="11" t="s">
        <v>509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4079</v>
      </c>
      <c r="C1933" s="11" t="s">
        <v>4080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4471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1254</v>
      </c>
      <c r="C1934" s="11" t="s">
        <v>4081</v>
      </c>
      <c r="D1934" s="11" t="s">
        <v>26</v>
      </c>
      <c r="E1934" s="11" t="s">
        <v>3959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4082</v>
      </c>
      <c r="C1935" s="11" t="s">
        <v>4083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560</v>
      </c>
      <c r="K1935" s="12" t="s">
        <v>561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306</v>
      </c>
      <c r="C1936" s="11" t="s">
        <v>4084</v>
      </c>
      <c r="D1936" s="11" t="s">
        <v>26</v>
      </c>
      <c r="E1936" s="11" t="s">
        <v>522</v>
      </c>
      <c r="F1936" s="11" t="s">
        <v>26</v>
      </c>
      <c r="G1936" s="11">
        <v>21764</v>
      </c>
      <c r="H1936" s="12" t="s">
        <v>4470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4085</v>
      </c>
      <c r="C1937" s="11" t="s">
        <v>4086</v>
      </c>
      <c r="D1937" s="11" t="s">
        <v>26</v>
      </c>
      <c r="E1937" s="11" t="s">
        <v>325</v>
      </c>
      <c r="F1937" s="11" t="s">
        <v>26</v>
      </c>
      <c r="G1937" s="11">
        <v>112385</v>
      </c>
      <c r="H1937" s="12" t="s">
        <v>4468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4087</v>
      </c>
      <c r="C1938" s="11" t="s">
        <v>4088</v>
      </c>
      <c r="D1938" s="11" t="s">
        <v>26</v>
      </c>
      <c r="E1938" s="11" t="s">
        <v>98</v>
      </c>
      <c r="F1938" s="11" t="s">
        <v>26</v>
      </c>
      <c r="G1938" s="11">
        <v>9851</v>
      </c>
      <c r="H1938" s="12" t="s">
        <v>4469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462</v>
      </c>
      <c r="C1939" s="11" t="s">
        <v>4089</v>
      </c>
      <c r="D1939" s="11" t="s">
        <v>26</v>
      </c>
      <c r="E1939" s="11" t="s">
        <v>542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4090</v>
      </c>
      <c r="C1940" s="11" t="s">
        <v>4091</v>
      </c>
      <c r="D1940" s="11" t="s">
        <v>26</v>
      </c>
      <c r="E1940" s="11" t="s">
        <v>1681</v>
      </c>
      <c r="F1940" s="11" t="s">
        <v>26</v>
      </c>
      <c r="G1940" s="11">
        <v>42270</v>
      </c>
      <c r="H1940" s="12" t="s">
        <v>568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4092</v>
      </c>
      <c r="C1941" s="11" t="s">
        <v>4093</v>
      </c>
      <c r="D1941" s="11" t="s">
        <v>26</v>
      </c>
      <c r="E1941" s="11" t="s">
        <v>249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4094</v>
      </c>
      <c r="C1942" s="11" t="s">
        <v>4095</v>
      </c>
      <c r="D1942" s="11" t="s">
        <v>26</v>
      </c>
      <c r="E1942" s="11" t="s">
        <v>1221</v>
      </c>
      <c r="F1942" s="11" t="s">
        <v>26</v>
      </c>
      <c r="G1942" s="11">
        <v>2575</v>
      </c>
      <c r="H1942" s="12" t="s">
        <v>166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4096</v>
      </c>
      <c r="C1943" s="11" t="s">
        <v>4097</v>
      </c>
      <c r="D1943" s="11" t="s">
        <v>26</v>
      </c>
      <c r="E1943" s="11" t="s">
        <v>530</v>
      </c>
      <c r="F1943" s="11" t="s">
        <v>26</v>
      </c>
      <c r="G1943" s="11">
        <v>2572</v>
      </c>
      <c r="H1943" s="12" t="s">
        <v>166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2837</v>
      </c>
      <c r="C1944" s="11" t="s">
        <v>4098</v>
      </c>
      <c r="D1944" s="11" t="s">
        <v>26</v>
      </c>
      <c r="E1944" s="11" t="s">
        <v>532</v>
      </c>
      <c r="F1944" s="11" t="s">
        <v>26</v>
      </c>
      <c r="G1944" s="11">
        <v>2571</v>
      </c>
      <c r="H1944" s="12" t="s">
        <v>166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4099</v>
      </c>
      <c r="C1945" s="11" t="s">
        <v>4100</v>
      </c>
      <c r="D1945" s="11" t="s">
        <v>26</v>
      </c>
      <c r="E1945" s="11" t="s">
        <v>3959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4053</v>
      </c>
      <c r="C1946" s="11" t="s">
        <v>4101</v>
      </c>
      <c r="D1946" s="11" t="s">
        <v>26</v>
      </c>
      <c r="E1946" s="11" t="s">
        <v>208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4102</v>
      </c>
      <c r="C1947" s="11" t="s">
        <v>4103</v>
      </c>
      <c r="D1947" s="11" t="s">
        <v>26</v>
      </c>
      <c r="E1947" s="11" t="s">
        <v>421</v>
      </c>
      <c r="F1947" s="11" t="s">
        <v>26</v>
      </c>
      <c r="G1947" s="11">
        <v>2570</v>
      </c>
      <c r="H1947" s="12" t="s">
        <v>166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4104</v>
      </c>
      <c r="C1948" s="11" t="s">
        <v>4105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388</v>
      </c>
      <c r="C1949" s="11" t="s">
        <v>4106</v>
      </c>
      <c r="D1949" s="11" t="s">
        <v>26</v>
      </c>
      <c r="E1949" s="11" t="s">
        <v>102</v>
      </c>
      <c r="F1949" s="11" t="s">
        <v>26</v>
      </c>
      <c r="G1949" s="11">
        <v>69245</v>
      </c>
      <c r="H1949" s="12" t="s">
        <v>4444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3310</v>
      </c>
      <c r="C1950" s="11" t="s">
        <v>4107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4108</v>
      </c>
      <c r="C1951" s="11" t="s">
        <v>4109</v>
      </c>
      <c r="D1951" s="11" t="s">
        <v>26</v>
      </c>
      <c r="E1951" s="11" t="s">
        <v>570</v>
      </c>
      <c r="F1951" s="11" t="s">
        <v>26</v>
      </c>
      <c r="G1951" s="11">
        <v>112389</v>
      </c>
      <c r="H1951" s="12" t="s">
        <v>4468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727</v>
      </c>
      <c r="C1952" s="11" t="s">
        <v>4110</v>
      </c>
      <c r="D1952" s="11" t="s">
        <v>26</v>
      </c>
      <c r="E1952" s="11" t="s">
        <v>554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407</v>
      </c>
      <c r="C1953" s="11" t="s">
        <v>4111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4471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422</v>
      </c>
      <c r="C1954" s="11" t="s">
        <v>4112</v>
      </c>
      <c r="D1954" s="11" t="s">
        <v>26</v>
      </c>
      <c r="E1954" s="11" t="s">
        <v>3959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4113</v>
      </c>
      <c r="C1955" s="11" t="s">
        <v>4114</v>
      </c>
      <c r="D1955" s="11" t="s">
        <v>26</v>
      </c>
      <c r="E1955" s="11" t="s">
        <v>537</v>
      </c>
      <c r="F1955" s="11" t="s">
        <v>26</v>
      </c>
      <c r="G1955" s="11">
        <v>2569</v>
      </c>
      <c r="H1955" s="12" t="s">
        <v>166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354</v>
      </c>
      <c r="C1956" s="11" t="s">
        <v>4115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568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4116</v>
      </c>
      <c r="C1957" s="11" t="s">
        <v>4117</v>
      </c>
      <c r="D1957" s="11" t="s">
        <v>26</v>
      </c>
      <c r="E1957" s="11" t="s">
        <v>447</v>
      </c>
      <c r="F1957" s="11" t="s">
        <v>26</v>
      </c>
      <c r="G1957" s="11">
        <v>2106</v>
      </c>
      <c r="H1957" s="12" t="s">
        <v>4471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4118</v>
      </c>
      <c r="C1958" s="11" t="s">
        <v>4119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1685</v>
      </c>
      <c r="C1959" s="11" t="s">
        <v>4120</v>
      </c>
      <c r="D1959" s="11" t="s">
        <v>26</v>
      </c>
      <c r="E1959" s="11" t="s">
        <v>3959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4121</v>
      </c>
      <c r="C1960" s="11" t="s">
        <v>4122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143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285</v>
      </c>
      <c r="C1961" s="11" t="s">
        <v>4123</v>
      </c>
      <c r="D1961" s="11" t="s">
        <v>26</v>
      </c>
      <c r="E1961" s="11" t="s">
        <v>483</v>
      </c>
      <c r="F1961" s="11" t="s">
        <v>26</v>
      </c>
      <c r="G1961" s="11">
        <v>70402</v>
      </c>
      <c r="H1961" s="12" t="s">
        <v>4470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4124</v>
      </c>
      <c r="C1962" s="11" t="s">
        <v>4125</v>
      </c>
      <c r="D1962" s="11" t="s">
        <v>26</v>
      </c>
      <c r="E1962" s="11" t="s">
        <v>596</v>
      </c>
      <c r="F1962" s="11" t="s">
        <v>26</v>
      </c>
      <c r="G1962" s="11">
        <v>44310</v>
      </c>
      <c r="H1962" s="12" t="s">
        <v>4444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386</v>
      </c>
      <c r="C1963" s="11" t="s">
        <v>4126</v>
      </c>
      <c r="D1963" s="11" t="s">
        <v>26</v>
      </c>
      <c r="E1963" s="11" t="s">
        <v>573</v>
      </c>
      <c r="F1963" s="11" t="s">
        <v>26</v>
      </c>
      <c r="G1963" s="11">
        <v>10339</v>
      </c>
      <c r="H1963" s="12" t="s">
        <v>143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4127</v>
      </c>
      <c r="C1964" s="11" t="s">
        <v>4128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1930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472</v>
      </c>
      <c r="C1965" s="11" t="s">
        <v>4129</v>
      </c>
      <c r="D1965" s="11" t="s">
        <v>26</v>
      </c>
      <c r="E1965" s="11" t="s">
        <v>1221</v>
      </c>
      <c r="F1965" s="11" t="s">
        <v>26</v>
      </c>
      <c r="G1965" s="11">
        <v>2576</v>
      </c>
      <c r="H1965" s="12" t="s">
        <v>166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4130</v>
      </c>
      <c r="C1966" s="11" t="s">
        <v>4131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166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636</v>
      </c>
      <c r="C1967" s="11" t="s">
        <v>4132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1930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340</v>
      </c>
      <c r="C1968" s="11" t="s">
        <v>4133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4471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4134</v>
      </c>
      <c r="C1969" s="11" t="s">
        <v>4135</v>
      </c>
      <c r="D1969" s="11" t="s">
        <v>26</v>
      </c>
      <c r="E1969" s="11" t="s">
        <v>227</v>
      </c>
      <c r="F1969" s="11" t="s">
        <v>26</v>
      </c>
      <c r="G1969" s="11">
        <v>55338</v>
      </c>
      <c r="H1969" s="12" t="s">
        <v>4444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3747</v>
      </c>
      <c r="C1970" s="11" t="s">
        <v>4136</v>
      </c>
      <c r="D1970" s="11" t="s">
        <v>26</v>
      </c>
      <c r="E1970" s="11" t="s">
        <v>447</v>
      </c>
      <c r="F1970" s="11" t="s">
        <v>26</v>
      </c>
      <c r="G1970" s="11">
        <v>2107</v>
      </c>
      <c r="H1970" s="12" t="s">
        <v>4471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132</v>
      </c>
      <c r="C1971" s="11" t="s">
        <v>4137</v>
      </c>
      <c r="D1971" s="11" t="s">
        <v>26</v>
      </c>
      <c r="E1971" s="11" t="s">
        <v>3959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293</v>
      </c>
      <c r="C1972" s="11" t="s">
        <v>4138</v>
      </c>
      <c r="D1972" s="11" t="s">
        <v>26</v>
      </c>
      <c r="E1972" s="11" t="s">
        <v>243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295</v>
      </c>
      <c r="C1973" s="11" t="s">
        <v>4139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231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456</v>
      </c>
      <c r="C1974" s="11" t="s">
        <v>4140</v>
      </c>
      <c r="D1974" s="11" t="s">
        <v>26</v>
      </c>
      <c r="E1974" s="11" t="s">
        <v>241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4141</v>
      </c>
      <c r="C1975" s="11" t="s">
        <v>4142</v>
      </c>
      <c r="D1975" s="11" t="s">
        <v>26</v>
      </c>
      <c r="E1975" s="11" t="s">
        <v>186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303</v>
      </c>
      <c r="C1976" s="11" t="s">
        <v>4143</v>
      </c>
      <c r="D1976" s="11" t="s">
        <v>26</v>
      </c>
      <c r="E1976" s="11" t="s">
        <v>3959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2491</v>
      </c>
      <c r="C1977" s="11" t="s">
        <v>4144</v>
      </c>
      <c r="D1977" s="11" t="s">
        <v>26</v>
      </c>
      <c r="E1977" s="11" t="s">
        <v>542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4145</v>
      </c>
      <c r="C1978" s="11" t="s">
        <v>4146</v>
      </c>
      <c r="D1978" s="11" t="s">
        <v>26</v>
      </c>
      <c r="E1978" s="11" t="s">
        <v>249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615</v>
      </c>
      <c r="C1979" s="11" t="s">
        <v>4147</v>
      </c>
      <c r="D1979" s="11" t="s">
        <v>26</v>
      </c>
      <c r="E1979" s="11" t="s">
        <v>447</v>
      </c>
      <c r="F1979" s="11" t="s">
        <v>26</v>
      </c>
      <c r="G1979" s="11">
        <v>2108</v>
      </c>
      <c r="H1979" s="12" t="s">
        <v>4471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3519</v>
      </c>
      <c r="C1980" s="11" t="s">
        <v>4148</v>
      </c>
      <c r="D1980" s="11" t="s">
        <v>26</v>
      </c>
      <c r="E1980" s="11" t="s">
        <v>562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4149</v>
      </c>
      <c r="C1981" s="11" t="s">
        <v>4150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4151</v>
      </c>
      <c r="C1982" s="11" t="s">
        <v>4152</v>
      </c>
      <c r="D1982" s="11" t="s">
        <v>26</v>
      </c>
      <c r="E1982" s="11" t="s">
        <v>530</v>
      </c>
      <c r="F1982" s="11" t="s">
        <v>26</v>
      </c>
      <c r="G1982" s="11">
        <v>2568</v>
      </c>
      <c r="H1982" s="12" t="s">
        <v>166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4153</v>
      </c>
      <c r="C1983" s="11" t="s">
        <v>4154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314</v>
      </c>
      <c r="C1984" s="11" t="s">
        <v>4155</v>
      </c>
      <c r="D1984" s="11" t="s">
        <v>26</v>
      </c>
      <c r="E1984" s="11" t="s">
        <v>570</v>
      </c>
      <c r="F1984" s="11" t="s">
        <v>26</v>
      </c>
      <c r="G1984" s="11">
        <v>112393</v>
      </c>
      <c r="H1984" s="12" t="s">
        <v>4468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4156</v>
      </c>
      <c r="C1985" s="11" t="s">
        <v>4157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166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2913</v>
      </c>
      <c r="C1986" s="11" t="s">
        <v>4158</v>
      </c>
      <c r="D1986" s="11" t="s">
        <v>26</v>
      </c>
      <c r="E1986" s="11" t="s">
        <v>227</v>
      </c>
      <c r="F1986" s="11" t="s">
        <v>26</v>
      </c>
      <c r="G1986" s="11">
        <v>55339</v>
      </c>
      <c r="H1986" s="12" t="s">
        <v>4444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4159</v>
      </c>
      <c r="C1987" s="11" t="s">
        <v>4160</v>
      </c>
      <c r="D1987" s="11" t="s">
        <v>26</v>
      </c>
      <c r="E1987" s="11" t="s">
        <v>499</v>
      </c>
      <c r="F1987" s="11" t="s">
        <v>26</v>
      </c>
      <c r="G1987" s="11">
        <v>22915</v>
      </c>
      <c r="H1987" s="12" t="s">
        <v>4470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4161</v>
      </c>
      <c r="C1988" s="11" t="s">
        <v>4162</v>
      </c>
      <c r="D1988" s="11" t="s">
        <v>26</v>
      </c>
      <c r="E1988" s="11" t="s">
        <v>101</v>
      </c>
      <c r="F1988" s="11" t="s">
        <v>26</v>
      </c>
      <c r="G1988" s="11">
        <v>21733</v>
      </c>
      <c r="H1988" s="12" t="s">
        <v>4470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682</v>
      </c>
      <c r="C1989" s="11" t="s">
        <v>4163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4443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3676</v>
      </c>
      <c r="C1990" s="11" t="s">
        <v>4164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4156</v>
      </c>
      <c r="C1991" s="11" t="s">
        <v>4165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4443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4166</v>
      </c>
      <c r="C1992" s="11" t="s">
        <v>4167</v>
      </c>
      <c r="D1992" s="11" t="s">
        <v>26</v>
      </c>
      <c r="E1992" s="11" t="s">
        <v>542</v>
      </c>
      <c r="F1992" s="11" t="s">
        <v>26</v>
      </c>
      <c r="G1992" s="11" t="s">
        <v>26</v>
      </c>
      <c r="H1992" s="12" t="s">
        <v>4443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4168</v>
      </c>
      <c r="C1993" s="11" t="s">
        <v>4169</v>
      </c>
      <c r="D1993" s="11" t="s">
        <v>26</v>
      </c>
      <c r="E1993" s="11" t="s">
        <v>249</v>
      </c>
      <c r="F1993" s="11" t="s">
        <v>26</v>
      </c>
      <c r="G1993" s="11" t="s">
        <v>26</v>
      </c>
      <c r="H1993" s="12" t="s">
        <v>4443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4170</v>
      </c>
      <c r="C1994" s="11" t="s">
        <v>4171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4443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613</v>
      </c>
      <c r="C1995" s="11" t="s">
        <v>4172</v>
      </c>
      <c r="D1995" s="11" t="s">
        <v>26</v>
      </c>
      <c r="E1995" s="11" t="s">
        <v>485</v>
      </c>
      <c r="F1995" s="11" t="s">
        <v>26</v>
      </c>
      <c r="G1995" s="11">
        <v>74899</v>
      </c>
      <c r="H1995" s="12" t="s">
        <v>4470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113</v>
      </c>
      <c r="C1996" s="11" t="s">
        <v>4173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4443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4174</v>
      </c>
      <c r="C1997" s="11" t="s">
        <v>4175</v>
      </c>
      <c r="D1997" s="11" t="s">
        <v>26</v>
      </c>
      <c r="E1997" s="11" t="s">
        <v>3807</v>
      </c>
      <c r="F1997" s="11" t="s">
        <v>26</v>
      </c>
      <c r="G1997" s="11">
        <v>24326</v>
      </c>
      <c r="H1997" s="12" t="s">
        <v>4470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637</v>
      </c>
      <c r="C1998" s="11" t="s">
        <v>4176</v>
      </c>
      <c r="D1998" s="11" t="s">
        <v>26</v>
      </c>
      <c r="E1998" s="11" t="s">
        <v>106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4177</v>
      </c>
      <c r="C1999" s="11" t="s">
        <v>4178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4470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695</v>
      </c>
      <c r="C2000" s="11" t="s">
        <v>4179</v>
      </c>
      <c r="D2000" s="11" t="s">
        <v>26</v>
      </c>
      <c r="E2000" s="11" t="s">
        <v>596</v>
      </c>
      <c r="F2000" s="11" t="s">
        <v>26</v>
      </c>
      <c r="G2000" s="11">
        <v>44311</v>
      </c>
      <c r="H2000" s="12" t="s">
        <v>4444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4180</v>
      </c>
      <c r="C2001" s="11" t="s">
        <v>4181</v>
      </c>
      <c r="D2001" s="11" t="s">
        <v>26</v>
      </c>
      <c r="E2001" s="11" t="s">
        <v>4182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1734</v>
      </c>
      <c r="C2002" s="11" t="s">
        <v>4183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143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1381</v>
      </c>
      <c r="C2003" s="11" t="s">
        <v>4184</v>
      </c>
      <c r="D2003" s="11" t="s">
        <v>26</v>
      </c>
      <c r="E2003" s="11" t="s">
        <v>186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424</v>
      </c>
      <c r="C2004" s="11" t="s">
        <v>4185</v>
      </c>
      <c r="D2004" s="11" t="s">
        <v>26</v>
      </c>
      <c r="E2004" s="11" t="s">
        <v>3855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665</v>
      </c>
      <c r="C2005" s="11" t="s">
        <v>4186</v>
      </c>
      <c r="D2005" s="11" t="s">
        <v>26</v>
      </c>
      <c r="E2005" s="11" t="s">
        <v>92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748</v>
      </c>
      <c r="C2006" s="11" t="s">
        <v>4187</v>
      </c>
      <c r="D2006" s="11" t="s">
        <v>26</v>
      </c>
      <c r="E2006" s="11" t="s">
        <v>243</v>
      </c>
      <c r="F2006" s="11" t="s">
        <v>26</v>
      </c>
      <c r="G2006" s="11" t="s">
        <v>26</v>
      </c>
      <c r="H2006" s="12" t="s">
        <v>4443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136</v>
      </c>
      <c r="C2007" s="11" t="s">
        <v>4188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1930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104</v>
      </c>
      <c r="C2008" s="11" t="s">
        <v>4189</v>
      </c>
      <c r="D2008" s="11" t="s">
        <v>26</v>
      </c>
      <c r="E2008" s="11" t="s">
        <v>438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4190</v>
      </c>
      <c r="C2009" s="11" t="s">
        <v>4191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4192</v>
      </c>
      <c r="C2010" s="11" t="s">
        <v>4193</v>
      </c>
      <c r="D2010" s="11" t="s">
        <v>26</v>
      </c>
      <c r="E2010" s="11" t="s">
        <v>570</v>
      </c>
      <c r="F2010" s="11" t="s">
        <v>26</v>
      </c>
      <c r="G2010" s="11">
        <v>112396</v>
      </c>
      <c r="H2010" s="12" t="s">
        <v>4468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127</v>
      </c>
      <c r="C2011" s="11" t="s">
        <v>4194</v>
      </c>
      <c r="D2011" s="11" t="s">
        <v>26</v>
      </c>
      <c r="E2011" s="11" t="s">
        <v>443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693</v>
      </c>
      <c r="C2012" s="11" t="s">
        <v>4195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4468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1244</v>
      </c>
      <c r="C2013" s="11" t="s">
        <v>4196</v>
      </c>
      <c r="D2013" s="11" t="s">
        <v>26</v>
      </c>
      <c r="E2013" s="11" t="s">
        <v>1221</v>
      </c>
      <c r="F2013" s="11" t="s">
        <v>26</v>
      </c>
      <c r="G2013" s="11">
        <v>2577</v>
      </c>
      <c r="H2013" s="12" t="s">
        <v>166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4197</v>
      </c>
      <c r="C2014" s="11" t="s">
        <v>4198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673</v>
      </c>
      <c r="C2015" s="11" t="s">
        <v>4199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166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4200</v>
      </c>
      <c r="C2016" s="11" t="s">
        <v>4201</v>
      </c>
      <c r="D2016" s="11" t="s">
        <v>26</v>
      </c>
      <c r="E2016" s="11" t="s">
        <v>532</v>
      </c>
      <c r="F2016" s="11" t="s">
        <v>26</v>
      </c>
      <c r="G2016" s="11">
        <v>2578</v>
      </c>
      <c r="H2016" s="12" t="s">
        <v>166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4202</v>
      </c>
      <c r="C2017" s="11" t="s">
        <v>4203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4204</v>
      </c>
      <c r="C2018" s="11" t="s">
        <v>4205</v>
      </c>
      <c r="D2018" s="11" t="s">
        <v>26</v>
      </c>
      <c r="E2018" s="11" t="s">
        <v>421</v>
      </c>
      <c r="F2018" s="11" t="s">
        <v>26</v>
      </c>
      <c r="G2018" s="11">
        <v>2580</v>
      </c>
      <c r="H2018" s="12" t="s">
        <v>166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302</v>
      </c>
      <c r="C2019" s="11" t="s">
        <v>4206</v>
      </c>
      <c r="D2019" s="11" t="s">
        <v>26</v>
      </c>
      <c r="E2019" s="11" t="s">
        <v>542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4207</v>
      </c>
      <c r="C2020" s="11" t="s">
        <v>4208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2785</v>
      </c>
      <c r="C2021" s="11" t="s">
        <v>4209</v>
      </c>
      <c r="D2021" s="11" t="s">
        <v>26</v>
      </c>
      <c r="E2021" s="11" t="s">
        <v>537</v>
      </c>
      <c r="F2021" s="11" t="s">
        <v>26</v>
      </c>
      <c r="G2021" s="11">
        <v>2579</v>
      </c>
      <c r="H2021" s="12" t="s">
        <v>166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4210</v>
      </c>
      <c r="C2022" s="11" t="s">
        <v>4211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406</v>
      </c>
      <c r="C2023" s="11" t="s">
        <v>4212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3523</v>
      </c>
      <c r="C2024" s="11" t="s">
        <v>4213</v>
      </c>
      <c r="D2024" s="11" t="s">
        <v>26</v>
      </c>
      <c r="E2024" s="11" t="s">
        <v>249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199</v>
      </c>
      <c r="C2025" s="11" t="s">
        <v>4214</v>
      </c>
      <c r="D2025" s="11" t="s">
        <v>26</v>
      </c>
      <c r="E2025" s="11" t="s">
        <v>528</v>
      </c>
      <c r="F2025" s="11" t="s">
        <v>26</v>
      </c>
      <c r="G2025" s="11">
        <v>26334</v>
      </c>
      <c r="H2025" s="12" t="s">
        <v>4470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4215</v>
      </c>
      <c r="C2026" s="11" t="s">
        <v>4216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252</v>
      </c>
      <c r="C2027" s="11" t="s">
        <v>4217</v>
      </c>
      <c r="D2027" s="11" t="s">
        <v>26</v>
      </c>
      <c r="E2027" s="11" t="s">
        <v>99</v>
      </c>
      <c r="F2027" s="11" t="s">
        <v>26</v>
      </c>
      <c r="G2027" s="11">
        <v>10704</v>
      </c>
      <c r="H2027" s="12" t="s">
        <v>143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354</v>
      </c>
      <c r="C2028" s="11" t="s">
        <v>4218</v>
      </c>
      <c r="D2028" s="11" t="s">
        <v>26</v>
      </c>
      <c r="E2028" s="11" t="s">
        <v>227</v>
      </c>
      <c r="F2028" s="11" t="s">
        <v>26</v>
      </c>
      <c r="G2028" s="11">
        <v>55340</v>
      </c>
      <c r="H2028" s="12" t="s">
        <v>4444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651</v>
      </c>
      <c r="C2029" s="11" t="s">
        <v>4219</v>
      </c>
      <c r="D2029" s="11" t="s">
        <v>26</v>
      </c>
      <c r="E2029" s="11" t="s">
        <v>101</v>
      </c>
      <c r="F2029" s="11" t="s">
        <v>26</v>
      </c>
      <c r="G2029" s="11">
        <v>21736</v>
      </c>
      <c r="H2029" s="12" t="s">
        <v>4470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737</v>
      </c>
      <c r="C2030" s="11" t="s">
        <v>4220</v>
      </c>
      <c r="D2030" s="11" t="s">
        <v>26</v>
      </c>
      <c r="E2030" s="11" t="s">
        <v>600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4221</v>
      </c>
      <c r="C2031" s="11" t="s">
        <v>4222</v>
      </c>
      <c r="D2031" s="11" t="s">
        <v>26</v>
      </c>
      <c r="E2031" s="11" t="s">
        <v>90</v>
      </c>
      <c r="F2031" s="11" t="s">
        <v>26</v>
      </c>
      <c r="G2031" s="11">
        <v>60469</v>
      </c>
      <c r="H2031" s="12" t="s">
        <v>4444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1685</v>
      </c>
      <c r="C2032" s="11" t="s">
        <v>4223</v>
      </c>
      <c r="D2032" s="11" t="s">
        <v>26</v>
      </c>
      <c r="E2032" s="11" t="s">
        <v>562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630</v>
      </c>
      <c r="C2033" s="11" t="s">
        <v>4224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1930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4225</v>
      </c>
      <c r="C2034" s="11" t="s">
        <v>4226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143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405</v>
      </c>
      <c r="C2035" s="11" t="s">
        <v>4227</v>
      </c>
      <c r="D2035" s="11" t="s">
        <v>26</v>
      </c>
      <c r="E2035" s="11" t="s">
        <v>243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1381</v>
      </c>
      <c r="C2036" s="11" t="s">
        <v>4228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1930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4229</v>
      </c>
      <c r="C2037" s="11" t="s">
        <v>4230</v>
      </c>
      <c r="D2037" s="11" t="s">
        <v>26</v>
      </c>
      <c r="E2037" s="11" t="s">
        <v>573</v>
      </c>
      <c r="F2037" s="11" t="s">
        <v>26</v>
      </c>
      <c r="G2037" s="11">
        <v>10340</v>
      </c>
      <c r="H2037" s="12" t="s">
        <v>143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1874</v>
      </c>
      <c r="C2038" s="11" t="s">
        <v>4231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4232</v>
      </c>
      <c r="C2039" s="11" t="s">
        <v>4233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568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426</v>
      </c>
      <c r="C2040" s="11" t="s">
        <v>4234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123</v>
      </c>
      <c r="C2041" s="11" t="s">
        <v>4235</v>
      </c>
      <c r="D2041" s="11" t="s">
        <v>26</v>
      </c>
      <c r="E2041" s="11" t="s">
        <v>555</v>
      </c>
      <c r="F2041" s="11" t="s">
        <v>26</v>
      </c>
      <c r="G2041" s="11">
        <v>69140</v>
      </c>
      <c r="H2041" s="12" t="s">
        <v>4444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193</v>
      </c>
      <c r="C2042" s="11" t="s">
        <v>4236</v>
      </c>
      <c r="D2042" s="11" t="s">
        <v>26</v>
      </c>
      <c r="E2042" s="11" t="s">
        <v>509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383</v>
      </c>
      <c r="C2043" s="11" t="s">
        <v>4237</v>
      </c>
      <c r="D2043" s="11" t="s">
        <v>26</v>
      </c>
      <c r="E2043" s="11" t="s">
        <v>592</v>
      </c>
      <c r="F2043" s="11" t="s">
        <v>26</v>
      </c>
      <c r="G2043" s="11">
        <v>52649</v>
      </c>
      <c r="H2043" s="12" t="s">
        <v>4444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4238</v>
      </c>
      <c r="C2044" s="11" t="s">
        <v>4239</v>
      </c>
      <c r="D2044" s="11" t="s">
        <v>26</v>
      </c>
      <c r="E2044" s="11" t="s">
        <v>596</v>
      </c>
      <c r="F2044" s="11" t="s">
        <v>26</v>
      </c>
      <c r="G2044" s="11">
        <v>44312</v>
      </c>
      <c r="H2044" s="12" t="s">
        <v>4444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4240</v>
      </c>
      <c r="C2045" s="11" t="s">
        <v>4241</v>
      </c>
      <c r="D2045" s="11" t="s">
        <v>26</v>
      </c>
      <c r="E2045" s="11" t="s">
        <v>486</v>
      </c>
      <c r="F2045" s="11" t="s">
        <v>26</v>
      </c>
      <c r="G2045" s="11" t="s">
        <v>26</v>
      </c>
      <c r="H2045" s="12" t="s">
        <v>149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3600</v>
      </c>
      <c r="C2046" s="11" t="s">
        <v>4242</v>
      </c>
      <c r="D2046" s="11" t="s">
        <v>26</v>
      </c>
      <c r="E2046" s="11" t="s">
        <v>3959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4243</v>
      </c>
      <c r="C2047" s="11" t="s">
        <v>4244</v>
      </c>
      <c r="D2047" s="11" t="s">
        <v>26</v>
      </c>
      <c r="E2047" s="11" t="s">
        <v>564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4245</v>
      </c>
      <c r="C2048" s="11" t="s">
        <v>4246</v>
      </c>
      <c r="D2048" s="11" t="s">
        <v>26</v>
      </c>
      <c r="E2048" s="11" t="s">
        <v>1221</v>
      </c>
      <c r="F2048" s="11" t="s">
        <v>26</v>
      </c>
      <c r="G2048" s="11">
        <v>2581</v>
      </c>
      <c r="H2048" s="12" t="s">
        <v>166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4247</v>
      </c>
      <c r="C2049" s="11" t="s">
        <v>4248</v>
      </c>
      <c r="D2049" s="11" t="s">
        <v>26</v>
      </c>
      <c r="E2049" s="11" t="s">
        <v>438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263</v>
      </c>
      <c r="C2050" s="11" t="s">
        <v>4249</v>
      </c>
      <c r="D2050" s="11" t="s">
        <v>26</v>
      </c>
      <c r="E2050" s="11" t="s">
        <v>532</v>
      </c>
      <c r="F2050" s="11" t="s">
        <v>26</v>
      </c>
      <c r="G2050" s="11">
        <v>2583</v>
      </c>
      <c r="H2050" s="12" t="s">
        <v>166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412</v>
      </c>
      <c r="C2051" s="11" t="s">
        <v>4250</v>
      </c>
      <c r="D2051" s="11" t="s">
        <v>26</v>
      </c>
      <c r="E2051" s="11" t="s">
        <v>249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569</v>
      </c>
      <c r="K2051" s="12" t="s">
        <v>553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2556</v>
      </c>
      <c r="C2052" s="11" t="s">
        <v>4251</v>
      </c>
      <c r="D2052" s="11" t="s">
        <v>26</v>
      </c>
      <c r="E2052" s="11" t="s">
        <v>3959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4252</v>
      </c>
      <c r="C2053" s="11" t="s">
        <v>4253</v>
      </c>
      <c r="D2053" s="11" t="s">
        <v>26</v>
      </c>
      <c r="E2053" s="11" t="s">
        <v>233</v>
      </c>
      <c r="F2053" s="11" t="s">
        <v>26</v>
      </c>
      <c r="G2053" s="11">
        <v>23149</v>
      </c>
      <c r="H2053" s="12" t="s">
        <v>568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1977</v>
      </c>
      <c r="C2054" s="11" t="s">
        <v>4254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260</v>
      </c>
      <c r="C2055" s="11" t="s">
        <v>4255</v>
      </c>
      <c r="D2055" s="11" t="s">
        <v>26</v>
      </c>
      <c r="E2055" s="11" t="s">
        <v>99</v>
      </c>
      <c r="F2055" s="11" t="s">
        <v>26</v>
      </c>
      <c r="G2055" s="11">
        <v>10705</v>
      </c>
      <c r="H2055" s="12" t="s">
        <v>143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4256</v>
      </c>
      <c r="C2056" s="11" t="s">
        <v>4257</v>
      </c>
      <c r="D2056" s="11" t="s">
        <v>26</v>
      </c>
      <c r="E2056" s="11" t="s">
        <v>537</v>
      </c>
      <c r="F2056" s="11" t="s">
        <v>26</v>
      </c>
      <c r="G2056" s="11">
        <v>2584</v>
      </c>
      <c r="H2056" s="12" t="s">
        <v>166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3049</v>
      </c>
      <c r="C2057" s="11" t="s">
        <v>4258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1930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4259</v>
      </c>
      <c r="C2058" s="11" t="s">
        <v>4260</v>
      </c>
      <c r="D2058" s="11" t="s">
        <v>26</v>
      </c>
      <c r="E2058" s="11" t="s">
        <v>3959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4261</v>
      </c>
      <c r="C2059" s="11" t="s">
        <v>4262</v>
      </c>
      <c r="D2059" s="11" t="s">
        <v>26</v>
      </c>
      <c r="E2059" s="11" t="s">
        <v>530</v>
      </c>
      <c r="F2059" s="11" t="s">
        <v>26</v>
      </c>
      <c r="G2059" s="11">
        <v>2585</v>
      </c>
      <c r="H2059" s="12" t="s">
        <v>166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4263</v>
      </c>
      <c r="C2060" s="11" t="s">
        <v>4264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149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648</v>
      </c>
      <c r="C2061" s="11" t="s">
        <v>4265</v>
      </c>
      <c r="D2061" s="11" t="s">
        <v>26</v>
      </c>
      <c r="E2061" s="11" t="s">
        <v>97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4266</v>
      </c>
      <c r="C2062" s="11" t="s">
        <v>4267</v>
      </c>
      <c r="D2062" s="11" t="s">
        <v>26</v>
      </c>
      <c r="E2062" s="11" t="s">
        <v>542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4268</v>
      </c>
      <c r="C2063" s="11" t="s">
        <v>4269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568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326</v>
      </c>
      <c r="C2064" s="11" t="s">
        <v>4270</v>
      </c>
      <c r="D2064" s="11" t="s">
        <v>26</v>
      </c>
      <c r="E2064" s="11" t="s">
        <v>3959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4271</v>
      </c>
      <c r="C2065" s="11" t="s">
        <v>4272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1930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4273</v>
      </c>
      <c r="C2066" s="11" t="s">
        <v>4274</v>
      </c>
      <c r="D2066" s="11" t="s">
        <v>26</v>
      </c>
      <c r="E2066" s="11" t="s">
        <v>227</v>
      </c>
      <c r="F2066" s="11" t="s">
        <v>26</v>
      </c>
      <c r="G2066" s="11">
        <v>55341</v>
      </c>
      <c r="H2066" s="12" t="s">
        <v>4444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178</v>
      </c>
      <c r="C2067" s="11" t="s">
        <v>4275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569</v>
      </c>
      <c r="K2067" s="12" t="s">
        <v>553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4276</v>
      </c>
      <c r="C2068" s="11" t="s">
        <v>4277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166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4278</v>
      </c>
      <c r="C2069" s="11" t="s">
        <v>4279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4280</v>
      </c>
      <c r="C2070" s="11" t="s">
        <v>4281</v>
      </c>
      <c r="D2070" s="11" t="s">
        <v>26</v>
      </c>
      <c r="E2070" s="11" t="s">
        <v>555</v>
      </c>
      <c r="F2070" s="11" t="s">
        <v>26</v>
      </c>
      <c r="G2070" s="11">
        <v>69141</v>
      </c>
      <c r="H2070" s="12" t="s">
        <v>4444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4282</v>
      </c>
      <c r="C2071" s="11" t="s">
        <v>4283</v>
      </c>
      <c r="D2071" s="11" t="s">
        <v>26</v>
      </c>
      <c r="E2071" s="11" t="s">
        <v>3658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4284</v>
      </c>
      <c r="C2072" s="11" t="s">
        <v>4285</v>
      </c>
      <c r="D2072" s="11" t="s">
        <v>26</v>
      </c>
      <c r="E2072" s="11" t="s">
        <v>421</v>
      </c>
      <c r="F2072" s="11" t="s">
        <v>26</v>
      </c>
      <c r="G2072" s="11">
        <v>2586</v>
      </c>
      <c r="H2072" s="12" t="s">
        <v>166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387</v>
      </c>
      <c r="C2073" s="11" t="s">
        <v>4286</v>
      </c>
      <c r="D2073" s="11" t="s">
        <v>26</v>
      </c>
      <c r="E2073" s="11" t="s">
        <v>3959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4287</v>
      </c>
      <c r="C2074" s="11" t="s">
        <v>4288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143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3797</v>
      </c>
      <c r="C2075" s="11" t="s">
        <v>4289</v>
      </c>
      <c r="D2075" s="11" t="s">
        <v>26</v>
      </c>
      <c r="E2075" s="11" t="s">
        <v>1221</v>
      </c>
      <c r="F2075" s="11" t="s">
        <v>26</v>
      </c>
      <c r="G2075" s="11">
        <v>2582</v>
      </c>
      <c r="H2075" s="12" t="s">
        <v>166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3795</v>
      </c>
      <c r="C2076" s="11" t="s">
        <v>4290</v>
      </c>
      <c r="D2076" s="11" t="s">
        <v>26</v>
      </c>
      <c r="E2076" s="11" t="s">
        <v>3959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4291</v>
      </c>
      <c r="C2077" s="11" t="s">
        <v>4292</v>
      </c>
      <c r="D2077" s="11" t="s">
        <v>26</v>
      </c>
      <c r="E2077" s="11" t="s">
        <v>499</v>
      </c>
      <c r="F2077" s="11" t="s">
        <v>26</v>
      </c>
      <c r="G2077" s="11">
        <v>22916</v>
      </c>
      <c r="H2077" s="12" t="s">
        <v>4470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1244</v>
      </c>
      <c r="C2078" s="11" t="s">
        <v>4293</v>
      </c>
      <c r="D2078" s="11" t="s">
        <v>26</v>
      </c>
      <c r="E2078" s="11" t="s">
        <v>101</v>
      </c>
      <c r="F2078" s="11" t="s">
        <v>26</v>
      </c>
      <c r="G2078" s="11">
        <v>21737</v>
      </c>
      <c r="H2078" s="12" t="s">
        <v>4470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1143</v>
      </c>
      <c r="C2079" s="11" t="s">
        <v>4294</v>
      </c>
      <c r="D2079" s="11" t="s">
        <v>26</v>
      </c>
      <c r="E2079" s="11" t="s">
        <v>556</v>
      </c>
      <c r="F2079" s="11" t="s">
        <v>26</v>
      </c>
      <c r="G2079" s="11">
        <v>4671</v>
      </c>
      <c r="H2079" s="12" t="s">
        <v>4444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301</v>
      </c>
      <c r="C2080" s="11" t="s">
        <v>4295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166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473</v>
      </c>
      <c r="C2081" s="11" t="s">
        <v>4296</v>
      </c>
      <c r="D2081" s="11" t="s">
        <v>26</v>
      </c>
      <c r="E2081" s="11" t="s">
        <v>227</v>
      </c>
      <c r="F2081" s="11" t="s">
        <v>26</v>
      </c>
      <c r="G2081" s="11">
        <v>55342</v>
      </c>
      <c r="H2081" s="12" t="s">
        <v>4444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282</v>
      </c>
      <c r="C2082" s="11" t="s">
        <v>4297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149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683</v>
      </c>
      <c r="C2083" s="11" t="s">
        <v>4298</v>
      </c>
      <c r="D2083" s="11" t="s">
        <v>26</v>
      </c>
      <c r="E2083" s="11" t="s">
        <v>555</v>
      </c>
      <c r="F2083" s="11" t="s">
        <v>26</v>
      </c>
      <c r="G2083" s="11">
        <v>69142</v>
      </c>
      <c r="H2083" s="12" t="s">
        <v>4444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4299</v>
      </c>
      <c r="C2084" s="11" t="s">
        <v>4300</v>
      </c>
      <c r="D2084" s="11" t="s">
        <v>26</v>
      </c>
      <c r="E2084" s="11" t="s">
        <v>542</v>
      </c>
      <c r="F2084" s="11" t="s">
        <v>26</v>
      </c>
      <c r="G2084" s="11" t="s">
        <v>26</v>
      </c>
      <c r="H2084" s="12" t="s">
        <v>149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2561</v>
      </c>
      <c r="C2085" s="11" t="s">
        <v>4301</v>
      </c>
      <c r="D2085" s="11" t="s">
        <v>26</v>
      </c>
      <c r="E2085" s="11" t="s">
        <v>2130</v>
      </c>
      <c r="F2085" s="11" t="s">
        <v>26</v>
      </c>
      <c r="G2085" s="11">
        <v>10613</v>
      </c>
      <c r="H2085" s="12" t="s">
        <v>143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4302</v>
      </c>
      <c r="C2086" s="11" t="s">
        <v>4303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4443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679</v>
      </c>
      <c r="C2087" s="11" t="s">
        <v>4304</v>
      </c>
      <c r="D2087" s="11" t="s">
        <v>26</v>
      </c>
      <c r="E2087" s="11" t="s">
        <v>532</v>
      </c>
      <c r="F2087" s="11" t="s">
        <v>26</v>
      </c>
      <c r="G2087" s="11">
        <v>2587</v>
      </c>
      <c r="H2087" s="12" t="s">
        <v>166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4204</v>
      </c>
      <c r="C2088" s="11" t="s">
        <v>4305</v>
      </c>
      <c r="D2088" s="11" t="s">
        <v>26</v>
      </c>
      <c r="E2088" s="11" t="s">
        <v>492</v>
      </c>
      <c r="F2088" s="11" t="s">
        <v>26</v>
      </c>
      <c r="G2088" s="11">
        <v>77488</v>
      </c>
      <c r="H2088" s="12" t="s">
        <v>4470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281</v>
      </c>
      <c r="C2089" s="11" t="s">
        <v>4306</v>
      </c>
      <c r="D2089" s="11" t="s">
        <v>26</v>
      </c>
      <c r="E2089" s="11" t="s">
        <v>249</v>
      </c>
      <c r="F2089" s="11" t="s">
        <v>26</v>
      </c>
      <c r="G2089" s="11" t="s">
        <v>26</v>
      </c>
      <c r="H2089" s="12" t="s">
        <v>4443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4307</v>
      </c>
      <c r="C2090" s="11" t="s">
        <v>4308</v>
      </c>
      <c r="D2090" s="11" t="s">
        <v>26</v>
      </c>
      <c r="E2090" s="11" t="s">
        <v>486</v>
      </c>
      <c r="F2090" s="11" t="s">
        <v>26</v>
      </c>
      <c r="G2090" s="11" t="s">
        <v>26</v>
      </c>
      <c r="H2090" s="12" t="s">
        <v>4443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4309</v>
      </c>
      <c r="C2091" s="11" t="s">
        <v>4310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144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4311</v>
      </c>
      <c r="C2092" s="11" t="s">
        <v>4312</v>
      </c>
      <c r="D2092" s="11" t="s">
        <v>26</v>
      </c>
      <c r="E2092" s="11" t="s">
        <v>1746</v>
      </c>
      <c r="F2092" s="11" t="s">
        <v>26</v>
      </c>
      <c r="G2092" s="11">
        <v>3295</v>
      </c>
      <c r="H2092" s="12" t="s">
        <v>4470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4313</v>
      </c>
      <c r="C2093" s="11" t="s">
        <v>4314</v>
      </c>
      <c r="D2093" s="11" t="s">
        <v>26</v>
      </c>
      <c r="E2093" s="11" t="s">
        <v>243</v>
      </c>
      <c r="F2093" s="11" t="s">
        <v>26</v>
      </c>
      <c r="G2093" s="11" t="s">
        <v>26</v>
      </c>
      <c r="H2093" s="12" t="s">
        <v>4443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4315</v>
      </c>
      <c r="C2094" s="11" t="s">
        <v>4316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144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4317</v>
      </c>
      <c r="C2095" s="11" t="s">
        <v>4318</v>
      </c>
      <c r="D2095" s="11" t="s">
        <v>26</v>
      </c>
      <c r="E2095" s="11" t="s">
        <v>99</v>
      </c>
      <c r="F2095" s="11" t="s">
        <v>26</v>
      </c>
      <c r="G2095" s="11">
        <v>10706</v>
      </c>
      <c r="H2095" s="12" t="s">
        <v>143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4319</v>
      </c>
      <c r="C2096" s="11" t="s">
        <v>4320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1171</v>
      </c>
      <c r="C2097" s="11" t="s">
        <v>4321</v>
      </c>
      <c r="D2097" s="11" t="s">
        <v>26</v>
      </c>
      <c r="E2097" s="11" t="s">
        <v>180</v>
      </c>
      <c r="F2097" s="11" t="s">
        <v>26</v>
      </c>
      <c r="G2097" s="11">
        <v>782</v>
      </c>
      <c r="H2097" s="12" t="s">
        <v>144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4322</v>
      </c>
      <c r="C2098" s="11" t="s">
        <v>4323</v>
      </c>
      <c r="D2098" s="11" t="s">
        <v>26</v>
      </c>
      <c r="E2098" s="11" t="s">
        <v>592</v>
      </c>
      <c r="F2098" s="11" t="s">
        <v>26</v>
      </c>
      <c r="G2098" s="11">
        <v>52650</v>
      </c>
      <c r="H2098" s="12" t="s">
        <v>4444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4324</v>
      </c>
      <c r="C2099" s="11" t="s">
        <v>4325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144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628</v>
      </c>
      <c r="C2100" s="11" t="s">
        <v>4326</v>
      </c>
      <c r="D2100" s="11" t="s">
        <v>26</v>
      </c>
      <c r="E2100" s="11" t="s">
        <v>596</v>
      </c>
      <c r="F2100" s="11" t="s">
        <v>26</v>
      </c>
      <c r="G2100" s="11">
        <v>44313</v>
      </c>
      <c r="H2100" s="12" t="s">
        <v>4444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4327</v>
      </c>
      <c r="C2101" s="11" t="s">
        <v>4328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1930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4329</v>
      </c>
      <c r="C2102" s="11" t="s">
        <v>4330</v>
      </c>
      <c r="D2102" s="11" t="s">
        <v>26</v>
      </c>
      <c r="E2102" s="11" t="s">
        <v>100</v>
      </c>
      <c r="F2102" s="11" t="s">
        <v>26</v>
      </c>
      <c r="G2102" s="11">
        <v>3119</v>
      </c>
      <c r="H2102" s="12" t="s">
        <v>4444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4331</v>
      </c>
      <c r="C2103" s="11" t="s">
        <v>4332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1930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110</v>
      </c>
      <c r="C2104" s="11" t="s">
        <v>4333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143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4334</v>
      </c>
      <c r="C2105" s="11" t="s">
        <v>4335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4470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351</v>
      </c>
      <c r="C2106" s="11" t="s">
        <v>4336</v>
      </c>
      <c r="D2106" s="11" t="s">
        <v>26</v>
      </c>
      <c r="E2106" s="11" t="s">
        <v>523</v>
      </c>
      <c r="F2106" s="11" t="s">
        <v>26</v>
      </c>
      <c r="G2106" s="11">
        <v>4383</v>
      </c>
      <c r="H2106" s="12" t="s">
        <v>143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4337</v>
      </c>
      <c r="C2107" s="11" t="s">
        <v>4338</v>
      </c>
      <c r="D2107" s="11" t="s">
        <v>26</v>
      </c>
      <c r="E2107" s="11" t="s">
        <v>421</v>
      </c>
      <c r="F2107" s="11" t="s">
        <v>26</v>
      </c>
      <c r="G2107" s="11">
        <v>2588</v>
      </c>
      <c r="H2107" s="12" t="s">
        <v>166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4339</v>
      </c>
      <c r="C2108" s="11" t="s">
        <v>4340</v>
      </c>
      <c r="D2108" s="11" t="s">
        <v>26</v>
      </c>
      <c r="E2108" s="11" t="s">
        <v>537</v>
      </c>
      <c r="F2108" s="11" t="s">
        <v>26</v>
      </c>
      <c r="G2108" s="11">
        <v>2589</v>
      </c>
      <c r="H2108" s="12" t="s">
        <v>166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199</v>
      </c>
      <c r="C2109" s="11" t="s">
        <v>4341</v>
      </c>
      <c r="D2109" s="11" t="s">
        <v>26</v>
      </c>
      <c r="E2109" s="11" t="s">
        <v>483</v>
      </c>
      <c r="F2109" s="11" t="s">
        <v>26</v>
      </c>
      <c r="G2109" s="11">
        <v>70405</v>
      </c>
      <c r="H2109" s="12" t="s">
        <v>4470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726</v>
      </c>
      <c r="C2110" s="11" t="s">
        <v>4342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4443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405</v>
      </c>
      <c r="C2111" s="11" t="s">
        <v>4343</v>
      </c>
      <c r="D2111" s="11" t="s">
        <v>26</v>
      </c>
      <c r="E2111" s="11" t="s">
        <v>4344</v>
      </c>
      <c r="F2111" s="11" t="s">
        <v>26</v>
      </c>
      <c r="G2111" s="11">
        <v>2955</v>
      </c>
      <c r="H2111" s="12" t="s">
        <v>4464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/>
      <c r="Y2111" s="16"/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274</v>
      </c>
      <c r="C2112" s="11" t="s">
        <v>4345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569</v>
      </c>
      <c r="K2112" s="12" t="s">
        <v>553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4346</v>
      </c>
      <c r="C2113" s="11" t="s">
        <v>4347</v>
      </c>
      <c r="D2113" s="11" t="s">
        <v>26</v>
      </c>
      <c r="E2113" s="11" t="s">
        <v>573</v>
      </c>
      <c r="F2113" s="11" t="s">
        <v>26</v>
      </c>
      <c r="G2113" s="11">
        <v>10341</v>
      </c>
      <c r="H2113" s="12" t="s">
        <v>143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641</v>
      </c>
      <c r="C2114" s="11" t="s">
        <v>4348</v>
      </c>
      <c r="D2114" s="11" t="s">
        <v>26</v>
      </c>
      <c r="E2114" s="11" t="s">
        <v>486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569</v>
      </c>
      <c r="K2114" s="12" t="s">
        <v>553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4349</v>
      </c>
      <c r="C2115" s="11" t="s">
        <v>4350</v>
      </c>
      <c r="D2115" s="11" t="s">
        <v>26</v>
      </c>
      <c r="E2115" s="11" t="s">
        <v>556</v>
      </c>
      <c r="F2115" s="11" t="s">
        <v>26</v>
      </c>
      <c r="G2115" s="11">
        <v>4672</v>
      </c>
      <c r="H2115" s="12" t="s">
        <v>4444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237</v>
      </c>
      <c r="C2116" s="11" t="s">
        <v>4351</v>
      </c>
      <c r="D2116" s="11" t="s">
        <v>26</v>
      </c>
      <c r="E2116" s="11" t="s">
        <v>555</v>
      </c>
      <c r="F2116" s="11" t="s">
        <v>26</v>
      </c>
      <c r="G2116" s="11">
        <v>69143</v>
      </c>
      <c r="H2116" s="12" t="s">
        <v>4444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1886</v>
      </c>
      <c r="C2117" s="11" t="s">
        <v>4352</v>
      </c>
      <c r="D2117" s="11" t="s">
        <v>26</v>
      </c>
      <c r="E2117" s="11" t="s">
        <v>243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2731</v>
      </c>
      <c r="C2118" s="11" t="s">
        <v>4353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166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4102</v>
      </c>
      <c r="C2119" s="11" t="s">
        <v>4354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143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4355</v>
      </c>
      <c r="C2120" s="11" t="s">
        <v>4356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4357</v>
      </c>
      <c r="C2121" s="11" t="s">
        <v>4358</v>
      </c>
      <c r="D2121" s="11" t="s">
        <v>26</v>
      </c>
      <c r="E2121" s="11" t="s">
        <v>100</v>
      </c>
      <c r="F2121" s="11" t="s">
        <v>26</v>
      </c>
      <c r="G2121" s="11">
        <v>3116</v>
      </c>
      <c r="H2121" s="12" t="s">
        <v>4444</v>
      </c>
      <c r="I2121" s="12" t="s">
        <v>37</v>
      </c>
      <c r="J2121" s="12" t="s">
        <v>602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4359</v>
      </c>
      <c r="C2122" s="11" t="s">
        <v>4360</v>
      </c>
      <c r="D2122" s="11" t="s">
        <v>26</v>
      </c>
      <c r="E2122" s="11" t="s">
        <v>99</v>
      </c>
      <c r="F2122" s="11" t="s">
        <v>26</v>
      </c>
      <c r="G2122" s="11">
        <v>10707</v>
      </c>
      <c r="H2122" s="12" t="s">
        <v>143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1726</v>
      </c>
      <c r="C2123" s="11" t="s">
        <v>4361</v>
      </c>
      <c r="D2123" s="11" t="s">
        <v>26</v>
      </c>
      <c r="E2123" s="11" t="s">
        <v>523</v>
      </c>
      <c r="F2123" s="11" t="s">
        <v>26</v>
      </c>
      <c r="G2123" s="11">
        <v>4384</v>
      </c>
      <c r="H2123" s="12" t="s">
        <v>143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728</v>
      </c>
      <c r="C2124" s="11" t="s">
        <v>4362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1930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4363</v>
      </c>
      <c r="C2125" s="11" t="s">
        <v>4364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4443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4365</v>
      </c>
      <c r="C2126" s="11" t="s">
        <v>4366</v>
      </c>
      <c r="D2126" s="11" t="s">
        <v>26</v>
      </c>
      <c r="E2126" s="11" t="s">
        <v>592</v>
      </c>
      <c r="F2126" s="11" t="s">
        <v>26</v>
      </c>
      <c r="G2126" s="11">
        <v>56901</v>
      </c>
      <c r="H2126" s="12" t="s">
        <v>4444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250</v>
      </c>
      <c r="C2127" s="11" t="s">
        <v>4367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1930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4368</v>
      </c>
      <c r="C2128" s="11" t="s">
        <v>4369</v>
      </c>
      <c r="D2128" s="11" t="s">
        <v>26</v>
      </c>
      <c r="E2128" s="11" t="s">
        <v>1221</v>
      </c>
      <c r="F2128" s="11" t="s">
        <v>26</v>
      </c>
      <c r="G2128" s="11">
        <v>2593</v>
      </c>
      <c r="H2128" s="12" t="s">
        <v>166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455</v>
      </c>
      <c r="C2129" s="11" t="s">
        <v>4370</v>
      </c>
      <c r="D2129" s="11" t="s">
        <v>26</v>
      </c>
      <c r="E2129" s="11" t="s">
        <v>186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4371</v>
      </c>
      <c r="C2130" s="11" t="s">
        <v>4372</v>
      </c>
      <c r="D2130" s="11" t="s">
        <v>26</v>
      </c>
      <c r="E2130" s="11" t="s">
        <v>509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4371</v>
      </c>
      <c r="C2131" s="11" t="s">
        <v>4373</v>
      </c>
      <c r="D2131" s="11" t="s">
        <v>26</v>
      </c>
      <c r="E2131" s="11" t="s">
        <v>239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1784</v>
      </c>
      <c r="C2132" s="11" t="s">
        <v>4374</v>
      </c>
      <c r="D2132" s="11" t="s">
        <v>26</v>
      </c>
      <c r="E2132" s="11" t="s">
        <v>4182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4375</v>
      </c>
      <c r="C2133" s="11" t="s">
        <v>4376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143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4377</v>
      </c>
      <c r="C2134" s="11" t="s">
        <v>4378</v>
      </c>
      <c r="D2134" s="11" t="s">
        <v>26</v>
      </c>
      <c r="E2134" s="11" t="s">
        <v>92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352</v>
      </c>
      <c r="C2135" s="11" t="s">
        <v>4379</v>
      </c>
      <c r="D2135" s="11" t="s">
        <v>26</v>
      </c>
      <c r="E2135" s="11" t="s">
        <v>537</v>
      </c>
      <c r="F2135" s="11" t="s">
        <v>26</v>
      </c>
      <c r="G2135" s="11">
        <v>2592</v>
      </c>
      <c r="H2135" s="12" t="s">
        <v>166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4380</v>
      </c>
      <c r="C2136" s="11" t="s">
        <v>4381</v>
      </c>
      <c r="D2136" s="11" t="s">
        <v>26</v>
      </c>
      <c r="E2136" s="11" t="s">
        <v>497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116</v>
      </c>
      <c r="C2137" s="11" t="s">
        <v>4382</v>
      </c>
      <c r="D2137" s="11" t="s">
        <v>26</v>
      </c>
      <c r="E2137" s="11" t="s">
        <v>421</v>
      </c>
      <c r="F2137" s="11" t="s">
        <v>26</v>
      </c>
      <c r="G2137" s="11">
        <v>2591</v>
      </c>
      <c r="H2137" s="12" t="s">
        <v>166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4383</v>
      </c>
      <c r="C2138" s="11" t="s">
        <v>4384</v>
      </c>
      <c r="D2138" s="11" t="s">
        <v>26</v>
      </c>
      <c r="E2138" s="11" t="s">
        <v>596</v>
      </c>
      <c r="F2138" s="11" t="s">
        <v>26</v>
      </c>
      <c r="G2138" s="11">
        <v>44314</v>
      </c>
      <c r="H2138" s="12" t="s">
        <v>4444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692</v>
      </c>
      <c r="C2139" s="11" t="s">
        <v>4385</v>
      </c>
      <c r="D2139" s="11" t="s">
        <v>26</v>
      </c>
      <c r="E2139" s="11" t="s">
        <v>532</v>
      </c>
      <c r="F2139" s="11" t="s">
        <v>26</v>
      </c>
      <c r="G2139" s="11">
        <v>2590</v>
      </c>
      <c r="H2139" s="12" t="s">
        <v>166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283</v>
      </c>
      <c r="C2140" s="11" t="s">
        <v>4386</v>
      </c>
      <c r="D2140" s="11" t="s">
        <v>26</v>
      </c>
      <c r="E2140" s="11" t="s">
        <v>573</v>
      </c>
      <c r="F2140" s="11" t="s">
        <v>26</v>
      </c>
      <c r="G2140" s="11">
        <v>10342</v>
      </c>
      <c r="H2140" s="12" t="s">
        <v>143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4387</v>
      </c>
      <c r="C2141" s="11" t="s">
        <v>4388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4389</v>
      </c>
      <c r="C2142" s="11" t="s">
        <v>4390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4443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1483</v>
      </c>
      <c r="C2143" s="11" t="s">
        <v>4391</v>
      </c>
      <c r="D2143" s="11" t="s">
        <v>26</v>
      </c>
      <c r="E2143" s="11" t="s">
        <v>243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569</v>
      </c>
      <c r="K2143" s="12" t="s">
        <v>553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4392</v>
      </c>
      <c r="C2144" s="11" t="s">
        <v>4393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569</v>
      </c>
      <c r="K2144" s="12" t="s">
        <v>553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4394</v>
      </c>
      <c r="C2145" s="11" t="s">
        <v>4395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143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298</v>
      </c>
      <c r="C2146" s="11" t="s">
        <v>4396</v>
      </c>
      <c r="D2146" s="11" t="s">
        <v>26</v>
      </c>
      <c r="E2146" s="11" t="s">
        <v>533</v>
      </c>
      <c r="F2146" s="11" t="s">
        <v>26</v>
      </c>
      <c r="G2146" s="11">
        <v>2594</v>
      </c>
      <c r="H2146" s="12" t="s">
        <v>166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649</v>
      </c>
      <c r="C2147" s="11" t="s">
        <v>4397</v>
      </c>
      <c r="D2147" s="11" t="s">
        <v>26</v>
      </c>
      <c r="E2147" s="11" t="s">
        <v>523</v>
      </c>
      <c r="F2147" s="11" t="s">
        <v>26</v>
      </c>
      <c r="G2147" s="11">
        <v>4385</v>
      </c>
      <c r="H2147" s="12" t="s">
        <v>143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3639</v>
      </c>
      <c r="C2148" s="11" t="s">
        <v>4398</v>
      </c>
      <c r="D2148" s="11" t="s">
        <v>26</v>
      </c>
      <c r="E2148" s="11" t="s">
        <v>99</v>
      </c>
      <c r="F2148" s="11" t="s">
        <v>26</v>
      </c>
      <c r="G2148" s="11">
        <v>10708</v>
      </c>
      <c r="H2148" s="12" t="s">
        <v>143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409</v>
      </c>
      <c r="C2149" s="11" t="s">
        <v>4399</v>
      </c>
      <c r="D2149" s="11" t="s">
        <v>26</v>
      </c>
      <c r="E2149" s="11" t="s">
        <v>4344</v>
      </c>
      <c r="F2149" s="11" t="s">
        <v>26</v>
      </c>
      <c r="G2149" s="11">
        <v>2956</v>
      </c>
      <c r="H2149" s="12" t="s">
        <v>4464</v>
      </c>
      <c r="I2149" s="12" t="s">
        <v>27</v>
      </c>
      <c r="J2149" s="12" t="s">
        <v>560</v>
      </c>
      <c r="K2149" s="12" t="s">
        <v>561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/>
      <c r="Y2149" s="16"/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273</v>
      </c>
      <c r="C2150" s="11" t="s">
        <v>4400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423</v>
      </c>
      <c r="C2151" s="11" t="s">
        <v>4401</v>
      </c>
      <c r="D2151" s="11" t="s">
        <v>26</v>
      </c>
      <c r="E2151" s="11" t="s">
        <v>530</v>
      </c>
      <c r="F2151" s="11" t="s">
        <v>26</v>
      </c>
      <c r="G2151" s="11">
        <v>2595</v>
      </c>
      <c r="H2151" s="12" t="s">
        <v>166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128</v>
      </c>
      <c r="C2152" s="11" t="s">
        <v>4402</v>
      </c>
      <c r="D2152" s="11" t="s">
        <v>26</v>
      </c>
      <c r="E2152" s="11" t="s">
        <v>592</v>
      </c>
      <c r="F2152" s="11" t="s">
        <v>26</v>
      </c>
      <c r="G2152" s="11">
        <v>56902</v>
      </c>
      <c r="H2152" s="12" t="s">
        <v>4444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4403</v>
      </c>
      <c r="C2153" s="11" t="s">
        <v>4404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166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317</v>
      </c>
      <c r="C2154" s="11" t="s">
        <v>4405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1930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4406</v>
      </c>
      <c r="C2155" s="11" t="s">
        <v>4407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1930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3433</v>
      </c>
      <c r="C2156" s="11" t="s">
        <v>4408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143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4409</v>
      </c>
      <c r="C2157" s="11" t="s">
        <v>4410</v>
      </c>
      <c r="D2157" s="11" t="s">
        <v>26</v>
      </c>
      <c r="E2157" s="11" t="s">
        <v>227</v>
      </c>
      <c r="F2157" s="11" t="s">
        <v>26</v>
      </c>
      <c r="G2157" s="11">
        <v>55344</v>
      </c>
      <c r="H2157" s="12" t="s">
        <v>4444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2913</v>
      </c>
      <c r="C2158" s="11" t="s">
        <v>4411</v>
      </c>
      <c r="D2158" s="11" t="s">
        <v>26</v>
      </c>
      <c r="E2158" s="11" t="s">
        <v>186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3989</v>
      </c>
      <c r="C2159" s="11" t="s">
        <v>4412</v>
      </c>
      <c r="D2159" s="11" t="s">
        <v>26</v>
      </c>
      <c r="E2159" s="11" t="s">
        <v>1221</v>
      </c>
      <c r="F2159" s="11" t="s">
        <v>26</v>
      </c>
      <c r="G2159" s="11">
        <v>2596</v>
      </c>
      <c r="H2159" s="12" t="s">
        <v>166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731</v>
      </c>
      <c r="C2160" s="11" t="s">
        <v>4413</v>
      </c>
      <c r="D2160" s="11" t="s">
        <v>26</v>
      </c>
      <c r="E2160" s="11" t="s">
        <v>4182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369</v>
      </c>
      <c r="C2161" s="11" t="s">
        <v>4414</v>
      </c>
      <c r="D2161" s="11" t="s">
        <v>26</v>
      </c>
      <c r="E2161" s="11" t="s">
        <v>92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4415</v>
      </c>
      <c r="C2162" s="11" t="s">
        <v>4416</v>
      </c>
      <c r="D2162" s="11" t="s">
        <v>26</v>
      </c>
      <c r="E2162" s="11" t="s">
        <v>600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377</v>
      </c>
      <c r="C2163" s="11" t="s">
        <v>4417</v>
      </c>
      <c r="D2163" s="11" t="s">
        <v>26</v>
      </c>
      <c r="E2163" s="11" t="s">
        <v>562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4418</v>
      </c>
      <c r="C2164" s="11" t="s">
        <v>4419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4552</v>
      </c>
      <c r="D2165" s="11" t="s">
        <v>26</v>
      </c>
      <c r="E2165" s="11" t="s">
        <v>101</v>
      </c>
      <c r="F2165" s="11" t="s">
        <v>26</v>
      </c>
      <c r="G2165" s="11">
        <v>21738</v>
      </c>
      <c r="H2165" s="12" t="s">
        <v>4470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69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4553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166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69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4554</v>
      </c>
      <c r="D2167" s="11" t="s">
        <v>26</v>
      </c>
      <c r="E2167" s="11" t="s">
        <v>325</v>
      </c>
      <c r="F2167" s="11" t="s">
        <v>26</v>
      </c>
      <c r="G2167" s="11">
        <v>112392</v>
      </c>
      <c r="H2167" s="12" t="s">
        <v>4468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69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4555</v>
      </c>
      <c r="D2168" s="11" t="s">
        <v>26</v>
      </c>
      <c r="E2168" s="11" t="s">
        <v>499</v>
      </c>
      <c r="F2168" s="11" t="s">
        <v>26</v>
      </c>
      <c r="G2168" s="11">
        <v>22917</v>
      </c>
      <c r="H2168" s="12" t="s">
        <v>4470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69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4556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4443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69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4557</v>
      </c>
      <c r="D2170" s="11" t="s">
        <v>26</v>
      </c>
      <c r="E2170" s="11" t="s">
        <v>556</v>
      </c>
      <c r="F2170" s="11" t="s">
        <v>26</v>
      </c>
      <c r="G2170" s="11">
        <v>4674</v>
      </c>
      <c r="H2170" s="12" t="s">
        <v>4444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69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4558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144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69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4559</v>
      </c>
      <c r="D2172" s="11" t="s">
        <v>26</v>
      </c>
      <c r="E2172" s="11" t="s">
        <v>4182</v>
      </c>
      <c r="F2172" s="11" t="s">
        <v>26</v>
      </c>
      <c r="G2172" s="11" t="s">
        <v>26</v>
      </c>
      <c r="H2172" s="12" t="s">
        <v>4445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69" t="s">
        <v>41</v>
      </c>
      <c r="AA2172" s="12" t="s">
        <v>750</v>
      </c>
    </row>
    <row r="2173" spans="1:27" x14ac:dyDescent="0.25">
      <c r="A2173" s="10">
        <v>45689</v>
      </c>
      <c r="B2173" s="71">
        <v>2.5902777777777775E-2</v>
      </c>
      <c r="C2173" s="11" t="s">
        <v>4560</v>
      </c>
      <c r="D2173" s="11" t="s">
        <v>26</v>
      </c>
      <c r="E2173" s="11" t="s">
        <v>657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69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4561</v>
      </c>
      <c r="D2174" s="11" t="s">
        <v>26</v>
      </c>
      <c r="E2174" s="11" t="s">
        <v>227</v>
      </c>
      <c r="F2174" s="11" t="s">
        <v>26</v>
      </c>
      <c r="G2174" s="11">
        <v>55345</v>
      </c>
      <c r="H2174" s="12" t="s">
        <v>4444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69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4562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144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69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4563</v>
      </c>
      <c r="D2176" s="11" t="s">
        <v>26</v>
      </c>
      <c r="E2176" s="11" t="s">
        <v>180</v>
      </c>
      <c r="F2176" s="11" t="s">
        <v>26</v>
      </c>
      <c r="G2176" s="11">
        <v>786</v>
      </c>
      <c r="H2176" s="12" t="s">
        <v>144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69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4564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560</v>
      </c>
      <c r="K2177" s="12" t="s">
        <v>561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69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4565</v>
      </c>
      <c r="D2178" s="11" t="s">
        <v>26</v>
      </c>
      <c r="E2178" s="11" t="s">
        <v>592</v>
      </c>
      <c r="F2178" s="11" t="s">
        <v>26</v>
      </c>
      <c r="G2178" s="11">
        <v>56903</v>
      </c>
      <c r="H2178" s="12" t="s">
        <v>4444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69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4566</v>
      </c>
      <c r="D2179" s="11" t="s">
        <v>26</v>
      </c>
      <c r="E2179" s="11" t="s">
        <v>449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69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4567</v>
      </c>
      <c r="D2180" s="11" t="s">
        <v>26</v>
      </c>
      <c r="E2180" s="11" t="s">
        <v>596</v>
      </c>
      <c r="F2180" s="11" t="s">
        <v>26</v>
      </c>
      <c r="G2180" s="11">
        <v>44315</v>
      </c>
      <c r="H2180" s="12" t="s">
        <v>4444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69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4568</v>
      </c>
      <c r="D2181" s="11" t="s">
        <v>26</v>
      </c>
      <c r="E2181" s="11" t="s">
        <v>4569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69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4570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4470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69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4571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144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69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4572</v>
      </c>
      <c r="D2184" s="11" t="s">
        <v>26</v>
      </c>
      <c r="E2184" s="11" t="s">
        <v>243</v>
      </c>
      <c r="F2184" s="11" t="s">
        <v>26</v>
      </c>
      <c r="G2184" s="11" t="s">
        <v>26</v>
      </c>
      <c r="H2184" s="12" t="s">
        <v>4443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69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4573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4444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69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4574</v>
      </c>
      <c r="D2186" s="11" t="s">
        <v>26</v>
      </c>
      <c r="E2186" s="11" t="s">
        <v>1746</v>
      </c>
      <c r="F2186" s="11" t="s">
        <v>26</v>
      </c>
      <c r="G2186" s="11">
        <v>3296</v>
      </c>
      <c r="H2186" s="12" t="s">
        <v>4470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69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4575</v>
      </c>
      <c r="D2187" s="11" t="s">
        <v>26</v>
      </c>
      <c r="E2187" s="11" t="s">
        <v>1221</v>
      </c>
      <c r="F2187" s="11" t="s">
        <v>26</v>
      </c>
      <c r="G2187" s="11">
        <v>2597</v>
      </c>
      <c r="H2187" s="12" t="s">
        <v>166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69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4576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1930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69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4577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1930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69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4578</v>
      </c>
      <c r="D2190" s="11" t="s">
        <v>26</v>
      </c>
      <c r="E2190" s="11" t="s">
        <v>486</v>
      </c>
      <c r="F2190" s="11" t="s">
        <v>26</v>
      </c>
      <c r="G2190" s="11" t="s">
        <v>26</v>
      </c>
      <c r="H2190" s="12" t="s">
        <v>4443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69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4579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69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4580</v>
      </c>
      <c r="D2192" s="11" t="s">
        <v>26</v>
      </c>
      <c r="E2192" s="11" t="s">
        <v>3959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69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4581</v>
      </c>
      <c r="D2193" s="11" t="s">
        <v>26</v>
      </c>
      <c r="E2193" s="11" t="s">
        <v>573</v>
      </c>
      <c r="F2193" s="11" t="s">
        <v>26</v>
      </c>
      <c r="G2193" s="11">
        <v>10343</v>
      </c>
      <c r="H2193" s="12" t="s">
        <v>143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69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4582</v>
      </c>
      <c r="D2194" s="11" t="s">
        <v>26</v>
      </c>
      <c r="E2194" s="11" t="s">
        <v>4583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69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4584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4443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69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4585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69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4586</v>
      </c>
      <c r="D2197" s="11" t="s">
        <v>26</v>
      </c>
      <c r="E2197" s="11" t="s">
        <v>4182</v>
      </c>
      <c r="F2197" s="11" t="s">
        <v>26</v>
      </c>
      <c r="G2197" s="11" t="s">
        <v>26</v>
      </c>
      <c r="H2197" s="12" t="s">
        <v>4445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69" t="s">
        <v>41</v>
      </c>
      <c r="AA2197" s="12" t="s">
        <v>750</v>
      </c>
    </row>
    <row r="2198" spans="1:27" x14ac:dyDescent="0.25">
      <c r="A2198" s="10">
        <v>45689</v>
      </c>
      <c r="B2198" s="71">
        <v>7.9513888888889106E-3</v>
      </c>
      <c r="C2198" s="11" t="s">
        <v>4587</v>
      </c>
      <c r="D2198" s="11" t="s">
        <v>26</v>
      </c>
      <c r="E2198" s="11" t="s">
        <v>4344</v>
      </c>
      <c r="F2198" s="11" t="s">
        <v>26</v>
      </c>
      <c r="G2198" s="11">
        <v>2958</v>
      </c>
      <c r="H2198" s="12" t="s">
        <v>4464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69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4588</v>
      </c>
      <c r="D2199" s="11" t="s">
        <v>26</v>
      </c>
      <c r="E2199" s="11" t="s">
        <v>2130</v>
      </c>
      <c r="F2199" s="11" t="s">
        <v>26</v>
      </c>
      <c r="G2199" s="11" t="s">
        <v>26</v>
      </c>
      <c r="H2199" s="12" t="s">
        <v>4443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69" t="s">
        <v>143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4589</v>
      </c>
      <c r="D2200" s="11" t="s">
        <v>26</v>
      </c>
      <c r="E2200" s="11" t="s">
        <v>3959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69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4590</v>
      </c>
      <c r="D2201" s="11" t="s">
        <v>26</v>
      </c>
      <c r="E2201" s="11" t="s">
        <v>484</v>
      </c>
      <c r="F2201" s="11" t="s">
        <v>26</v>
      </c>
      <c r="G2201" s="11">
        <v>73997</v>
      </c>
      <c r="H2201" s="12" t="s">
        <v>4470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69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4591</v>
      </c>
      <c r="D2202" s="11" t="s">
        <v>26</v>
      </c>
      <c r="E2202" s="11" t="s">
        <v>243</v>
      </c>
      <c r="F2202" s="11" t="s">
        <v>26</v>
      </c>
      <c r="G2202" s="11" t="s">
        <v>26</v>
      </c>
      <c r="H2202" s="12" t="s">
        <v>4443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69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4592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69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4593</v>
      </c>
      <c r="D2204" s="11" t="s">
        <v>26</v>
      </c>
      <c r="E2204" s="11" t="s">
        <v>3959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69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4594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143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69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4595</v>
      </c>
      <c r="D2206" s="11" t="s">
        <v>26</v>
      </c>
      <c r="E2206" s="11" t="s">
        <v>447</v>
      </c>
      <c r="F2206" s="11" t="s">
        <v>26</v>
      </c>
      <c r="G2206" s="11">
        <v>2109</v>
      </c>
      <c r="H2206" s="12" t="s">
        <v>4471</v>
      </c>
      <c r="I2206" s="12" t="s">
        <v>27</v>
      </c>
      <c r="J2206" s="12" t="s">
        <v>209</v>
      </c>
      <c r="K2206" s="12" t="s">
        <v>210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69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4596</v>
      </c>
      <c r="D2207" s="11" t="s">
        <v>26</v>
      </c>
      <c r="E2207" s="11" t="s">
        <v>3959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69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4597</v>
      </c>
      <c r="D2208" s="11" t="s">
        <v>26</v>
      </c>
      <c r="E2208" s="11" t="s">
        <v>486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69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4598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1930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69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4599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166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69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4600</v>
      </c>
      <c r="D2211" s="11" t="s">
        <v>26</v>
      </c>
      <c r="E2211" s="11" t="s">
        <v>596</v>
      </c>
      <c r="F2211" s="11" t="s">
        <v>26</v>
      </c>
      <c r="G2211" s="11">
        <v>44316</v>
      </c>
      <c r="H2211" s="12" t="s">
        <v>4444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69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4601</v>
      </c>
      <c r="D2212" s="11" t="s">
        <v>26</v>
      </c>
      <c r="E2212" s="11" t="s">
        <v>608</v>
      </c>
      <c r="F2212" s="11" t="s">
        <v>26</v>
      </c>
      <c r="G2212" s="11">
        <v>1060</v>
      </c>
      <c r="H2212" s="12" t="s">
        <v>144</v>
      </c>
      <c r="I2212" s="12" t="s">
        <v>55</v>
      </c>
      <c r="J2212" s="12" t="s">
        <v>569</v>
      </c>
      <c r="K2212" s="12" t="s">
        <v>553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69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4602</v>
      </c>
      <c r="D2213" s="11" t="s">
        <v>26</v>
      </c>
      <c r="E2213" s="11" t="s">
        <v>4182</v>
      </c>
      <c r="F2213" s="11" t="s">
        <v>26</v>
      </c>
      <c r="G2213" s="11" t="s">
        <v>26</v>
      </c>
      <c r="H2213" s="12" t="s">
        <v>4445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69" t="s">
        <v>41</v>
      </c>
      <c r="AA2213" s="12" t="s">
        <v>750</v>
      </c>
    </row>
    <row r="2214" spans="1:27" x14ac:dyDescent="0.25">
      <c r="A2214" s="10">
        <v>45689</v>
      </c>
      <c r="B2214" s="71">
        <v>9.7685185185184542E-3</v>
      </c>
      <c r="C2214" s="11" t="s">
        <v>4603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69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4604</v>
      </c>
      <c r="D2215" s="11" t="s">
        <v>26</v>
      </c>
      <c r="E2215" s="11" t="s">
        <v>3959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69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4605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69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4606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4443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69" t="s">
        <v>143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4607</v>
      </c>
      <c r="D2218" s="11" t="s">
        <v>26</v>
      </c>
      <c r="E2218" s="11" t="s">
        <v>1221</v>
      </c>
      <c r="F2218" s="11" t="s">
        <v>26</v>
      </c>
      <c r="G2218" s="11">
        <v>2598</v>
      </c>
      <c r="H2218" s="12" t="s">
        <v>166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69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4608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69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4609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1930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69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4610</v>
      </c>
      <c r="D2221" s="11" t="s">
        <v>26</v>
      </c>
      <c r="E2221" s="11" t="s">
        <v>489</v>
      </c>
      <c r="F2221" s="11" t="s">
        <v>26</v>
      </c>
      <c r="G2221" s="11">
        <v>72899</v>
      </c>
      <c r="H2221" s="12" t="s">
        <v>4470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69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4611</v>
      </c>
      <c r="D2222" s="11" t="s">
        <v>26</v>
      </c>
      <c r="E2222" s="11" t="s">
        <v>3959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69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4612</v>
      </c>
      <c r="D2223" s="11" t="s">
        <v>26</v>
      </c>
      <c r="E2223" s="11" t="s">
        <v>101</v>
      </c>
      <c r="F2223" s="11" t="s">
        <v>26</v>
      </c>
      <c r="G2223" s="11">
        <v>21740</v>
      </c>
      <c r="H2223" s="12" t="s">
        <v>4470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69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4613</v>
      </c>
      <c r="D2224" s="11" t="s">
        <v>26</v>
      </c>
      <c r="E2224" s="11" t="s">
        <v>484</v>
      </c>
      <c r="F2224" s="11" t="s">
        <v>26</v>
      </c>
      <c r="G2224" s="11">
        <v>73998</v>
      </c>
      <c r="H2224" s="12" t="s">
        <v>4470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69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4614</v>
      </c>
      <c r="D2225" s="11" t="s">
        <v>26</v>
      </c>
      <c r="E2225" s="11" t="s">
        <v>523</v>
      </c>
      <c r="F2225" s="11" t="s">
        <v>26</v>
      </c>
      <c r="G2225" s="11">
        <v>4386</v>
      </c>
      <c r="H2225" s="12" t="s">
        <v>143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69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4615</v>
      </c>
      <c r="D2226" s="11" t="s">
        <v>26</v>
      </c>
      <c r="E2226" s="11" t="s">
        <v>243</v>
      </c>
      <c r="F2226" s="11" t="s">
        <v>26</v>
      </c>
      <c r="G2226" s="11" t="s">
        <v>26</v>
      </c>
      <c r="H2226" s="12" t="s">
        <v>4443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69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4616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69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4617</v>
      </c>
      <c r="D2228" s="11" t="s">
        <v>26</v>
      </c>
      <c r="E2228" s="11" t="s">
        <v>562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69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4618</v>
      </c>
      <c r="D2229" s="11" t="s">
        <v>26</v>
      </c>
      <c r="E2229" s="11" t="s">
        <v>4619</v>
      </c>
      <c r="F2229" s="11" t="s">
        <v>26</v>
      </c>
      <c r="G2229" s="11">
        <v>74549</v>
      </c>
      <c r="H2229" s="12" t="s">
        <v>4470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69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4620</v>
      </c>
      <c r="D2230" s="11" t="s">
        <v>26</v>
      </c>
      <c r="E2230" s="11" t="s">
        <v>3959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69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4621</v>
      </c>
      <c r="D2231" s="11" t="s">
        <v>26</v>
      </c>
      <c r="E2231" s="11" t="s">
        <v>573</v>
      </c>
      <c r="F2231" s="11" t="s">
        <v>26</v>
      </c>
      <c r="G2231" s="11">
        <v>10344</v>
      </c>
      <c r="H2231" s="12" t="s">
        <v>143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69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4622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69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4623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69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4624</v>
      </c>
      <c r="D2234" s="11" t="s">
        <v>26</v>
      </c>
      <c r="E2234" s="11" t="s">
        <v>4344</v>
      </c>
      <c r="F2234" s="11" t="s">
        <v>26</v>
      </c>
      <c r="G2234" s="11">
        <v>2957</v>
      </c>
      <c r="H2234" s="12" t="s">
        <v>4464</v>
      </c>
      <c r="I2234" s="12" t="s">
        <v>27</v>
      </c>
      <c r="J2234" s="12" t="s">
        <v>560</v>
      </c>
      <c r="K2234" s="12" t="s">
        <v>561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69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4625</v>
      </c>
      <c r="D2235" s="11" t="s">
        <v>26</v>
      </c>
      <c r="E2235" s="11" t="s">
        <v>600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69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4626</v>
      </c>
      <c r="D2236" s="11" t="s">
        <v>26</v>
      </c>
      <c r="E2236" s="11" t="s">
        <v>662</v>
      </c>
      <c r="F2236" s="11" t="s">
        <v>26</v>
      </c>
      <c r="G2236" s="11">
        <v>862</v>
      </c>
      <c r="H2236" s="12" t="s">
        <v>144</v>
      </c>
      <c r="I2236" s="12" t="s">
        <v>37</v>
      </c>
      <c r="J2236" s="12" t="s">
        <v>602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69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4627</v>
      </c>
      <c r="D2237" s="11" t="s">
        <v>26</v>
      </c>
      <c r="E2237" s="11" t="s">
        <v>485</v>
      </c>
      <c r="F2237" s="11" t="s">
        <v>26</v>
      </c>
      <c r="G2237" s="11">
        <v>24152</v>
      </c>
      <c r="H2237" s="12" t="s">
        <v>4470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69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4628</v>
      </c>
      <c r="D2238" s="11" t="s">
        <v>26</v>
      </c>
      <c r="E2238" s="11" t="s">
        <v>4182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69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4629</v>
      </c>
      <c r="D2239" s="11" t="s">
        <v>26</v>
      </c>
      <c r="E2239" s="11" t="s">
        <v>3807</v>
      </c>
      <c r="F2239" s="11" t="s">
        <v>26</v>
      </c>
      <c r="G2239" s="11">
        <v>24329</v>
      </c>
      <c r="H2239" s="12" t="s">
        <v>4470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69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4630</v>
      </c>
      <c r="D2240" s="11" t="s">
        <v>26</v>
      </c>
      <c r="E2240" s="11" t="s">
        <v>607</v>
      </c>
      <c r="F2240" s="11" t="s">
        <v>26</v>
      </c>
      <c r="G2240" s="11">
        <v>1116</v>
      </c>
      <c r="H2240" s="12" t="s">
        <v>144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69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4631</v>
      </c>
      <c r="D2241" s="11" t="s">
        <v>26</v>
      </c>
      <c r="E2241" s="11" t="s">
        <v>236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69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4632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1930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69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4633</v>
      </c>
      <c r="D2243" s="11" t="s">
        <v>26</v>
      </c>
      <c r="E2243" s="11" t="s">
        <v>489</v>
      </c>
      <c r="F2243" s="11" t="s">
        <v>26</v>
      </c>
      <c r="G2243" s="11">
        <v>72900</v>
      </c>
      <c r="H2243" s="12" t="s">
        <v>4470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69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4634</v>
      </c>
      <c r="D2244" s="11" t="s">
        <v>26</v>
      </c>
      <c r="E2244" s="11" t="s">
        <v>508</v>
      </c>
      <c r="F2244" s="11" t="s">
        <v>26</v>
      </c>
      <c r="G2244" s="11">
        <v>1258</v>
      </c>
      <c r="H2244" s="12" t="s">
        <v>144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69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4635</v>
      </c>
      <c r="D2245" s="11" t="s">
        <v>26</v>
      </c>
      <c r="E2245" s="11" t="s">
        <v>608</v>
      </c>
      <c r="F2245" s="11" t="s">
        <v>26</v>
      </c>
      <c r="G2245" s="11">
        <v>1061</v>
      </c>
      <c r="H2245" s="12" t="s">
        <v>144</v>
      </c>
      <c r="I2245" s="12" t="s">
        <v>37</v>
      </c>
      <c r="J2245" s="12" t="s">
        <v>602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69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4636</v>
      </c>
      <c r="D2246" s="11" t="s">
        <v>26</v>
      </c>
      <c r="E2246" s="11" t="s">
        <v>577</v>
      </c>
      <c r="F2246" s="11" t="s">
        <v>26</v>
      </c>
      <c r="G2246" s="11">
        <v>788</v>
      </c>
      <c r="H2246" s="12" t="s">
        <v>144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69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4637</v>
      </c>
      <c r="D2247" s="11" t="s">
        <v>26</v>
      </c>
      <c r="E2247" s="11" t="s">
        <v>512</v>
      </c>
      <c r="F2247" s="11" t="s">
        <v>26</v>
      </c>
      <c r="G2247" s="11">
        <v>1310</v>
      </c>
      <c r="H2247" s="12" t="s">
        <v>144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69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4638</v>
      </c>
      <c r="D2248" s="11" t="s">
        <v>26</v>
      </c>
      <c r="E2248" s="11" t="s">
        <v>187</v>
      </c>
      <c r="F2248" s="11" t="s">
        <v>26</v>
      </c>
      <c r="G2248" s="11">
        <v>1007</v>
      </c>
      <c r="H2248" s="12" t="s">
        <v>144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69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4639</v>
      </c>
      <c r="D2249" s="11" t="s">
        <v>26</v>
      </c>
      <c r="E2249" s="11" t="s">
        <v>542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569</v>
      </c>
      <c r="K2249" s="12" t="s">
        <v>553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69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4640</v>
      </c>
      <c r="D2250" s="11" t="s">
        <v>26</v>
      </c>
      <c r="E2250" s="11" t="s">
        <v>249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569</v>
      </c>
      <c r="K2250" s="12" t="s">
        <v>553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69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4641</v>
      </c>
      <c r="D2251" s="11" t="s">
        <v>26</v>
      </c>
      <c r="E2251" s="11" t="s">
        <v>1221</v>
      </c>
      <c r="F2251" s="11" t="s">
        <v>26</v>
      </c>
      <c r="G2251" s="11">
        <v>2599</v>
      </c>
      <c r="H2251" s="12" t="s">
        <v>166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69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4642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144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69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4643</v>
      </c>
      <c r="D2253" s="11" t="s">
        <v>26</v>
      </c>
      <c r="E2253" s="11" t="s">
        <v>504</v>
      </c>
      <c r="F2253" s="11" t="s">
        <v>26</v>
      </c>
      <c r="G2253" s="11">
        <v>814</v>
      </c>
      <c r="H2253" s="12" t="s">
        <v>144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69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4644</v>
      </c>
      <c r="D2254" s="11" t="s">
        <v>26</v>
      </c>
      <c r="E2254" s="11" t="s">
        <v>438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69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4645</v>
      </c>
      <c r="D2255" s="11" t="s">
        <v>26</v>
      </c>
      <c r="E2255" s="11" t="s">
        <v>243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69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4646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69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4647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69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4648</v>
      </c>
      <c r="D2258" s="11">
        <v>16788</v>
      </c>
      <c r="E2258" s="11" t="s">
        <v>101</v>
      </c>
      <c r="F2258" s="11" t="s">
        <v>26</v>
      </c>
      <c r="G2258" s="11">
        <v>21741</v>
      </c>
      <c r="H2258" s="12" t="s">
        <v>4470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69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4649</v>
      </c>
      <c r="D2259" s="11">
        <v>16789</v>
      </c>
      <c r="E2259" s="11" t="s">
        <v>499</v>
      </c>
      <c r="F2259" s="11" t="s">
        <v>26</v>
      </c>
      <c r="G2259" s="11">
        <v>22918</v>
      </c>
      <c r="H2259" s="12" t="s">
        <v>4470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69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4650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4443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69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4651</v>
      </c>
      <c r="D2261" s="11">
        <v>16791</v>
      </c>
      <c r="E2261" s="11" t="s">
        <v>227</v>
      </c>
      <c r="F2261" s="11" t="s">
        <v>26</v>
      </c>
      <c r="G2261" s="11">
        <v>55348</v>
      </c>
      <c r="H2261" s="12" t="s">
        <v>4444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69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4652</v>
      </c>
      <c r="D2262" s="11">
        <v>16792</v>
      </c>
      <c r="E2262" s="11" t="s">
        <v>542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69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4653</v>
      </c>
      <c r="D2263" s="11">
        <v>16793</v>
      </c>
      <c r="E2263" s="11" t="s">
        <v>522</v>
      </c>
      <c r="F2263" s="11" t="s">
        <v>26</v>
      </c>
      <c r="G2263" s="11">
        <v>21767</v>
      </c>
      <c r="H2263" s="12" t="s">
        <v>4470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69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4654</v>
      </c>
      <c r="D2264" s="11">
        <v>16794</v>
      </c>
      <c r="E2264" s="11" t="s">
        <v>249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69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4655</v>
      </c>
      <c r="D2265" s="11">
        <v>16795</v>
      </c>
      <c r="E2265" s="11" t="s">
        <v>483</v>
      </c>
      <c r="F2265" s="11" t="s">
        <v>26</v>
      </c>
      <c r="G2265" s="11">
        <v>70406</v>
      </c>
      <c r="H2265" s="12" t="s">
        <v>4470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69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4656</v>
      </c>
      <c r="D2266" s="11">
        <v>16796</v>
      </c>
      <c r="E2266" s="11" t="s">
        <v>555</v>
      </c>
      <c r="F2266" s="11" t="s">
        <v>26</v>
      </c>
      <c r="G2266" s="11">
        <v>69144</v>
      </c>
      <c r="H2266" s="12" t="s">
        <v>4444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69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4657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69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4658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69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4659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4468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69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4660</v>
      </c>
      <c r="D2270" s="11">
        <v>16800</v>
      </c>
      <c r="E2270" s="11" t="s">
        <v>1221</v>
      </c>
      <c r="F2270" s="11" t="s">
        <v>26</v>
      </c>
      <c r="G2270" s="11">
        <v>2600</v>
      </c>
      <c r="H2270" s="12" t="s">
        <v>166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69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4661</v>
      </c>
      <c r="D2271" s="11">
        <v>16801</v>
      </c>
      <c r="E2271" s="11" t="s">
        <v>523</v>
      </c>
      <c r="F2271" s="11" t="s">
        <v>26</v>
      </c>
      <c r="G2271" s="11" t="s">
        <v>26</v>
      </c>
      <c r="H2271" s="12" t="s">
        <v>4443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69" t="s">
        <v>143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4662</v>
      </c>
      <c r="D2272" s="11">
        <v>16802</v>
      </c>
      <c r="E2272" s="11" t="s">
        <v>243</v>
      </c>
      <c r="F2272" s="11" t="s">
        <v>26</v>
      </c>
      <c r="G2272" s="11" t="s">
        <v>26</v>
      </c>
      <c r="H2272" s="12" t="s">
        <v>4443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69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4663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4443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69" t="s">
        <v>143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4664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4470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69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4665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166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69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4666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4443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69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4667</v>
      </c>
      <c r="D2277" s="11">
        <v>16807</v>
      </c>
      <c r="E2277" s="11" t="s">
        <v>528</v>
      </c>
      <c r="F2277" s="11" t="s">
        <v>26</v>
      </c>
      <c r="G2277" s="11">
        <v>26337</v>
      </c>
      <c r="H2277" s="12" t="s">
        <v>4470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69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4668</v>
      </c>
      <c r="D2278" s="11">
        <v>16808</v>
      </c>
      <c r="E2278" s="11" t="s">
        <v>98</v>
      </c>
      <c r="F2278" s="11" t="s">
        <v>26</v>
      </c>
      <c r="G2278" s="11">
        <v>9852</v>
      </c>
      <c r="H2278" s="12" t="s">
        <v>4469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69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4669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568</v>
      </c>
      <c r="I2279" s="12" t="s">
        <v>55</v>
      </c>
      <c r="J2279" s="12" t="s">
        <v>569</v>
      </c>
      <c r="K2279" s="12" t="s">
        <v>553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69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4670</v>
      </c>
      <c r="D2280" s="11">
        <v>16810</v>
      </c>
      <c r="E2280" s="11" t="s">
        <v>596</v>
      </c>
      <c r="F2280" s="11" t="s">
        <v>26</v>
      </c>
      <c r="G2280" s="11">
        <v>44317</v>
      </c>
      <c r="H2280" s="12" t="s">
        <v>4444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69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4671</v>
      </c>
      <c r="D2281" s="11">
        <v>16811</v>
      </c>
      <c r="E2281" s="11" t="s">
        <v>3959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69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4672</v>
      </c>
      <c r="D2282" s="11">
        <v>16812</v>
      </c>
      <c r="E2282" s="11" t="s">
        <v>499</v>
      </c>
      <c r="F2282" s="11" t="s">
        <v>26</v>
      </c>
      <c r="G2282" s="11">
        <v>22919</v>
      </c>
      <c r="H2282" s="12" t="s">
        <v>4470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69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4673</v>
      </c>
      <c r="D2283" s="11">
        <v>16813</v>
      </c>
      <c r="E2283" s="11" t="s">
        <v>592</v>
      </c>
      <c r="F2283" s="11" t="s">
        <v>26</v>
      </c>
      <c r="G2283" s="11">
        <v>56905</v>
      </c>
      <c r="H2283" s="12" t="s">
        <v>4444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69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4674</v>
      </c>
      <c r="D2284" s="11">
        <v>16814</v>
      </c>
      <c r="E2284" s="11" t="s">
        <v>101</v>
      </c>
      <c r="F2284" s="11" t="s">
        <v>26</v>
      </c>
      <c r="G2284" s="11">
        <v>21742</v>
      </c>
      <c r="H2284" s="12" t="s">
        <v>4470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69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4675</v>
      </c>
      <c r="D2285" s="11">
        <v>16815</v>
      </c>
      <c r="E2285" s="11" t="s">
        <v>523</v>
      </c>
      <c r="F2285" s="11" t="s">
        <v>26</v>
      </c>
      <c r="G2285" s="11">
        <v>4387</v>
      </c>
      <c r="H2285" s="12" t="s">
        <v>143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40</v>
      </c>
      <c r="P2285" s="13"/>
      <c r="Q2285" s="13">
        <v>0</v>
      </c>
      <c r="R2285" s="72">
        <f>+L2285*O2285</f>
        <v>1619.1999999999998</v>
      </c>
      <c r="S2285" s="72">
        <v>0</v>
      </c>
      <c r="T2285" s="72">
        <f>+L2285*S2285</f>
        <v>0</v>
      </c>
      <c r="U2285" s="72">
        <f>+R2285-T2285</f>
        <v>1619.1999999999998</v>
      </c>
      <c r="V2285" s="72">
        <f>+U2285*0</f>
        <v>0</v>
      </c>
      <c r="W2285" s="72">
        <f>+U2285-V2285</f>
        <v>1619.1999999999998</v>
      </c>
      <c r="X2285" s="72">
        <v>0</v>
      </c>
      <c r="Y2285" s="14">
        <f t="shared" si="111"/>
        <v>0</v>
      </c>
      <c r="Z2285" s="69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4676</v>
      </c>
      <c r="D2286" s="11">
        <v>16816</v>
      </c>
      <c r="E2286" s="11" t="s">
        <v>3959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69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4677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4443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69" t="s">
        <v>143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4678</v>
      </c>
      <c r="D2288" s="11">
        <v>16818</v>
      </c>
      <c r="E2288" s="11" t="s">
        <v>1221</v>
      </c>
      <c r="F2288" s="11" t="s">
        <v>26</v>
      </c>
      <c r="G2288" s="11">
        <v>934</v>
      </c>
      <c r="H2288" s="12" t="s">
        <v>166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69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4679</v>
      </c>
      <c r="D2289" s="11">
        <v>16819</v>
      </c>
      <c r="E2289" s="11" t="s">
        <v>1746</v>
      </c>
      <c r="F2289" s="11" t="s">
        <v>26</v>
      </c>
      <c r="G2289" s="11">
        <v>3298</v>
      </c>
      <c r="H2289" s="12" t="s">
        <v>4470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69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4680</v>
      </c>
      <c r="D2290" s="11">
        <v>16820</v>
      </c>
      <c r="E2290" s="11" t="s">
        <v>485</v>
      </c>
      <c r="F2290" s="11" t="s">
        <v>26</v>
      </c>
      <c r="G2290" s="11">
        <v>24153</v>
      </c>
      <c r="H2290" s="12" t="s">
        <v>4470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69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4681</v>
      </c>
      <c r="D2291" s="11">
        <v>16821</v>
      </c>
      <c r="E2291" s="11" t="s">
        <v>486</v>
      </c>
      <c r="F2291" s="11" t="s">
        <v>26</v>
      </c>
      <c r="G2291" s="11" t="s">
        <v>26</v>
      </c>
      <c r="H2291" s="12" t="s">
        <v>4443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69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4682</v>
      </c>
      <c r="D2292" s="11">
        <v>16822</v>
      </c>
      <c r="E2292" s="11" t="s">
        <v>482</v>
      </c>
      <c r="F2292" s="11" t="s">
        <v>26</v>
      </c>
      <c r="G2292" s="11">
        <v>22002</v>
      </c>
      <c r="H2292" s="12" t="s">
        <v>4470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69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4683</v>
      </c>
      <c r="D2293" s="11">
        <v>16823</v>
      </c>
      <c r="E2293" s="11" t="s">
        <v>1672</v>
      </c>
      <c r="F2293" s="11" t="s">
        <v>26</v>
      </c>
      <c r="G2293" s="11">
        <v>42042</v>
      </c>
      <c r="H2293" s="12" t="s">
        <v>568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69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4684</v>
      </c>
      <c r="D2294" s="11">
        <v>16824</v>
      </c>
      <c r="E2294" s="11" t="s">
        <v>99</v>
      </c>
      <c r="F2294" s="11" t="s">
        <v>26</v>
      </c>
      <c r="G2294" s="11">
        <v>10710</v>
      </c>
      <c r="H2294" s="12" t="s">
        <v>143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40</v>
      </c>
      <c r="P2294" s="13"/>
      <c r="Q2294" s="13">
        <v>0</v>
      </c>
      <c r="R2294" s="72">
        <f>+L2294*O2294</f>
        <v>1716</v>
      </c>
      <c r="S2294" s="72">
        <v>0</v>
      </c>
      <c r="T2294" s="72">
        <f>+L2294*S2294</f>
        <v>0</v>
      </c>
      <c r="U2294" s="72">
        <f>+R2294-T2294</f>
        <v>1716</v>
      </c>
      <c r="V2294" s="72">
        <f>+U2294*0</f>
        <v>0</v>
      </c>
      <c r="W2294" s="72">
        <f>+U2294-V2294</f>
        <v>1716</v>
      </c>
      <c r="X2294" s="72">
        <v>0</v>
      </c>
      <c r="Y2294" s="14">
        <f t="shared" si="128"/>
        <v>0</v>
      </c>
      <c r="Z2294" s="69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4685</v>
      </c>
      <c r="D2295" s="11">
        <v>16825</v>
      </c>
      <c r="E2295" s="11" t="s">
        <v>573</v>
      </c>
      <c r="F2295" s="11" t="s">
        <v>26</v>
      </c>
      <c r="G2295" s="11">
        <v>10345</v>
      </c>
      <c r="H2295" s="12" t="s">
        <v>143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69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4686</v>
      </c>
      <c r="D2296" s="11">
        <v>16826</v>
      </c>
      <c r="E2296" s="11" t="s">
        <v>98</v>
      </c>
      <c r="F2296" s="11" t="s">
        <v>26</v>
      </c>
      <c r="G2296" s="11">
        <v>9853</v>
      </c>
      <c r="H2296" s="12" t="s">
        <v>4469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69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4687</v>
      </c>
      <c r="D2297" s="11">
        <v>16827</v>
      </c>
      <c r="E2297" s="11" t="s">
        <v>555</v>
      </c>
      <c r="F2297" s="11" t="s">
        <v>26</v>
      </c>
      <c r="G2297" s="11">
        <v>69145</v>
      </c>
      <c r="H2297" s="12" t="s">
        <v>4444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69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4688</v>
      </c>
      <c r="D2298" s="11">
        <v>16828</v>
      </c>
      <c r="E2298" s="11" t="s">
        <v>504</v>
      </c>
      <c r="F2298" s="11" t="s">
        <v>26</v>
      </c>
      <c r="G2298" s="11">
        <v>815</v>
      </c>
      <c r="H2298" s="12" t="s">
        <v>144</v>
      </c>
      <c r="I2298" s="12" t="s">
        <v>37</v>
      </c>
      <c r="J2298" s="12" t="s">
        <v>602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69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4689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69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4690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69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4691</v>
      </c>
      <c r="D2301" s="11">
        <v>16831</v>
      </c>
      <c r="E2301" s="11" t="s">
        <v>592</v>
      </c>
      <c r="F2301" s="11" t="s">
        <v>26</v>
      </c>
      <c r="G2301" s="11">
        <v>56906</v>
      </c>
      <c r="H2301" s="12" t="s">
        <v>4444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69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4692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69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4693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4468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69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4694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166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69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4695</v>
      </c>
      <c r="D2305" s="11">
        <v>16835</v>
      </c>
      <c r="E2305" s="11" t="s">
        <v>447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560</v>
      </c>
      <c r="K2305" s="12" t="s">
        <v>561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69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4696</v>
      </c>
      <c r="D2306" s="11">
        <v>16836</v>
      </c>
      <c r="E2306" s="11" t="s">
        <v>243</v>
      </c>
      <c r="F2306" s="11" t="s">
        <v>26</v>
      </c>
      <c r="G2306" s="11" t="s">
        <v>26</v>
      </c>
      <c r="H2306" s="12" t="s">
        <v>4443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69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4697</v>
      </c>
      <c r="D2307" s="11">
        <v>16837</v>
      </c>
      <c r="E2307" s="11" t="s">
        <v>240</v>
      </c>
      <c r="F2307" s="11" t="s">
        <v>26</v>
      </c>
      <c r="G2307" s="11">
        <v>61871</v>
      </c>
      <c r="H2307" s="12" t="s">
        <v>4444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69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4698</v>
      </c>
      <c r="D2308" s="11">
        <v>16838</v>
      </c>
      <c r="E2308" s="11" t="s">
        <v>325</v>
      </c>
      <c r="F2308" s="11" t="s">
        <v>26</v>
      </c>
      <c r="G2308" s="11">
        <v>112400</v>
      </c>
      <c r="H2308" s="12" t="s">
        <v>4468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69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4699</v>
      </c>
      <c r="D2309" s="11">
        <v>16839</v>
      </c>
      <c r="E2309" s="11" t="s">
        <v>227</v>
      </c>
      <c r="F2309" s="11" t="s">
        <v>26</v>
      </c>
      <c r="G2309" s="11">
        <v>55349</v>
      </c>
      <c r="H2309" s="12" t="s">
        <v>4444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69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4700</v>
      </c>
      <c r="D2310" s="11">
        <v>16840</v>
      </c>
      <c r="E2310" s="11" t="s">
        <v>596</v>
      </c>
      <c r="F2310" s="11" t="s">
        <v>26</v>
      </c>
      <c r="G2310" s="11">
        <v>44318</v>
      </c>
      <c r="H2310" s="12" t="s">
        <v>4444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69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4701</v>
      </c>
      <c r="D2311" s="11">
        <v>16841</v>
      </c>
      <c r="E2311" s="11" t="s">
        <v>577</v>
      </c>
      <c r="F2311" s="11" t="s">
        <v>26</v>
      </c>
      <c r="G2311" s="11">
        <v>789</v>
      </c>
      <c r="H2311" s="12" t="s">
        <v>144</v>
      </c>
      <c r="I2311" s="12" t="s">
        <v>37</v>
      </c>
      <c r="J2311" s="12" t="s">
        <v>602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69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4702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144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69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4703</v>
      </c>
      <c r="D2313" s="11">
        <v>16843</v>
      </c>
      <c r="E2313" s="11" t="s">
        <v>180</v>
      </c>
      <c r="F2313" s="11" t="s">
        <v>26</v>
      </c>
      <c r="G2313" s="11">
        <v>791</v>
      </c>
      <c r="H2313" s="12" t="s">
        <v>144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69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4704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143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40</v>
      </c>
      <c r="P2314" s="13"/>
      <c r="Q2314" s="13">
        <v>0</v>
      </c>
      <c r="R2314" s="72">
        <f>+L2314*O2314</f>
        <v>1608</v>
      </c>
      <c r="S2314" s="72">
        <v>0</v>
      </c>
      <c r="T2314" s="72">
        <f>+L2314*S2314</f>
        <v>0</v>
      </c>
      <c r="U2314" s="72">
        <f>+R2314-T2314</f>
        <v>1608</v>
      </c>
      <c r="V2314" s="72">
        <f>+U2314*0</f>
        <v>0</v>
      </c>
      <c r="W2314" s="72">
        <f>+U2314-V2314</f>
        <v>1608</v>
      </c>
      <c r="X2314" s="72">
        <v>0</v>
      </c>
      <c r="Y2314" s="14">
        <f t="shared" si="148"/>
        <v>0</v>
      </c>
      <c r="Z2314" s="69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4705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144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69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4706</v>
      </c>
      <c r="D2316" s="11">
        <v>16846</v>
      </c>
      <c r="E2316" s="11" t="s">
        <v>3959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69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4707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568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69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4708</v>
      </c>
      <c r="D2318" s="11">
        <v>16848</v>
      </c>
      <c r="E2318" s="11" t="s">
        <v>662</v>
      </c>
      <c r="F2318" s="11" t="s">
        <v>26</v>
      </c>
      <c r="G2318" s="11">
        <v>863</v>
      </c>
      <c r="H2318" s="12" t="s">
        <v>144</v>
      </c>
      <c r="I2318" s="12" t="s">
        <v>37</v>
      </c>
      <c r="J2318" s="12" t="s">
        <v>602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69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4709</v>
      </c>
      <c r="D2319" s="11">
        <v>16849</v>
      </c>
      <c r="E2319" s="11" t="s">
        <v>607</v>
      </c>
      <c r="F2319" s="11" t="s">
        <v>26</v>
      </c>
      <c r="G2319" s="11">
        <v>1117</v>
      </c>
      <c r="H2319" s="12" t="s">
        <v>144</v>
      </c>
      <c r="I2319" s="12" t="s">
        <v>37</v>
      </c>
      <c r="J2319" s="12" t="s">
        <v>602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69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4710</v>
      </c>
      <c r="D2320" s="11">
        <v>16850</v>
      </c>
      <c r="E2320" s="11" t="s">
        <v>512</v>
      </c>
      <c r="F2320" s="11" t="s">
        <v>26</v>
      </c>
      <c r="G2320" s="11">
        <v>1311</v>
      </c>
      <c r="H2320" s="12" t="s">
        <v>144</v>
      </c>
      <c r="I2320" s="12" t="s">
        <v>37</v>
      </c>
      <c r="J2320" s="12" t="s">
        <v>602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69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4711</v>
      </c>
      <c r="D2321" s="11">
        <v>16851</v>
      </c>
      <c r="E2321" s="11" t="s">
        <v>447</v>
      </c>
      <c r="F2321" s="11" t="s">
        <v>26</v>
      </c>
      <c r="G2321" s="11">
        <v>2110</v>
      </c>
      <c r="H2321" s="12" t="s">
        <v>4471</v>
      </c>
      <c r="I2321" s="12" t="s">
        <v>37</v>
      </c>
      <c r="J2321" s="12" t="s">
        <v>4712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69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4713</v>
      </c>
      <c r="D2322" s="11">
        <v>16852</v>
      </c>
      <c r="E2322" s="11" t="s">
        <v>99</v>
      </c>
      <c r="F2322" s="11" t="s">
        <v>26</v>
      </c>
      <c r="G2322" s="11">
        <v>10711</v>
      </c>
      <c r="H2322" s="12" t="s">
        <v>143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40</v>
      </c>
      <c r="P2322" s="13"/>
      <c r="Q2322" s="13">
        <v>0</v>
      </c>
      <c r="R2322" s="72">
        <f>+L2322*O2322</f>
        <v>1647.2</v>
      </c>
      <c r="S2322" s="72">
        <v>0</v>
      </c>
      <c r="T2322" s="72">
        <f>+L2322*S2322</f>
        <v>0</v>
      </c>
      <c r="U2322" s="72">
        <f>+R2322-T2322</f>
        <v>1647.2</v>
      </c>
      <c r="V2322" s="72">
        <f>+U2322*0</f>
        <v>0</v>
      </c>
      <c r="W2322" s="72">
        <f>+U2322-V2322</f>
        <v>1647.2</v>
      </c>
      <c r="X2322" s="72">
        <v>0</v>
      </c>
      <c r="Y2322" s="14">
        <f t="shared" ref="Y2322:Y2326" si="155">T2322-X2322</f>
        <v>0</v>
      </c>
      <c r="Z2322" s="69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4714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144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69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4715</v>
      </c>
      <c r="D2324" s="11">
        <v>16854</v>
      </c>
      <c r="E2324" s="11" t="s">
        <v>3959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69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4716</v>
      </c>
      <c r="D2325" s="11">
        <v>16855</v>
      </c>
      <c r="E2325" s="11" t="s">
        <v>509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69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4717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4444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69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4718</v>
      </c>
      <c r="D2327" s="11">
        <v>16857</v>
      </c>
      <c r="E2327" s="11" t="s">
        <v>438</v>
      </c>
      <c r="F2327" s="11" t="s">
        <v>26</v>
      </c>
      <c r="G2327" s="11" t="s">
        <v>26</v>
      </c>
      <c r="H2327" s="12" t="s">
        <v>4443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69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4719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143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69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4720</v>
      </c>
      <c r="D2329" s="11">
        <v>16859</v>
      </c>
      <c r="E2329" s="11" t="s">
        <v>98</v>
      </c>
      <c r="F2329" s="11" t="s">
        <v>26</v>
      </c>
      <c r="G2329" s="11">
        <v>9854</v>
      </c>
      <c r="H2329" s="12" t="s">
        <v>4469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69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4721</v>
      </c>
      <c r="D2330" s="11">
        <v>16860</v>
      </c>
      <c r="E2330" s="11" t="s">
        <v>182</v>
      </c>
      <c r="F2330" s="11" t="s">
        <v>26</v>
      </c>
      <c r="G2330" s="11">
        <v>62067</v>
      </c>
      <c r="H2330" s="12" t="s">
        <v>4444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69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4722</v>
      </c>
      <c r="D2331" s="11">
        <v>16861</v>
      </c>
      <c r="E2331" s="11" t="s">
        <v>243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69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4723</v>
      </c>
      <c r="D2332" s="11">
        <v>16862</v>
      </c>
      <c r="E2332" s="11" t="s">
        <v>3959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69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4724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69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4725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69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4726</v>
      </c>
      <c r="D2335" s="11">
        <v>16865</v>
      </c>
      <c r="E2335" s="11" t="s">
        <v>573</v>
      </c>
      <c r="F2335" s="11" t="s">
        <v>26</v>
      </c>
      <c r="G2335" s="11">
        <v>10346</v>
      </c>
      <c r="H2335" s="12" t="s">
        <v>143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40</v>
      </c>
      <c r="P2335" s="13"/>
      <c r="Q2335" s="13">
        <v>0</v>
      </c>
      <c r="R2335" s="72">
        <f>+L2335*O2335</f>
        <v>1630.3999999999999</v>
      </c>
      <c r="S2335" s="72">
        <v>0</v>
      </c>
      <c r="T2335" s="72">
        <f>+L2335*S2335</f>
        <v>0</v>
      </c>
      <c r="U2335" s="72">
        <f>+R2335-T2335</f>
        <v>1630.3999999999999</v>
      </c>
      <c r="V2335" s="72">
        <f t="shared" si="168"/>
        <v>0</v>
      </c>
      <c r="W2335" s="72">
        <f>+U2335-V2335</f>
        <v>1630.3999999999999</v>
      </c>
      <c r="X2335" s="72">
        <v>0</v>
      </c>
      <c r="Y2335" s="14">
        <f t="shared" si="163"/>
        <v>0</v>
      </c>
      <c r="Z2335" s="69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4727</v>
      </c>
      <c r="D2336" s="11">
        <v>16866</v>
      </c>
      <c r="E2336" s="11" t="s">
        <v>2130</v>
      </c>
      <c r="F2336" s="11" t="s">
        <v>26</v>
      </c>
      <c r="G2336" s="11">
        <v>10615</v>
      </c>
      <c r="H2336" s="12" t="s">
        <v>143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40</v>
      </c>
      <c r="P2336" s="13"/>
      <c r="Q2336" s="13">
        <v>0</v>
      </c>
      <c r="R2336" s="72">
        <f>+L2336*O2336</f>
        <v>1639.1999999999998</v>
      </c>
      <c r="S2336" s="72">
        <v>0</v>
      </c>
      <c r="T2336" s="72">
        <f>+L2336*S2336</f>
        <v>0</v>
      </c>
      <c r="U2336" s="72">
        <f>+R2336-T2336</f>
        <v>1639.1999999999998</v>
      </c>
      <c r="V2336" s="72">
        <f t="shared" si="168"/>
        <v>0</v>
      </c>
      <c r="W2336" s="72">
        <f>+U2336-V2336</f>
        <v>1639.1999999999998</v>
      </c>
      <c r="X2336" s="72">
        <v>0</v>
      </c>
      <c r="Y2336" s="14">
        <f t="shared" si="163"/>
        <v>0</v>
      </c>
      <c r="Z2336" s="69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4728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166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69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4729</v>
      </c>
      <c r="D2338" s="11">
        <v>16868</v>
      </c>
      <c r="E2338" s="11" t="s">
        <v>564</v>
      </c>
      <c r="F2338" s="11" t="s">
        <v>26</v>
      </c>
      <c r="G2338" s="11">
        <v>112411</v>
      </c>
      <c r="H2338" s="12" t="s">
        <v>4468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69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4730</v>
      </c>
      <c r="D2339" s="11">
        <v>16869</v>
      </c>
      <c r="E2339" s="11" t="s">
        <v>499</v>
      </c>
      <c r="F2339" s="11" t="s">
        <v>26</v>
      </c>
      <c r="G2339" s="11">
        <v>22920</v>
      </c>
      <c r="H2339" s="12" t="s">
        <v>4470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69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4731</v>
      </c>
      <c r="D2340" s="11">
        <v>16870</v>
      </c>
      <c r="E2340" s="11" t="s">
        <v>555</v>
      </c>
      <c r="F2340" s="11" t="s">
        <v>26</v>
      </c>
      <c r="G2340" s="11">
        <v>69146</v>
      </c>
      <c r="H2340" s="12" t="s">
        <v>4444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69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4732</v>
      </c>
      <c r="D2341" s="11">
        <v>16871</v>
      </c>
      <c r="E2341" s="11" t="s">
        <v>101</v>
      </c>
      <c r="F2341" s="11" t="s">
        <v>26</v>
      </c>
      <c r="G2341" s="11">
        <v>21743</v>
      </c>
      <c r="H2341" s="12" t="s">
        <v>4470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69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4733</v>
      </c>
      <c r="D2342" s="11">
        <v>16872</v>
      </c>
      <c r="E2342" s="11" t="s">
        <v>556</v>
      </c>
      <c r="F2342" s="11" t="s">
        <v>26</v>
      </c>
      <c r="G2342" s="11">
        <v>4676</v>
      </c>
      <c r="H2342" s="12" t="s">
        <v>4444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69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4734</v>
      </c>
      <c r="D2343" s="11">
        <v>16873</v>
      </c>
      <c r="E2343" s="11" t="s">
        <v>325</v>
      </c>
      <c r="F2343" s="11" t="s">
        <v>26</v>
      </c>
      <c r="G2343" s="11">
        <v>112413</v>
      </c>
      <c r="H2343" s="12" t="s">
        <v>4468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69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4735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69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4736</v>
      </c>
      <c r="D2345" s="11">
        <v>16875</v>
      </c>
      <c r="E2345" s="11" t="s">
        <v>227</v>
      </c>
      <c r="F2345" s="11" t="s">
        <v>26</v>
      </c>
      <c r="G2345" s="11">
        <v>55350</v>
      </c>
      <c r="H2345" s="12" t="s">
        <v>4444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69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4737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69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4738</v>
      </c>
      <c r="D2347" s="11">
        <v>16877</v>
      </c>
      <c r="E2347" s="11" t="s">
        <v>2147</v>
      </c>
      <c r="F2347" s="11" t="s">
        <v>26</v>
      </c>
      <c r="G2347" s="11">
        <v>112414</v>
      </c>
      <c r="H2347" s="12" t="s">
        <v>4468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69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4739</v>
      </c>
      <c r="D2348" s="11">
        <v>16878</v>
      </c>
      <c r="E2348" s="11" t="s">
        <v>1746</v>
      </c>
      <c r="F2348" s="11" t="s">
        <v>26</v>
      </c>
      <c r="G2348" s="11">
        <v>3299</v>
      </c>
      <c r="H2348" s="12" t="s">
        <v>4470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69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4740</v>
      </c>
      <c r="D2349" s="11">
        <v>16879</v>
      </c>
      <c r="E2349" s="11" t="s">
        <v>484</v>
      </c>
      <c r="F2349" s="11" t="s">
        <v>26</v>
      </c>
      <c r="G2349" s="11">
        <v>74000</v>
      </c>
      <c r="H2349" s="12" t="s">
        <v>4470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69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4741</v>
      </c>
      <c r="D2350" s="11">
        <v>16880</v>
      </c>
      <c r="E2350" s="11" t="s">
        <v>464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69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4742</v>
      </c>
      <c r="D2351" s="11">
        <v>16881</v>
      </c>
      <c r="E2351" s="11" t="s">
        <v>2130</v>
      </c>
      <c r="F2351" s="11" t="s">
        <v>26</v>
      </c>
      <c r="G2351" s="11">
        <v>10616</v>
      </c>
      <c r="H2351" s="12" t="s">
        <v>143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69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4743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4443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69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4744</v>
      </c>
      <c r="D2353" s="11">
        <v>16883</v>
      </c>
      <c r="E2353" s="11" t="s">
        <v>99</v>
      </c>
      <c r="F2353" s="11" t="s">
        <v>26</v>
      </c>
      <c r="G2353" s="11">
        <v>10712</v>
      </c>
      <c r="H2353" s="12" t="s">
        <v>143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40</v>
      </c>
      <c r="P2353" s="13"/>
      <c r="Q2353" s="13">
        <v>0</v>
      </c>
      <c r="R2353" s="72">
        <f>+L2353*O2353</f>
        <v>1648.8</v>
      </c>
      <c r="S2353" s="72">
        <v>0</v>
      </c>
      <c r="T2353" s="72">
        <f>+L2353*S2353</f>
        <v>0</v>
      </c>
      <c r="U2353" s="72">
        <f>+R2353-T2353</f>
        <v>1648.8</v>
      </c>
      <c r="V2353" s="72">
        <f t="shared" ref="V2353" si="192">+U2353*0</f>
        <v>0</v>
      </c>
      <c r="W2353" s="72">
        <f>+U2353-V2353</f>
        <v>1648.8</v>
      </c>
      <c r="X2353" s="72">
        <v>0</v>
      </c>
      <c r="Y2353" s="14">
        <f t="shared" ref="Y2353:Y2355" si="193">T2353-X2353</f>
        <v>0</v>
      </c>
      <c r="Z2353" s="69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4745</v>
      </c>
      <c r="D2354" s="11">
        <v>16884</v>
      </c>
      <c r="E2354" s="11" t="s">
        <v>592</v>
      </c>
      <c r="F2354" s="11" t="s">
        <v>26</v>
      </c>
      <c r="G2354" s="11">
        <v>56907</v>
      </c>
      <c r="H2354" s="12" t="s">
        <v>4444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69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4746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4470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69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4747</v>
      </c>
      <c r="D2356" s="11">
        <v>16886</v>
      </c>
      <c r="E2356" s="11" t="s">
        <v>243</v>
      </c>
      <c r="F2356" s="11" t="s">
        <v>26</v>
      </c>
      <c r="G2356" s="11" t="s">
        <v>26</v>
      </c>
      <c r="H2356" s="12" t="s">
        <v>4443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69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4748</v>
      </c>
      <c r="D2357" s="11">
        <v>16887</v>
      </c>
      <c r="E2357" s="11" t="s">
        <v>523</v>
      </c>
      <c r="F2357" s="11" t="s">
        <v>26</v>
      </c>
      <c r="G2357" s="11">
        <v>4389</v>
      </c>
      <c r="H2357" s="12" t="s">
        <v>143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40</v>
      </c>
      <c r="P2357" s="13"/>
      <c r="Q2357" s="13">
        <v>0</v>
      </c>
      <c r="R2357" s="72">
        <f>+L2357*O2357</f>
        <v>1640.8000000000002</v>
      </c>
      <c r="S2357" s="72">
        <v>0</v>
      </c>
      <c r="T2357" s="72">
        <f>+L2357*S2357</f>
        <v>0</v>
      </c>
      <c r="U2357" s="72">
        <f>+R2357-T2357</f>
        <v>1640.8000000000002</v>
      </c>
      <c r="V2357" s="72">
        <f t="shared" ref="V2357:V2358" si="198">+U2357*0</f>
        <v>0</v>
      </c>
      <c r="W2357" s="72">
        <f>+U2357-V2357</f>
        <v>1640.8000000000002</v>
      </c>
      <c r="X2357" s="72">
        <v>0</v>
      </c>
      <c r="Y2357" s="14">
        <f t="shared" ref="Y2357:Y2380" si="199">T2357-X2357</f>
        <v>0</v>
      </c>
      <c r="Z2357" s="69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4749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143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69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4750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166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69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4751</v>
      </c>
      <c r="D2360" s="11">
        <v>16890</v>
      </c>
      <c r="E2360" s="11" t="s">
        <v>489</v>
      </c>
      <c r="F2360" s="11" t="s">
        <v>26</v>
      </c>
      <c r="G2360" s="11">
        <v>70303</v>
      </c>
      <c r="H2360" s="12" t="s">
        <v>4470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69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4752</v>
      </c>
      <c r="D2361" s="11">
        <v>16891</v>
      </c>
      <c r="E2361" s="11" t="s">
        <v>547</v>
      </c>
      <c r="F2361" s="11" t="s">
        <v>26</v>
      </c>
      <c r="G2361" s="11">
        <v>70184</v>
      </c>
      <c r="H2361" s="12" t="s">
        <v>4470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69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4753</v>
      </c>
      <c r="D2362" s="11">
        <v>16892</v>
      </c>
      <c r="E2362" s="11" t="s">
        <v>528</v>
      </c>
      <c r="F2362" s="11" t="s">
        <v>26</v>
      </c>
      <c r="G2362" s="11">
        <v>26339</v>
      </c>
      <c r="H2362" s="12" t="s">
        <v>4470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69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4754</v>
      </c>
      <c r="D2363" s="11">
        <v>16893</v>
      </c>
      <c r="E2363" s="11" t="s">
        <v>3959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69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4755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4444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69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4756</v>
      </c>
      <c r="D2365" s="11">
        <v>16895</v>
      </c>
      <c r="E2365" s="11" t="s">
        <v>555</v>
      </c>
      <c r="F2365" s="11" t="s">
        <v>26</v>
      </c>
      <c r="G2365" s="11">
        <v>69147</v>
      </c>
      <c r="H2365" s="12" t="s">
        <v>4444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69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4757</v>
      </c>
      <c r="D2366" s="11">
        <v>16896</v>
      </c>
      <c r="E2366" s="11" t="s">
        <v>3959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69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4758</v>
      </c>
      <c r="D2367" s="11">
        <v>16897</v>
      </c>
      <c r="E2367" s="11" t="s">
        <v>447</v>
      </c>
      <c r="F2367" s="11" t="s">
        <v>26</v>
      </c>
      <c r="G2367" s="11">
        <v>2111</v>
      </c>
      <c r="H2367" s="12" t="s">
        <v>4471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69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4759</v>
      </c>
      <c r="D2368" s="11">
        <v>16898</v>
      </c>
      <c r="E2368" s="11" t="s">
        <v>234</v>
      </c>
      <c r="F2368" s="11" t="s">
        <v>26</v>
      </c>
      <c r="G2368" s="11">
        <v>22963</v>
      </c>
      <c r="H2368" s="12" t="s">
        <v>4470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69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4760</v>
      </c>
      <c r="D2369" s="11">
        <v>16899</v>
      </c>
      <c r="E2369" s="11" t="s">
        <v>1221</v>
      </c>
      <c r="F2369" s="11" t="s">
        <v>26</v>
      </c>
      <c r="G2369" s="11">
        <v>2952</v>
      </c>
      <c r="H2369" s="12" t="s">
        <v>166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69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4761</v>
      </c>
      <c r="D2370" s="11">
        <v>16900</v>
      </c>
      <c r="E2370" s="11" t="s">
        <v>464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69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4762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568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69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4763</v>
      </c>
      <c r="D2372" s="11">
        <v>16902</v>
      </c>
      <c r="E2372" s="11" t="s">
        <v>233</v>
      </c>
      <c r="F2372" s="11" t="s">
        <v>26</v>
      </c>
      <c r="G2372" s="11">
        <v>23150</v>
      </c>
      <c r="H2372" s="12" t="s">
        <v>568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69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4764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69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4765</v>
      </c>
      <c r="D2374" s="11">
        <v>16904</v>
      </c>
      <c r="E2374" s="11" t="s">
        <v>3959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69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4766</v>
      </c>
      <c r="D2375" s="11">
        <v>16905</v>
      </c>
      <c r="E2375" s="11" t="s">
        <v>522</v>
      </c>
      <c r="F2375" s="11" t="s">
        <v>26</v>
      </c>
      <c r="G2375" s="11">
        <v>21768</v>
      </c>
      <c r="H2375" s="12" t="s">
        <v>4470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69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4767</v>
      </c>
      <c r="D2376" s="11">
        <v>16906</v>
      </c>
      <c r="E2376" s="11" t="s">
        <v>249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69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4768</v>
      </c>
      <c r="D2377" s="11">
        <v>16907</v>
      </c>
      <c r="E2377" s="11" t="s">
        <v>99</v>
      </c>
      <c r="F2377" s="11" t="s">
        <v>26</v>
      </c>
      <c r="G2377" s="11">
        <v>10713</v>
      </c>
      <c r="H2377" s="12" t="s">
        <v>143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40</v>
      </c>
      <c r="P2377" s="13"/>
      <c r="Q2377" s="13">
        <v>0</v>
      </c>
      <c r="R2377" s="72">
        <f>+L2377*O2377</f>
        <v>1577.6</v>
      </c>
      <c r="S2377" s="72">
        <v>0</v>
      </c>
      <c r="T2377" s="72">
        <f>+L2377*S2377</f>
        <v>0</v>
      </c>
      <c r="U2377" s="72">
        <f>+R2377-T2377</f>
        <v>1577.6</v>
      </c>
      <c r="V2377" s="72">
        <f t="shared" ref="V2377:V2380" si="216">+U2377*0</f>
        <v>0</v>
      </c>
      <c r="W2377" s="72">
        <f>+U2377-V2377</f>
        <v>1577.6</v>
      </c>
      <c r="X2377" s="72">
        <v>0</v>
      </c>
      <c r="Y2377" s="14">
        <f t="shared" si="199"/>
        <v>0</v>
      </c>
      <c r="Z2377" s="69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4769</v>
      </c>
      <c r="D2378" s="11">
        <v>16908</v>
      </c>
      <c r="E2378" s="11" t="s">
        <v>2130</v>
      </c>
      <c r="F2378" s="11" t="s">
        <v>26</v>
      </c>
      <c r="G2378" s="11">
        <v>10617</v>
      </c>
      <c r="H2378" s="12" t="s">
        <v>143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40</v>
      </c>
      <c r="P2378" s="13"/>
      <c r="Q2378" s="13">
        <v>0</v>
      </c>
      <c r="R2378" s="72">
        <f>+L2378*O2378</f>
        <v>1625.6</v>
      </c>
      <c r="S2378" s="72">
        <v>0</v>
      </c>
      <c r="T2378" s="72">
        <f>+L2378*S2378</f>
        <v>0</v>
      </c>
      <c r="U2378" s="72">
        <f>+R2378-T2378</f>
        <v>1625.6</v>
      </c>
      <c r="V2378" s="72">
        <f t="shared" si="216"/>
        <v>0</v>
      </c>
      <c r="W2378" s="72">
        <f>+U2378-V2378</f>
        <v>1625.6</v>
      </c>
      <c r="X2378" s="72">
        <v>0</v>
      </c>
      <c r="Y2378" s="14">
        <f t="shared" si="199"/>
        <v>0</v>
      </c>
      <c r="Z2378" s="69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4770</v>
      </c>
      <c r="D2379" s="11">
        <v>16909</v>
      </c>
      <c r="E2379" s="11" t="s">
        <v>523</v>
      </c>
      <c r="F2379" s="11" t="s">
        <v>26</v>
      </c>
      <c r="G2379" s="11">
        <v>4390</v>
      </c>
      <c r="H2379" s="12" t="s">
        <v>143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40</v>
      </c>
      <c r="P2379" s="13"/>
      <c r="Q2379" s="13">
        <v>0</v>
      </c>
      <c r="R2379" s="72">
        <f>+L2379*O2379</f>
        <v>1602.4</v>
      </c>
      <c r="S2379" s="72">
        <v>0</v>
      </c>
      <c r="T2379" s="72">
        <f>+L2379*S2379</f>
        <v>0</v>
      </c>
      <c r="U2379" s="72">
        <f>+R2379-T2379</f>
        <v>1602.4</v>
      </c>
      <c r="V2379" s="72">
        <f t="shared" si="216"/>
        <v>0</v>
      </c>
      <c r="W2379" s="72">
        <f>+U2379-V2379</f>
        <v>1602.4</v>
      </c>
      <c r="X2379" s="72">
        <v>0</v>
      </c>
      <c r="Y2379" s="14">
        <f t="shared" si="199"/>
        <v>0</v>
      </c>
      <c r="Z2379" s="69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4771</v>
      </c>
      <c r="D2380" s="11">
        <v>16910</v>
      </c>
      <c r="E2380" s="11" t="s">
        <v>3959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69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4772</v>
      </c>
      <c r="D2381" s="11">
        <v>16911</v>
      </c>
      <c r="E2381" s="11" t="s">
        <v>243</v>
      </c>
      <c r="F2381" s="11" t="s">
        <v>26</v>
      </c>
      <c r="G2381" s="11" t="s">
        <v>26</v>
      </c>
      <c r="H2381" s="12" t="s">
        <v>4443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69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4773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69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4774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144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69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4775</v>
      </c>
      <c r="D2384" s="11">
        <v>16914</v>
      </c>
      <c r="E2384" s="11" t="s">
        <v>489</v>
      </c>
      <c r="F2384" s="11" t="s">
        <v>26</v>
      </c>
      <c r="G2384" s="11">
        <v>70304</v>
      </c>
      <c r="H2384" s="12" t="s">
        <v>4470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69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4776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143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40</v>
      </c>
      <c r="P2385" s="13"/>
      <c r="Q2385" s="13">
        <v>0</v>
      </c>
      <c r="R2385" s="72">
        <f>+L2385*O2385</f>
        <v>1637.6</v>
      </c>
      <c r="S2385" s="72">
        <v>0</v>
      </c>
      <c r="T2385" s="72">
        <f>+L2385*S2385</f>
        <v>0</v>
      </c>
      <c r="U2385" s="72">
        <f>+R2385-T2385</f>
        <v>1637.6</v>
      </c>
      <c r="V2385" s="72">
        <f t="shared" ref="V2385" si="223">+U2385*0</f>
        <v>0</v>
      </c>
      <c r="W2385" s="72">
        <f>+U2385-V2385</f>
        <v>1637.6</v>
      </c>
      <c r="X2385" s="72">
        <v>0</v>
      </c>
      <c r="Y2385" s="14">
        <f t="shared" si="222"/>
        <v>0</v>
      </c>
      <c r="Z2385" s="69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4777</v>
      </c>
      <c r="D2386" s="11">
        <v>16916</v>
      </c>
      <c r="E2386" s="11" t="s">
        <v>447</v>
      </c>
      <c r="F2386" s="11" t="s">
        <v>26</v>
      </c>
      <c r="G2386" s="11">
        <v>2112</v>
      </c>
      <c r="H2386" s="12" t="s">
        <v>4471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69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4778</v>
      </c>
      <c r="D2387" s="11">
        <v>16917</v>
      </c>
      <c r="E2387" s="11" t="s">
        <v>573</v>
      </c>
      <c r="F2387" s="11" t="s">
        <v>26</v>
      </c>
      <c r="G2387" s="11">
        <v>10347</v>
      </c>
      <c r="H2387" s="12" t="s">
        <v>143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40</v>
      </c>
      <c r="P2387" s="13"/>
      <c r="Q2387" s="13">
        <v>0</v>
      </c>
      <c r="R2387" s="72">
        <f>+L2387*O2387</f>
        <v>1588</v>
      </c>
      <c r="S2387" s="72">
        <v>0</v>
      </c>
      <c r="T2387" s="72">
        <f>+L2387*S2387</f>
        <v>0</v>
      </c>
      <c r="U2387" s="72">
        <f>+R2387-T2387</f>
        <v>1588</v>
      </c>
      <c r="V2387" s="72">
        <f t="shared" ref="V2387" si="224">+U2387*0</f>
        <v>0</v>
      </c>
      <c r="W2387" s="72">
        <f>+U2387-V2387</f>
        <v>1588</v>
      </c>
      <c r="X2387" s="72">
        <v>0</v>
      </c>
      <c r="Y2387" s="14">
        <f t="shared" si="222"/>
        <v>0</v>
      </c>
      <c r="Z2387" s="69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4779</v>
      </c>
      <c r="D2388" s="11">
        <v>16918</v>
      </c>
      <c r="E2388" s="11" t="s">
        <v>662</v>
      </c>
      <c r="F2388" s="11" t="s">
        <v>26</v>
      </c>
      <c r="G2388" s="11">
        <v>864</v>
      </c>
      <c r="H2388" s="12" t="s">
        <v>144</v>
      </c>
      <c r="I2388" s="12" t="s">
        <v>37</v>
      </c>
      <c r="J2388" s="12" t="s">
        <v>602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69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4780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143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40</v>
      </c>
      <c r="P2389" s="13"/>
      <c r="Q2389" s="13">
        <v>0</v>
      </c>
      <c r="R2389" s="72">
        <f>+L2389*O2389</f>
        <v>1668.8</v>
      </c>
      <c r="S2389" s="72">
        <v>0</v>
      </c>
      <c r="T2389" s="72">
        <f>+L2389*S2389</f>
        <v>0</v>
      </c>
      <c r="U2389" s="72">
        <f>+R2389-T2389</f>
        <v>1668.8</v>
      </c>
      <c r="V2389" s="72">
        <f t="shared" ref="V2389" si="225">+U2389*0</f>
        <v>0</v>
      </c>
      <c r="W2389" s="72">
        <f>+U2389-V2389</f>
        <v>1668.8</v>
      </c>
      <c r="X2389" s="72">
        <v>0</v>
      </c>
      <c r="Y2389" s="14">
        <f t="shared" si="222"/>
        <v>0</v>
      </c>
      <c r="Z2389" s="69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4781</v>
      </c>
      <c r="D2390" s="11">
        <v>16920</v>
      </c>
      <c r="E2390" s="11" t="s">
        <v>542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69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4782</v>
      </c>
      <c r="D2391" s="11">
        <v>16921</v>
      </c>
      <c r="E2391" s="11" t="s">
        <v>1672</v>
      </c>
      <c r="F2391" s="11" t="s">
        <v>26</v>
      </c>
      <c r="G2391" s="11">
        <v>42041</v>
      </c>
      <c r="H2391" s="12" t="s">
        <v>568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69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4783</v>
      </c>
      <c r="D2392" s="11">
        <v>16922</v>
      </c>
      <c r="E2392" s="11" t="s">
        <v>3959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69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4784</v>
      </c>
      <c r="D2393" s="11">
        <v>16923</v>
      </c>
      <c r="E2393" s="11" t="s">
        <v>1681</v>
      </c>
      <c r="F2393" s="11" t="s">
        <v>26</v>
      </c>
      <c r="G2393" s="11">
        <v>42271</v>
      </c>
      <c r="H2393" s="12" t="s">
        <v>568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69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4785</v>
      </c>
      <c r="D2394" s="11">
        <v>16924</v>
      </c>
      <c r="E2394" s="11" t="s">
        <v>4786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69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4787</v>
      </c>
      <c r="D2395" s="11">
        <v>16925</v>
      </c>
      <c r="E2395" s="11" t="s">
        <v>4788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69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4789</v>
      </c>
      <c r="D2396" s="11">
        <v>16926</v>
      </c>
      <c r="E2396" s="11" t="s">
        <v>528</v>
      </c>
      <c r="F2396" s="11" t="s">
        <v>26</v>
      </c>
      <c r="G2396" s="11">
        <v>26340</v>
      </c>
      <c r="H2396" s="12" t="s">
        <v>4470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69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4790</v>
      </c>
      <c r="D2397" s="11">
        <v>16927</v>
      </c>
      <c r="E2397" s="11" t="s">
        <v>607</v>
      </c>
      <c r="F2397" s="11" t="s">
        <v>26</v>
      </c>
      <c r="G2397" s="11">
        <v>1118</v>
      </c>
      <c r="H2397" s="12" t="s">
        <v>144</v>
      </c>
      <c r="I2397" s="12" t="s">
        <v>37</v>
      </c>
      <c r="J2397" s="12" t="s">
        <v>602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69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4791</v>
      </c>
      <c r="D2398" s="11">
        <v>16928</v>
      </c>
      <c r="E2398" s="11" t="s">
        <v>3959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69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4792</v>
      </c>
      <c r="D2399" s="11">
        <v>16929</v>
      </c>
      <c r="E2399" s="11" t="s">
        <v>464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69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4793</v>
      </c>
      <c r="D2400" s="11">
        <v>16930</v>
      </c>
      <c r="E2400" s="11" t="s">
        <v>227</v>
      </c>
      <c r="F2400" s="11" t="s">
        <v>26</v>
      </c>
      <c r="G2400" s="11">
        <v>3201</v>
      </c>
      <c r="H2400" s="12" t="s">
        <v>4444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69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4794</v>
      </c>
      <c r="D2401" s="11">
        <v>16931</v>
      </c>
      <c r="E2401" s="11" t="s">
        <v>592</v>
      </c>
      <c r="F2401" s="11" t="s">
        <v>26</v>
      </c>
      <c r="G2401" s="11">
        <v>56908</v>
      </c>
      <c r="H2401" s="12" t="s">
        <v>4444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69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4795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69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4796</v>
      </c>
      <c r="D2403" s="11">
        <v>16933</v>
      </c>
      <c r="E2403" s="11" t="s">
        <v>249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69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4797</v>
      </c>
      <c r="D2404" s="11">
        <v>16934</v>
      </c>
      <c r="E2404" s="11" t="s">
        <v>447</v>
      </c>
      <c r="F2404" s="11" t="s">
        <v>26</v>
      </c>
      <c r="G2404" s="11">
        <v>2113</v>
      </c>
      <c r="H2404" s="12" t="s">
        <v>4471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69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4798</v>
      </c>
      <c r="D2405" s="11">
        <v>16935</v>
      </c>
      <c r="E2405" s="11" t="s">
        <v>243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69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4799</v>
      </c>
      <c r="D2406" s="11">
        <v>16936</v>
      </c>
      <c r="E2406" s="11" t="s">
        <v>4800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69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4801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144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69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4802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69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4803</v>
      </c>
      <c r="D2409" s="11">
        <v>16939</v>
      </c>
      <c r="E2409" s="11" t="s">
        <v>542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69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4804</v>
      </c>
      <c r="D2410" s="11">
        <v>16940</v>
      </c>
      <c r="E2410" s="11" t="s">
        <v>523</v>
      </c>
      <c r="F2410" s="11" t="s">
        <v>26</v>
      </c>
      <c r="G2410" s="11">
        <v>4391</v>
      </c>
      <c r="H2410" s="12" t="s">
        <v>143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40</v>
      </c>
      <c r="P2410" s="13"/>
      <c r="Q2410" s="13">
        <v>0</v>
      </c>
      <c r="R2410" s="72">
        <f>+L2410*O2410</f>
        <v>1576</v>
      </c>
      <c r="S2410" s="72">
        <v>0</v>
      </c>
      <c r="T2410" s="72">
        <f>+L2410*S2410</f>
        <v>0</v>
      </c>
      <c r="U2410" s="72">
        <f>+R2410-T2410</f>
        <v>1576</v>
      </c>
      <c r="V2410" s="72">
        <f t="shared" ref="V2410" si="248">+U2410*0</f>
        <v>0</v>
      </c>
      <c r="W2410" s="72">
        <f>+U2410-V2410</f>
        <v>1576</v>
      </c>
      <c r="X2410" s="72">
        <v>0</v>
      </c>
      <c r="Y2410" s="14">
        <f t="shared" si="245"/>
        <v>0</v>
      </c>
      <c r="Z2410" s="69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4805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166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69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4806</v>
      </c>
      <c r="D2412" s="11">
        <v>16942</v>
      </c>
      <c r="E2412" s="11" t="s">
        <v>4786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69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4807</v>
      </c>
      <c r="D2413" s="11">
        <v>16943</v>
      </c>
      <c r="E2413" s="11" t="s">
        <v>4788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69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4808</v>
      </c>
      <c r="D2414" s="11">
        <v>16944</v>
      </c>
      <c r="E2414" s="11" t="s">
        <v>499</v>
      </c>
      <c r="F2414" s="11" t="s">
        <v>26</v>
      </c>
      <c r="G2414" s="11">
        <v>22921</v>
      </c>
      <c r="H2414" s="12" t="s">
        <v>4470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69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4809</v>
      </c>
      <c r="D2415" s="11">
        <v>16945</v>
      </c>
      <c r="E2415" s="11" t="s">
        <v>101</v>
      </c>
      <c r="F2415" s="11" t="s">
        <v>26</v>
      </c>
      <c r="G2415" s="11">
        <v>21746</v>
      </c>
      <c r="H2415" s="12" t="s">
        <v>4470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69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4810</v>
      </c>
      <c r="D2416" s="11">
        <v>16946</v>
      </c>
      <c r="E2416" s="11" t="s">
        <v>555</v>
      </c>
      <c r="F2416" s="11" t="s">
        <v>26</v>
      </c>
      <c r="G2416" s="11">
        <v>69149</v>
      </c>
      <c r="H2416" s="12" t="s">
        <v>4444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69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4811</v>
      </c>
      <c r="D2417" s="11">
        <v>16947</v>
      </c>
      <c r="E2417" s="11" t="s">
        <v>484</v>
      </c>
      <c r="F2417" s="11" t="s">
        <v>26</v>
      </c>
      <c r="G2417" s="11">
        <v>78801</v>
      </c>
      <c r="H2417" s="12" t="s">
        <v>4470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69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4812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166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69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4813</v>
      </c>
      <c r="D2419" s="11">
        <v>16949</v>
      </c>
      <c r="E2419" s="11" t="s">
        <v>542</v>
      </c>
      <c r="F2419" s="11" t="s">
        <v>26</v>
      </c>
      <c r="G2419" s="11" t="s">
        <v>26</v>
      </c>
      <c r="H2419" s="12" t="s">
        <v>4443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69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4814</v>
      </c>
      <c r="D2420" s="11">
        <v>16950</v>
      </c>
      <c r="E2420" s="11" t="s">
        <v>483</v>
      </c>
      <c r="F2420" s="11" t="s">
        <v>26</v>
      </c>
      <c r="G2420" s="11">
        <v>70411</v>
      </c>
      <c r="H2420" s="12" t="s">
        <v>4470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69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4815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69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4816</v>
      </c>
      <c r="D2422" s="11">
        <v>16952</v>
      </c>
      <c r="E2422" s="11" t="s">
        <v>486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69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4817</v>
      </c>
      <c r="D2423" s="11">
        <v>16953</v>
      </c>
      <c r="E2423" s="11" t="s">
        <v>493</v>
      </c>
      <c r="F2423" s="11" t="s">
        <v>26</v>
      </c>
      <c r="G2423" s="11">
        <v>22109</v>
      </c>
      <c r="H2423" s="12" t="s">
        <v>4470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69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4818</v>
      </c>
      <c r="D2424" s="11">
        <v>16954</v>
      </c>
      <c r="E2424" s="11" t="s">
        <v>464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69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4819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4443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69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4820</v>
      </c>
      <c r="D2426" s="11">
        <v>16956</v>
      </c>
      <c r="E2426" s="11" t="s">
        <v>482</v>
      </c>
      <c r="F2426" s="11" t="s">
        <v>26</v>
      </c>
      <c r="G2426" s="11">
        <v>22006</v>
      </c>
      <c r="H2426" s="12" t="s">
        <v>4470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69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4821</v>
      </c>
      <c r="D2427" s="11">
        <v>16957</v>
      </c>
      <c r="E2427" s="11" t="s">
        <v>249</v>
      </c>
      <c r="F2427" s="11" t="s">
        <v>26</v>
      </c>
      <c r="G2427" s="11" t="s">
        <v>26</v>
      </c>
      <c r="H2427" s="12" t="s">
        <v>4443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69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4822</v>
      </c>
      <c r="D2428" s="11">
        <v>16958</v>
      </c>
      <c r="E2428" s="11" t="s">
        <v>243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69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4823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69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4824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69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4825</v>
      </c>
      <c r="D2431" s="11">
        <v>16961</v>
      </c>
      <c r="E2431" s="11" t="s">
        <v>1221</v>
      </c>
      <c r="F2431" s="11" t="s">
        <v>26</v>
      </c>
      <c r="G2431" s="11">
        <v>2953</v>
      </c>
      <c r="H2431" s="12" t="s">
        <v>166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69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4826</v>
      </c>
      <c r="D2432" s="11">
        <v>16962</v>
      </c>
      <c r="E2432" s="11" t="s">
        <v>562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69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4827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143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69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4828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69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4829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144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69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4830</v>
      </c>
      <c r="D2436" s="11">
        <v>16966</v>
      </c>
      <c r="E2436" s="11" t="s">
        <v>438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69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4831</v>
      </c>
      <c r="D2437" s="11">
        <v>16967</v>
      </c>
      <c r="E2437" s="11" t="s">
        <v>4800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69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4832</v>
      </c>
      <c r="D2438" s="11">
        <v>16968</v>
      </c>
      <c r="E2438" s="11" t="s">
        <v>233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69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4833</v>
      </c>
      <c r="D2439" s="11">
        <v>16969</v>
      </c>
      <c r="E2439" s="11" t="s">
        <v>592</v>
      </c>
      <c r="F2439" s="11" t="s">
        <v>26</v>
      </c>
      <c r="G2439" s="11">
        <v>56909</v>
      </c>
      <c r="H2439" s="12" t="s">
        <v>4444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69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4834</v>
      </c>
      <c r="D2440" s="11">
        <v>16970</v>
      </c>
      <c r="E2440" s="11" t="s">
        <v>4835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69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4836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4468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69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4837</v>
      </c>
      <c r="D2442" s="11">
        <v>16972</v>
      </c>
      <c r="E2442" s="11" t="s">
        <v>492</v>
      </c>
      <c r="F2442" s="11" t="s">
        <v>26</v>
      </c>
      <c r="G2442" s="11">
        <v>77492</v>
      </c>
      <c r="H2442" s="12" t="s">
        <v>4470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69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4838</v>
      </c>
      <c r="D2443" s="11">
        <v>16973</v>
      </c>
      <c r="E2443" s="11" t="s">
        <v>4800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69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4839</v>
      </c>
      <c r="D2444" s="11">
        <v>16975</v>
      </c>
      <c r="E2444" s="11" t="s">
        <v>596</v>
      </c>
      <c r="F2444" s="11" t="s">
        <v>26</v>
      </c>
      <c r="G2444" s="11">
        <v>44320</v>
      </c>
      <c r="H2444" s="12" t="s">
        <v>4444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69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4840</v>
      </c>
      <c r="D2445" s="11">
        <v>16976</v>
      </c>
      <c r="E2445" s="11" t="s">
        <v>4841</v>
      </c>
      <c r="F2445" s="11" t="s">
        <v>26</v>
      </c>
      <c r="G2445" s="11">
        <v>72352</v>
      </c>
      <c r="H2445" s="12" t="s">
        <v>4470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69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4842</v>
      </c>
      <c r="D2446" s="11">
        <v>16977</v>
      </c>
      <c r="E2446" s="11" t="s">
        <v>555</v>
      </c>
      <c r="F2446" s="11" t="s">
        <v>26</v>
      </c>
      <c r="G2446" s="11">
        <v>69150</v>
      </c>
      <c r="H2446" s="12" t="s">
        <v>4444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69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4843</v>
      </c>
      <c r="D2447" s="11">
        <v>16978</v>
      </c>
      <c r="E2447" s="11" t="s">
        <v>484</v>
      </c>
      <c r="F2447" s="11" t="s">
        <v>26</v>
      </c>
      <c r="G2447" s="11">
        <v>3300</v>
      </c>
      <c r="H2447" s="12" t="s">
        <v>4470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69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4844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69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4845</v>
      </c>
      <c r="D2449" s="11">
        <v>16980</v>
      </c>
      <c r="E2449" s="11" t="s">
        <v>4800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69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4846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4468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69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4847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69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4848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69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4849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69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4850</v>
      </c>
      <c r="D2454" s="11">
        <v>16986</v>
      </c>
      <c r="E2454" s="11" t="s">
        <v>486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69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4851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166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69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4852</v>
      </c>
      <c r="D2456" s="11">
        <v>16988</v>
      </c>
      <c r="E2456" s="11" t="s">
        <v>4800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69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4853</v>
      </c>
      <c r="D2457" s="11">
        <v>16989</v>
      </c>
      <c r="E2457" s="11" t="s">
        <v>509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69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4854</v>
      </c>
      <c r="D2458" s="11">
        <v>16990</v>
      </c>
      <c r="E2458" s="11" t="s">
        <v>239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69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4855</v>
      </c>
      <c r="D2459" s="11">
        <v>16992</v>
      </c>
      <c r="E2459" s="11" t="s">
        <v>233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69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4856</v>
      </c>
      <c r="D2460" s="11">
        <v>16993</v>
      </c>
      <c r="E2460" s="11" t="s">
        <v>100</v>
      </c>
      <c r="F2460" s="11" t="s">
        <v>26</v>
      </c>
      <c r="G2460" s="11">
        <v>3130</v>
      </c>
      <c r="H2460" s="12" t="s">
        <v>4444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69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4857</v>
      </c>
      <c r="D2461" s="11">
        <v>16994</v>
      </c>
      <c r="E2461" s="11" t="s">
        <v>485</v>
      </c>
      <c r="F2461" s="11" t="s">
        <v>26</v>
      </c>
      <c r="G2461" s="11">
        <v>24155</v>
      </c>
      <c r="H2461" s="12" t="s">
        <v>4470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69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4858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69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4859</v>
      </c>
      <c r="D2463" s="11">
        <v>16996</v>
      </c>
      <c r="E2463" s="11" t="s">
        <v>592</v>
      </c>
      <c r="F2463" s="11" t="s">
        <v>26</v>
      </c>
      <c r="G2463" s="11">
        <v>56910</v>
      </c>
      <c r="H2463" s="12" t="s">
        <v>4444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69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4860</v>
      </c>
      <c r="D2464" s="11">
        <v>16997</v>
      </c>
      <c r="E2464" s="11" t="s">
        <v>608</v>
      </c>
      <c r="F2464" s="11" t="s">
        <v>26</v>
      </c>
      <c r="G2464" s="11">
        <v>1062</v>
      </c>
      <c r="H2464" s="12" t="s">
        <v>144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69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4861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143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69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4862</v>
      </c>
      <c r="D2466" s="11">
        <v>16999</v>
      </c>
      <c r="E2466" s="11" t="s">
        <v>4841</v>
      </c>
      <c r="F2466" s="11" t="s">
        <v>26</v>
      </c>
      <c r="G2466" s="11">
        <v>72353</v>
      </c>
      <c r="H2466" s="12" t="s">
        <v>4470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69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4863</v>
      </c>
      <c r="D2467" s="11">
        <v>17000</v>
      </c>
      <c r="E2467" s="11" t="s">
        <v>3807</v>
      </c>
      <c r="F2467" s="11" t="s">
        <v>26</v>
      </c>
      <c r="G2467" s="11">
        <v>24333</v>
      </c>
      <c r="H2467" s="12" t="s">
        <v>4470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69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4864</v>
      </c>
      <c r="D2468" s="11">
        <v>17001</v>
      </c>
      <c r="E2468" s="11" t="s">
        <v>247</v>
      </c>
      <c r="F2468" s="11" t="s">
        <v>26</v>
      </c>
      <c r="G2468" s="11">
        <v>957</v>
      </c>
      <c r="H2468" s="12" t="s">
        <v>144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69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4865</v>
      </c>
      <c r="D2469" s="11">
        <v>17002</v>
      </c>
      <c r="E2469" s="11" t="s">
        <v>464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69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4866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69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4867</v>
      </c>
      <c r="D2471" s="11">
        <v>17005</v>
      </c>
      <c r="E2471" s="11" t="s">
        <v>508</v>
      </c>
      <c r="F2471" s="11" t="s">
        <v>26</v>
      </c>
      <c r="G2471" s="11">
        <v>1259</v>
      </c>
      <c r="H2471" s="12" t="s">
        <v>144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69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4868</v>
      </c>
      <c r="D2472" s="11">
        <v>17006</v>
      </c>
      <c r="E2472" s="11" t="s">
        <v>555</v>
      </c>
      <c r="F2472" s="11" t="s">
        <v>26</v>
      </c>
      <c r="G2472" s="11">
        <v>44151</v>
      </c>
      <c r="H2472" s="12" t="s">
        <v>4444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69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4869</v>
      </c>
      <c r="D2473" s="11">
        <v>17007</v>
      </c>
      <c r="E2473" s="11" t="s">
        <v>98</v>
      </c>
      <c r="F2473" s="11" t="s">
        <v>26</v>
      </c>
      <c r="G2473" s="11">
        <v>9855</v>
      </c>
      <c r="H2473" s="12" t="s">
        <v>4469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69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4870</v>
      </c>
      <c r="D2474" s="11">
        <v>17008</v>
      </c>
      <c r="E2474" s="11" t="s">
        <v>249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69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4871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144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69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4872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69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4873</v>
      </c>
      <c r="D2477" s="11">
        <v>17011</v>
      </c>
      <c r="E2477" s="11" t="s">
        <v>596</v>
      </c>
      <c r="F2477" s="11" t="s">
        <v>26</v>
      </c>
      <c r="G2477" s="11">
        <v>44321</v>
      </c>
      <c r="H2477" s="12" t="s">
        <v>4444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69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4874</v>
      </c>
      <c r="D2478" s="11">
        <v>17012</v>
      </c>
      <c r="E2478" s="11" t="s">
        <v>438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69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4875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69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4876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69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4877</v>
      </c>
      <c r="D2481" s="11">
        <v>17015</v>
      </c>
      <c r="E2481" s="11" t="s">
        <v>486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69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4878</v>
      </c>
      <c r="D2482" s="11">
        <v>17016</v>
      </c>
      <c r="E2482" s="11" t="s">
        <v>233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69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4879</v>
      </c>
      <c r="D2483" s="11">
        <v>17017</v>
      </c>
      <c r="E2483" s="11" t="s">
        <v>523</v>
      </c>
      <c r="F2483" s="11" t="s">
        <v>26</v>
      </c>
      <c r="G2483" s="11">
        <v>4392</v>
      </c>
      <c r="H2483" s="12" t="s">
        <v>143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69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4880</v>
      </c>
      <c r="D2484" s="11">
        <v>17018</v>
      </c>
      <c r="E2484" s="11" t="s">
        <v>2130</v>
      </c>
      <c r="F2484" s="11" t="s">
        <v>26</v>
      </c>
      <c r="G2484" s="11">
        <v>10619</v>
      </c>
      <c r="H2484" s="12" t="s">
        <v>143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69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4881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69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4882</v>
      </c>
      <c r="D2486" s="11">
        <v>17020</v>
      </c>
      <c r="E2486" s="11" t="s">
        <v>325</v>
      </c>
      <c r="F2486" s="11" t="s">
        <v>26</v>
      </c>
      <c r="G2486" s="11">
        <v>112425</v>
      </c>
      <c r="H2486" s="12" t="s">
        <v>4468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69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4883</v>
      </c>
      <c r="D2487" s="11">
        <v>17021</v>
      </c>
      <c r="E2487" s="11" t="s">
        <v>187</v>
      </c>
      <c r="F2487" s="11" t="s">
        <v>26</v>
      </c>
      <c r="G2487" s="11" t="s">
        <v>26</v>
      </c>
      <c r="H2487" s="12" t="s">
        <v>4443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69" t="s">
        <v>144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4884</v>
      </c>
      <c r="D2488" s="11">
        <v>17022</v>
      </c>
      <c r="E2488" s="11" t="s">
        <v>499</v>
      </c>
      <c r="F2488" s="11" t="s">
        <v>26</v>
      </c>
      <c r="G2488" s="11">
        <v>22922</v>
      </c>
      <c r="H2488" s="12" t="s">
        <v>4470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69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4885</v>
      </c>
      <c r="D2489" s="11">
        <v>17023</v>
      </c>
      <c r="E2489" s="11" t="s">
        <v>227</v>
      </c>
      <c r="F2489" s="11" t="s">
        <v>26</v>
      </c>
      <c r="G2489" s="11">
        <v>3202</v>
      </c>
      <c r="H2489" s="12" t="s">
        <v>4444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69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4886</v>
      </c>
      <c r="D2490" s="11">
        <v>17024</v>
      </c>
      <c r="E2490" s="11" t="s">
        <v>101</v>
      </c>
      <c r="F2490" s="11" t="s">
        <v>26</v>
      </c>
      <c r="G2490" s="11">
        <v>21747</v>
      </c>
      <c r="H2490" s="12" t="s">
        <v>4470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69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4887</v>
      </c>
      <c r="D2491" s="11">
        <v>17025</v>
      </c>
      <c r="E2491" s="11" t="s">
        <v>555</v>
      </c>
      <c r="F2491" s="11" t="s">
        <v>26</v>
      </c>
      <c r="G2491" s="11">
        <v>44152</v>
      </c>
      <c r="H2491" s="12" t="s">
        <v>4444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69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4888</v>
      </c>
      <c r="D2492" s="11">
        <v>17026</v>
      </c>
      <c r="E2492" s="11" t="s">
        <v>608</v>
      </c>
      <c r="F2492" s="11" t="s">
        <v>26</v>
      </c>
      <c r="G2492" s="11" t="s">
        <v>26</v>
      </c>
      <c r="H2492" s="12" t="s">
        <v>4443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69" t="s">
        <v>144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4889</v>
      </c>
      <c r="D2493" s="11">
        <v>17027</v>
      </c>
      <c r="E2493" s="11" t="s">
        <v>528</v>
      </c>
      <c r="F2493" s="11" t="s">
        <v>26</v>
      </c>
      <c r="G2493" s="11">
        <v>26342</v>
      </c>
      <c r="H2493" s="12" t="s">
        <v>4470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69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4890</v>
      </c>
      <c r="D2494" s="11">
        <v>17028</v>
      </c>
      <c r="E2494" s="11" t="s">
        <v>547</v>
      </c>
      <c r="F2494" s="11" t="s">
        <v>26</v>
      </c>
      <c r="G2494" s="11">
        <v>70187</v>
      </c>
      <c r="H2494" s="12" t="s">
        <v>4470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69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4891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4443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69" t="s">
        <v>144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4892</v>
      </c>
      <c r="D2496" s="11">
        <v>17030</v>
      </c>
      <c r="E2496" s="11" t="s">
        <v>244</v>
      </c>
      <c r="F2496" s="11" t="s">
        <v>26</v>
      </c>
      <c r="G2496" s="11">
        <v>74967</v>
      </c>
      <c r="H2496" s="12" t="s">
        <v>4470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69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4893</v>
      </c>
      <c r="D2497" s="11">
        <v>17031</v>
      </c>
      <c r="E2497" s="11" t="s">
        <v>522</v>
      </c>
      <c r="F2497" s="11" t="s">
        <v>26</v>
      </c>
      <c r="G2497" s="11">
        <v>21770</v>
      </c>
      <c r="H2497" s="12" t="s">
        <v>4470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69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4894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166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69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4895</v>
      </c>
      <c r="D2499" s="11">
        <v>17033</v>
      </c>
      <c r="E2499" s="11" t="s">
        <v>249</v>
      </c>
      <c r="F2499" s="11" t="s">
        <v>26</v>
      </c>
      <c r="G2499" s="11" t="s">
        <v>26</v>
      </c>
      <c r="H2499" s="12" t="s">
        <v>149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69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4896</v>
      </c>
      <c r="D2500" s="11">
        <v>17034</v>
      </c>
      <c r="E2500" s="11" t="s">
        <v>484</v>
      </c>
      <c r="F2500" s="11" t="s">
        <v>26</v>
      </c>
      <c r="G2500" s="11">
        <v>78802</v>
      </c>
      <c r="H2500" s="12" t="s">
        <v>4470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69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4897</v>
      </c>
      <c r="D2501" s="11">
        <v>17035</v>
      </c>
      <c r="E2501" s="11" t="s">
        <v>483</v>
      </c>
      <c r="F2501" s="11" t="s">
        <v>26</v>
      </c>
      <c r="G2501" s="11">
        <v>70412</v>
      </c>
      <c r="H2501" s="12" t="s">
        <v>4470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69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4898</v>
      </c>
      <c r="D2502" s="11">
        <v>17036</v>
      </c>
      <c r="E2502" s="11" t="s">
        <v>542</v>
      </c>
      <c r="F2502" s="11" t="s">
        <v>26</v>
      </c>
      <c r="G2502" s="11" t="s">
        <v>26</v>
      </c>
      <c r="H2502" s="12" t="s">
        <v>149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69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4899</v>
      </c>
      <c r="D2503" s="11">
        <v>17037</v>
      </c>
      <c r="E2503" s="11" t="s">
        <v>241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69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4900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69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4901</v>
      </c>
      <c r="D2505" s="11">
        <v>17039</v>
      </c>
      <c r="E2505" s="11" t="s">
        <v>4902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69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4903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69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4904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4443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69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4905</v>
      </c>
      <c r="D2508" s="11">
        <v>17042</v>
      </c>
      <c r="E2508" s="11" t="s">
        <v>2147</v>
      </c>
      <c r="F2508" s="11" t="s">
        <v>26</v>
      </c>
      <c r="G2508" s="11">
        <v>112429</v>
      </c>
      <c r="H2508" s="12" t="s">
        <v>4468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69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4906</v>
      </c>
      <c r="D2509" s="11">
        <v>17043</v>
      </c>
      <c r="E2509" s="11" t="s">
        <v>592</v>
      </c>
      <c r="F2509" s="11" t="s">
        <v>26</v>
      </c>
      <c r="G2509" s="11">
        <v>56911</v>
      </c>
      <c r="H2509" s="12" t="s">
        <v>4444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69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4907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4443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69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4908</v>
      </c>
      <c r="D2511" s="11">
        <v>17045</v>
      </c>
      <c r="E2511" s="11" t="s">
        <v>2130</v>
      </c>
      <c r="F2511" s="11" t="s">
        <v>26</v>
      </c>
      <c r="G2511" s="11">
        <v>10620</v>
      </c>
      <c r="H2511" s="12" t="s">
        <v>143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40</v>
      </c>
      <c r="P2511" s="13"/>
      <c r="Q2511" s="13">
        <v>0</v>
      </c>
      <c r="R2511" s="72">
        <f>+L2511*O2511</f>
        <v>1551.2</v>
      </c>
      <c r="S2511" s="72">
        <v>0</v>
      </c>
      <c r="T2511" s="72">
        <f>+L2511*S2511</f>
        <v>0</v>
      </c>
      <c r="U2511" s="72">
        <f>+R2511-T2511</f>
        <v>1551.2</v>
      </c>
      <c r="V2511" s="72">
        <f t="shared" ref="V2511" si="355">+U2511*0</f>
        <v>0</v>
      </c>
      <c r="W2511" s="72">
        <f>+U2511-V2511</f>
        <v>1551.2</v>
      </c>
      <c r="X2511" s="72">
        <v>0</v>
      </c>
      <c r="Y2511" s="14">
        <f t="shared" ref="Y2511:Y2513" si="356">T2511-X2511</f>
        <v>0</v>
      </c>
      <c r="Z2511" s="69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4909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4470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69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4910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4468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69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4911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4443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69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4912</v>
      </c>
      <c r="D2515" s="11">
        <v>17049</v>
      </c>
      <c r="E2515" s="11" t="s">
        <v>523</v>
      </c>
      <c r="F2515" s="11" t="s">
        <v>26</v>
      </c>
      <c r="G2515" s="11">
        <v>4393</v>
      </c>
      <c r="H2515" s="12" t="s">
        <v>143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69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4913</v>
      </c>
      <c r="D2516" s="11">
        <v>17050</v>
      </c>
      <c r="E2516" s="11" t="s">
        <v>564</v>
      </c>
      <c r="F2516" s="11" t="s">
        <v>26</v>
      </c>
      <c r="G2516" s="11">
        <v>112428</v>
      </c>
      <c r="H2516" s="12" t="s">
        <v>4468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69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4914</v>
      </c>
      <c r="D2517" s="11">
        <v>17051</v>
      </c>
      <c r="E2517" s="11" t="s">
        <v>243</v>
      </c>
      <c r="F2517" s="11" t="s">
        <v>26</v>
      </c>
      <c r="G2517" s="11" t="s">
        <v>26</v>
      </c>
      <c r="H2517" s="12" t="s">
        <v>4443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69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4915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4443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69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4916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143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40</v>
      </c>
      <c r="P2519" s="13"/>
      <c r="Q2519" s="13">
        <v>0</v>
      </c>
      <c r="R2519" s="72">
        <f>+L2519*O2519</f>
        <v>1691.2</v>
      </c>
      <c r="S2519" s="72">
        <v>0</v>
      </c>
      <c r="T2519" s="72">
        <f>+L2519*S2519</f>
        <v>0</v>
      </c>
      <c r="U2519" s="72">
        <f>+R2519-T2519</f>
        <v>1691.2</v>
      </c>
      <c r="V2519" s="72">
        <f t="shared" ref="V2519:V2520" si="365">+U2519*0</f>
        <v>0</v>
      </c>
      <c r="W2519" s="72">
        <f>+U2519-V2519</f>
        <v>1691.2</v>
      </c>
      <c r="X2519" s="72">
        <v>0</v>
      </c>
      <c r="Y2519" s="14">
        <f t="shared" ref="Y2519:Y2524" si="366">T2519-X2519</f>
        <v>0</v>
      </c>
      <c r="Z2519" s="69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4917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69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4918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4468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69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4919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568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69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4920</v>
      </c>
      <c r="D2523" s="11">
        <v>17057</v>
      </c>
      <c r="E2523" s="11" t="s">
        <v>596</v>
      </c>
      <c r="F2523" s="11" t="s">
        <v>26</v>
      </c>
      <c r="G2523" s="11">
        <v>44322</v>
      </c>
      <c r="H2523" s="12" t="s">
        <v>4444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69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4921</v>
      </c>
      <c r="D2524" s="11">
        <v>17058</v>
      </c>
      <c r="E2524" s="11" t="s">
        <v>1221</v>
      </c>
      <c r="F2524" s="11" t="s">
        <v>26</v>
      </c>
      <c r="G2524" s="11">
        <v>2954</v>
      </c>
      <c r="H2524" s="12" t="s">
        <v>166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69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4922</v>
      </c>
      <c r="D2525" s="11">
        <v>17059</v>
      </c>
      <c r="E2525" s="11" t="s">
        <v>187</v>
      </c>
      <c r="F2525" s="11" t="s">
        <v>26</v>
      </c>
      <c r="G2525" s="11" t="s">
        <v>26</v>
      </c>
      <c r="H2525" s="12" t="s">
        <v>4443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69" t="s">
        <v>144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4923</v>
      </c>
      <c r="D2526" s="11">
        <v>17060</v>
      </c>
      <c r="E2526" s="11" t="s">
        <v>608</v>
      </c>
      <c r="F2526" s="11" t="s">
        <v>26</v>
      </c>
      <c r="G2526" s="11" t="s">
        <v>26</v>
      </c>
      <c r="H2526" s="12" t="s">
        <v>4443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69" t="s">
        <v>144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4924</v>
      </c>
      <c r="D2527" s="11">
        <v>17061</v>
      </c>
      <c r="E2527" s="11" t="s">
        <v>4800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69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4925</v>
      </c>
      <c r="D2528" s="11">
        <v>17062</v>
      </c>
      <c r="E2528" s="11" t="s">
        <v>99</v>
      </c>
      <c r="F2528" s="11" t="s">
        <v>26</v>
      </c>
      <c r="G2528" s="11">
        <v>10716</v>
      </c>
      <c r="H2528" s="12" t="s">
        <v>143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40</v>
      </c>
      <c r="P2528" s="13"/>
      <c r="Q2528" s="13">
        <v>0</v>
      </c>
      <c r="R2528" s="72">
        <f>+L2528*O2528</f>
        <v>1760</v>
      </c>
      <c r="S2528" s="72">
        <v>0</v>
      </c>
      <c r="T2528" s="72">
        <f>+L2528*S2528</f>
        <v>0</v>
      </c>
      <c r="U2528" s="72">
        <f>+R2528-T2528</f>
        <v>1760</v>
      </c>
      <c r="V2528" s="72">
        <f t="shared" ref="V2528" si="377">+U2528*0</f>
        <v>0</v>
      </c>
      <c r="W2528" s="72">
        <f>+U2528-V2528</f>
        <v>1760</v>
      </c>
      <c r="X2528" s="72">
        <v>0</v>
      </c>
      <c r="Y2528" s="14">
        <f t="shared" ref="Y2528" si="378">T2528-X2528</f>
        <v>0</v>
      </c>
      <c r="Z2528" s="69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4926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69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4927</v>
      </c>
      <c r="D2530" s="11">
        <v>17064</v>
      </c>
      <c r="E2530" s="11" t="s">
        <v>483</v>
      </c>
      <c r="F2530" s="11" t="s">
        <v>26</v>
      </c>
      <c r="G2530" s="11">
        <v>70413</v>
      </c>
      <c r="H2530" s="12" t="s">
        <v>4470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69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4928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4470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69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4929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144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69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4930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69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4931</v>
      </c>
      <c r="D2534" s="11">
        <v>17069</v>
      </c>
      <c r="E2534" s="11" t="s">
        <v>562</v>
      </c>
      <c r="F2534" s="11" t="s">
        <v>26</v>
      </c>
      <c r="G2534" s="11" t="s">
        <v>26</v>
      </c>
      <c r="H2534" s="12" t="s">
        <v>4445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69" t="s">
        <v>41</v>
      </c>
      <c r="AA2534" s="12" t="s">
        <v>750</v>
      </c>
    </row>
    <row r="2535" spans="1:27" x14ac:dyDescent="0.25">
      <c r="A2535" s="10">
        <v>45694</v>
      </c>
      <c r="B2535" s="71">
        <v>1.6157407407407398E-2</v>
      </c>
      <c r="C2535" s="11" t="s">
        <v>4932</v>
      </c>
      <c r="D2535" s="11">
        <v>17070</v>
      </c>
      <c r="E2535" s="11" t="s">
        <v>484</v>
      </c>
      <c r="F2535" s="11" t="s">
        <v>26</v>
      </c>
      <c r="G2535" s="11">
        <v>78803</v>
      </c>
      <c r="H2535" s="12" t="s">
        <v>4470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69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4933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69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4934</v>
      </c>
      <c r="D2537" s="11">
        <v>17072</v>
      </c>
      <c r="E2537" s="11" t="s">
        <v>4800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69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4935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4443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69" t="s">
        <v>144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4936</v>
      </c>
      <c r="D2539" s="11">
        <v>17074</v>
      </c>
      <c r="E2539" s="11" t="s">
        <v>523</v>
      </c>
      <c r="F2539" s="11" t="s">
        <v>26</v>
      </c>
      <c r="G2539" s="11">
        <v>4394</v>
      </c>
      <c r="H2539" s="12" t="s">
        <v>143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40</v>
      </c>
      <c r="P2539" s="13"/>
      <c r="Q2539" s="13">
        <v>0</v>
      </c>
      <c r="R2539" s="72">
        <f>+L2539*O2539</f>
        <v>1746.3999999999999</v>
      </c>
      <c r="S2539" s="72">
        <v>0</v>
      </c>
      <c r="T2539" s="72">
        <f>+L2539*S2539</f>
        <v>0</v>
      </c>
      <c r="U2539" s="72">
        <f>+R2539-T2539</f>
        <v>1746.3999999999999</v>
      </c>
      <c r="V2539" s="72">
        <f t="shared" ref="V2539" si="393">+U2539*0</f>
        <v>0</v>
      </c>
      <c r="W2539" s="72">
        <f>+U2539-V2539</f>
        <v>1746.3999999999999</v>
      </c>
      <c r="X2539" s="72">
        <v>0</v>
      </c>
      <c r="Y2539" s="14">
        <f t="shared" ref="Y2539:Y2548" si="394">T2539-X2539</f>
        <v>0</v>
      </c>
      <c r="Z2539" s="69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4937</v>
      </c>
      <c r="D2540" s="11">
        <v>17075</v>
      </c>
      <c r="E2540" s="11" t="s">
        <v>2147</v>
      </c>
      <c r="F2540" s="11" t="s">
        <v>26</v>
      </c>
      <c r="G2540" s="11">
        <v>112432</v>
      </c>
      <c r="H2540" s="12" t="s">
        <v>4468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69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4938</v>
      </c>
      <c r="D2541" s="11">
        <v>17076</v>
      </c>
      <c r="E2541" s="11" t="s">
        <v>180</v>
      </c>
      <c r="F2541" s="11" t="s">
        <v>26</v>
      </c>
      <c r="G2541" s="11">
        <v>799</v>
      </c>
      <c r="H2541" s="12" t="s">
        <v>144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69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4939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69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4940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144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69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4941</v>
      </c>
      <c r="D2544" s="11">
        <v>17079</v>
      </c>
      <c r="E2544" s="11" t="s">
        <v>325</v>
      </c>
      <c r="F2544" s="11" t="s">
        <v>26</v>
      </c>
      <c r="G2544" s="11">
        <v>112430</v>
      </c>
      <c r="H2544" s="12" t="s">
        <v>4468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69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4942</v>
      </c>
      <c r="D2545" s="11">
        <v>17080</v>
      </c>
      <c r="E2545" s="11" t="s">
        <v>564</v>
      </c>
      <c r="F2545" s="11" t="s">
        <v>26</v>
      </c>
      <c r="G2545" s="11">
        <v>112433</v>
      </c>
      <c r="H2545" s="12" t="s">
        <v>4468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69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4943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69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4944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144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69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4945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69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4946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4443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69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4947</v>
      </c>
      <c r="D2550" s="11">
        <v>17085</v>
      </c>
      <c r="E2550" s="11" t="s">
        <v>607</v>
      </c>
      <c r="F2550" s="11" t="s">
        <v>26</v>
      </c>
      <c r="G2550" s="11">
        <v>1119</v>
      </c>
      <c r="H2550" s="12" t="s">
        <v>144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69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4948</v>
      </c>
      <c r="D2551" s="11">
        <v>17087</v>
      </c>
      <c r="E2551" s="11" t="s">
        <v>247</v>
      </c>
      <c r="F2551" s="11" t="s">
        <v>26</v>
      </c>
      <c r="G2551" s="11">
        <v>958</v>
      </c>
      <c r="H2551" s="12" t="s">
        <v>144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69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4949</v>
      </c>
      <c r="D2552" s="11">
        <v>17088</v>
      </c>
      <c r="E2552" s="11" t="s">
        <v>243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69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4950</v>
      </c>
      <c r="D2553" s="11">
        <v>17089</v>
      </c>
      <c r="E2553" s="11" t="s">
        <v>187</v>
      </c>
      <c r="F2553" s="11" t="s">
        <v>26</v>
      </c>
      <c r="G2553" s="11">
        <v>1008</v>
      </c>
      <c r="H2553" s="12" t="s">
        <v>144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69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4951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143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69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4952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4468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69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4953</v>
      </c>
      <c r="D2556" s="11">
        <v>17092</v>
      </c>
      <c r="E2556" s="11" t="s">
        <v>592</v>
      </c>
      <c r="F2556" s="11" t="s">
        <v>26</v>
      </c>
      <c r="G2556" s="11">
        <v>56912</v>
      </c>
      <c r="H2556" s="12" t="s">
        <v>4444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69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4954</v>
      </c>
      <c r="D2557" s="11">
        <v>17093</v>
      </c>
      <c r="E2557" s="11" t="s">
        <v>4841</v>
      </c>
      <c r="F2557" s="11" t="s">
        <v>26</v>
      </c>
      <c r="G2557" s="11">
        <v>72354</v>
      </c>
      <c r="H2557" s="12" t="s">
        <v>4470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69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4955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143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69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4956</v>
      </c>
      <c r="D2559" s="11">
        <v>17095</v>
      </c>
      <c r="E2559" s="11" t="s">
        <v>608</v>
      </c>
      <c r="F2559" s="11" t="s">
        <v>26</v>
      </c>
      <c r="G2559" s="11">
        <v>1063</v>
      </c>
      <c r="H2559" s="12" t="s">
        <v>144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69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4957</v>
      </c>
      <c r="D2560" s="11">
        <v>17096</v>
      </c>
      <c r="E2560" s="11" t="s">
        <v>1221</v>
      </c>
      <c r="F2560" s="11" t="s">
        <v>26</v>
      </c>
      <c r="G2560" s="11">
        <v>2955</v>
      </c>
      <c r="H2560" s="12" t="s">
        <v>166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69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4958</v>
      </c>
      <c r="D2561" s="11">
        <v>17097</v>
      </c>
      <c r="E2561" s="11" t="s">
        <v>562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69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4959</v>
      </c>
      <c r="D2562" s="11">
        <v>17098</v>
      </c>
      <c r="E2562" s="11" t="s">
        <v>99</v>
      </c>
      <c r="F2562" s="11" t="s">
        <v>26</v>
      </c>
      <c r="G2562" s="11">
        <v>10717</v>
      </c>
      <c r="H2562" s="12" t="s">
        <v>143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40</v>
      </c>
      <c r="P2562" s="13"/>
      <c r="Q2562" s="13">
        <v>0</v>
      </c>
      <c r="R2562" s="72">
        <f>+L2562*O2562</f>
        <v>1732</v>
      </c>
      <c r="S2562" s="72">
        <v>0</v>
      </c>
      <c r="T2562" s="72">
        <f>+L2562*S2562</f>
        <v>0</v>
      </c>
      <c r="U2562" s="72">
        <f>+R2562-T2562</f>
        <v>1732</v>
      </c>
      <c r="V2562" s="72">
        <f t="shared" ref="V2562" si="412">+U2562*0</f>
        <v>0</v>
      </c>
      <c r="W2562" s="72">
        <f>+U2562-V2562</f>
        <v>1732</v>
      </c>
      <c r="X2562" s="72">
        <v>0</v>
      </c>
      <c r="Y2562" s="14">
        <f t="shared" si="402"/>
        <v>0</v>
      </c>
      <c r="Z2562" s="69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4960</v>
      </c>
      <c r="D2563" s="11">
        <v>17099</v>
      </c>
      <c r="E2563" s="11" t="s">
        <v>249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69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4961</v>
      </c>
      <c r="D2564" s="11">
        <v>17100</v>
      </c>
      <c r="E2564" s="11" t="s">
        <v>542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69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4962</v>
      </c>
      <c r="D2565" s="11">
        <v>17101</v>
      </c>
      <c r="E2565" s="11" t="s">
        <v>239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69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4963</v>
      </c>
      <c r="D2566" s="11">
        <v>17102</v>
      </c>
      <c r="E2566" s="11" t="s">
        <v>662</v>
      </c>
      <c r="F2566" s="11" t="s">
        <v>26</v>
      </c>
      <c r="G2566" s="11">
        <v>865</v>
      </c>
      <c r="H2566" s="12" t="s">
        <v>144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69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4964</v>
      </c>
      <c r="D2567" s="11">
        <v>17103</v>
      </c>
      <c r="E2567" s="11" t="s">
        <v>508</v>
      </c>
      <c r="F2567" s="11" t="s">
        <v>26</v>
      </c>
      <c r="G2567" s="11">
        <v>1260</v>
      </c>
      <c r="H2567" s="12" t="s">
        <v>144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69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4965</v>
      </c>
      <c r="D2568" s="11">
        <v>17104</v>
      </c>
      <c r="E2568" s="11" t="s">
        <v>596</v>
      </c>
      <c r="F2568" s="11" t="s">
        <v>26</v>
      </c>
      <c r="G2568" s="11">
        <v>44323</v>
      </c>
      <c r="H2568" s="12" t="s">
        <v>4444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69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4966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144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69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4967</v>
      </c>
      <c r="D2570" s="11">
        <v>17106</v>
      </c>
      <c r="E2570" s="11" t="s">
        <v>523</v>
      </c>
      <c r="F2570" s="11" t="s">
        <v>26</v>
      </c>
      <c r="G2570" s="11">
        <v>4395</v>
      </c>
      <c r="H2570" s="12" t="s">
        <v>143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40</v>
      </c>
      <c r="P2570" s="13"/>
      <c r="Q2570" s="13">
        <v>0</v>
      </c>
      <c r="R2570" s="72">
        <f>+L2570*O2570</f>
        <v>1753.6000000000001</v>
      </c>
      <c r="S2570" s="72">
        <v>0</v>
      </c>
      <c r="T2570" s="72">
        <f>+L2570*S2570</f>
        <v>0</v>
      </c>
      <c r="U2570" s="72">
        <f>+R2570-T2570</f>
        <v>1753.6000000000001</v>
      </c>
      <c r="V2570" s="72">
        <f t="shared" ref="V2570" si="417">+U2570*0</f>
        <v>0</v>
      </c>
      <c r="W2570" s="72">
        <f>+U2570-V2570</f>
        <v>1753.6000000000001</v>
      </c>
      <c r="X2570" s="72">
        <v>0</v>
      </c>
      <c r="Y2570" s="14">
        <f t="shared" si="402"/>
        <v>0</v>
      </c>
      <c r="Z2570" s="69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4968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144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69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4969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69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4970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69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4971</v>
      </c>
      <c r="D2574" s="11">
        <v>17110</v>
      </c>
      <c r="E2574" s="11" t="s">
        <v>180</v>
      </c>
      <c r="F2574" s="11" t="s">
        <v>26</v>
      </c>
      <c r="G2574" s="11">
        <v>1153</v>
      </c>
      <c r="H2574" s="12" t="s">
        <v>144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69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4972</v>
      </c>
      <c r="D2575" s="11">
        <v>17111</v>
      </c>
      <c r="E2575" s="11" t="s">
        <v>573</v>
      </c>
      <c r="F2575" s="11" t="s">
        <v>26</v>
      </c>
      <c r="G2575" s="11">
        <v>10348</v>
      </c>
      <c r="H2575" s="12" t="s">
        <v>143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40</v>
      </c>
      <c r="P2575" s="13"/>
      <c r="Q2575" s="13">
        <v>0</v>
      </c>
      <c r="R2575" s="72">
        <f>+L2575*O2575</f>
        <v>1643.1999999999998</v>
      </c>
      <c r="S2575" s="72">
        <v>0</v>
      </c>
      <c r="T2575" s="72">
        <f>+L2575*S2575</f>
        <v>0</v>
      </c>
      <c r="U2575" s="72">
        <f>+R2575-T2575</f>
        <v>1643.1999999999998</v>
      </c>
      <c r="V2575" s="72">
        <f t="shared" ref="V2575" si="421">+U2575*0</f>
        <v>0</v>
      </c>
      <c r="W2575" s="72">
        <f>+U2575-V2575</f>
        <v>1643.1999999999998</v>
      </c>
      <c r="X2575" s="72">
        <v>0</v>
      </c>
      <c r="Y2575" s="14">
        <f t="shared" si="402"/>
        <v>0</v>
      </c>
      <c r="Z2575" s="69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4973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144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69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4974</v>
      </c>
      <c r="D2577" s="11">
        <v>17113</v>
      </c>
      <c r="E2577" s="11" t="s">
        <v>571</v>
      </c>
      <c r="F2577" s="11" t="s">
        <v>26</v>
      </c>
      <c r="G2577" s="11">
        <v>112436</v>
      </c>
      <c r="H2577" s="12" t="s">
        <v>4468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69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4975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69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4976</v>
      </c>
      <c r="D2579" s="11">
        <v>17115</v>
      </c>
      <c r="E2579" s="11" t="s">
        <v>547</v>
      </c>
      <c r="F2579" s="11" t="s">
        <v>26</v>
      </c>
      <c r="G2579" s="11">
        <v>70188</v>
      </c>
      <c r="H2579" s="12" t="s">
        <v>4470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69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4977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4443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69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4978</v>
      </c>
      <c r="D2581" s="11">
        <v>17117</v>
      </c>
      <c r="E2581" s="11" t="s">
        <v>577</v>
      </c>
      <c r="F2581" s="11" t="s">
        <v>26</v>
      </c>
      <c r="G2581" s="11">
        <v>1155</v>
      </c>
      <c r="H2581" s="12" t="s">
        <v>144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69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4979</v>
      </c>
      <c r="D2582" s="11">
        <v>17118</v>
      </c>
      <c r="E2582" s="11" t="s">
        <v>555</v>
      </c>
      <c r="F2582" s="11" t="s">
        <v>26</v>
      </c>
      <c r="G2582" s="11">
        <v>44154</v>
      </c>
      <c r="H2582" s="12" t="s">
        <v>4444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69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4980</v>
      </c>
      <c r="D2583" s="11">
        <v>17119</v>
      </c>
      <c r="E2583" s="11" t="s">
        <v>607</v>
      </c>
      <c r="F2583" s="11" t="s">
        <v>26</v>
      </c>
      <c r="G2583" s="11">
        <v>1120</v>
      </c>
      <c r="H2583" s="12" t="s">
        <v>144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69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4981</v>
      </c>
      <c r="D2584" s="11">
        <v>17120</v>
      </c>
      <c r="E2584" s="11" t="s">
        <v>247</v>
      </c>
      <c r="F2584" s="11" t="s">
        <v>26</v>
      </c>
      <c r="G2584" s="11">
        <v>959</v>
      </c>
      <c r="H2584" s="12" t="s">
        <v>144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69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4982</v>
      </c>
      <c r="D2585" s="11">
        <v>17121</v>
      </c>
      <c r="E2585" s="11" t="s">
        <v>486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69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4983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144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69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4984</v>
      </c>
      <c r="D2587" s="11">
        <v>17123</v>
      </c>
      <c r="E2587" s="11" t="s">
        <v>187</v>
      </c>
      <c r="F2587" s="11" t="s">
        <v>26</v>
      </c>
      <c r="G2587" s="11">
        <v>1009</v>
      </c>
      <c r="H2587" s="12" t="s">
        <v>144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69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4985</v>
      </c>
      <c r="D2588" s="11">
        <v>17124</v>
      </c>
      <c r="E2588" s="11" t="s">
        <v>512</v>
      </c>
      <c r="F2588" s="11" t="s">
        <v>26</v>
      </c>
      <c r="G2588" s="11">
        <v>1312</v>
      </c>
      <c r="H2588" s="12" t="s">
        <v>144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69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4986</v>
      </c>
      <c r="D2589" s="11">
        <v>17125</v>
      </c>
      <c r="E2589" s="11" t="s">
        <v>608</v>
      </c>
      <c r="F2589" s="11" t="s">
        <v>26</v>
      </c>
      <c r="G2589" s="11">
        <v>1064</v>
      </c>
      <c r="H2589" s="12" t="s">
        <v>144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69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4987</v>
      </c>
      <c r="D2590" s="11">
        <v>17126</v>
      </c>
      <c r="E2590" s="11" t="s">
        <v>227</v>
      </c>
      <c r="F2590" s="11" t="s">
        <v>26</v>
      </c>
      <c r="G2590" s="11">
        <v>3204</v>
      </c>
      <c r="H2590" s="12" t="s">
        <v>4444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69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4988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143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40</v>
      </c>
      <c r="P2591" s="13"/>
      <c r="Q2591" s="13">
        <v>0</v>
      </c>
      <c r="R2591" s="72">
        <f>+L2591*O2591</f>
        <v>1780.8000000000002</v>
      </c>
      <c r="S2591" s="72">
        <v>0</v>
      </c>
      <c r="T2591" s="72">
        <f>+L2591*S2591</f>
        <v>0</v>
      </c>
      <c r="U2591" s="72">
        <f>+R2591-T2591</f>
        <v>1780.8000000000002</v>
      </c>
      <c r="V2591" s="72">
        <f t="shared" ref="V2591:V2592" si="432">+U2591*0</f>
        <v>0</v>
      </c>
      <c r="W2591" s="72">
        <f>+U2591-V2591</f>
        <v>1780.8000000000002</v>
      </c>
      <c r="X2591" s="72">
        <v>0</v>
      </c>
      <c r="Y2591" s="14">
        <f t="shared" si="425"/>
        <v>0</v>
      </c>
      <c r="Z2591" s="69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4989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69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4990</v>
      </c>
      <c r="D2593" s="11">
        <v>17129</v>
      </c>
      <c r="E2593" s="11" t="s">
        <v>508</v>
      </c>
      <c r="F2593" s="11" t="s">
        <v>26</v>
      </c>
      <c r="G2593" s="11">
        <v>1261</v>
      </c>
      <c r="H2593" s="12" t="s">
        <v>144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69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4991</v>
      </c>
      <c r="D2594" s="11">
        <v>17130</v>
      </c>
      <c r="E2594" s="11" t="s">
        <v>509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69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4992</v>
      </c>
      <c r="D2595" s="11">
        <v>17131</v>
      </c>
      <c r="E2595" s="11" t="s">
        <v>499</v>
      </c>
      <c r="F2595" s="11" t="s">
        <v>26</v>
      </c>
      <c r="G2595" s="11">
        <v>22923</v>
      </c>
      <c r="H2595" s="12" t="s">
        <v>4470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69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4993</v>
      </c>
      <c r="D2596" s="11">
        <v>17132</v>
      </c>
      <c r="E2596" s="11" t="s">
        <v>244</v>
      </c>
      <c r="F2596" s="11" t="s">
        <v>26</v>
      </c>
      <c r="G2596" s="11">
        <v>74968</v>
      </c>
      <c r="H2596" s="12" t="s">
        <v>4470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69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4994</v>
      </c>
      <c r="D2597" s="11">
        <v>17133</v>
      </c>
      <c r="E2597" s="11" t="s">
        <v>101</v>
      </c>
      <c r="F2597" s="11" t="s">
        <v>26</v>
      </c>
      <c r="G2597" s="11">
        <v>21750</v>
      </c>
      <c r="H2597" s="12" t="s">
        <v>4470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69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4995</v>
      </c>
      <c r="D2598" s="11">
        <v>17134</v>
      </c>
      <c r="E2598" s="11" t="s">
        <v>187</v>
      </c>
      <c r="F2598" s="11" t="s">
        <v>26</v>
      </c>
      <c r="G2598" s="11">
        <v>1010</v>
      </c>
      <c r="H2598" s="12" t="s">
        <v>144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69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4996</v>
      </c>
      <c r="D2599" s="11">
        <v>17135</v>
      </c>
      <c r="E2599" s="11" t="s">
        <v>547</v>
      </c>
      <c r="F2599" s="11" t="s">
        <v>26</v>
      </c>
      <c r="G2599" s="11">
        <v>70189</v>
      </c>
      <c r="H2599" s="12" t="s">
        <v>4470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69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4997</v>
      </c>
      <c r="D2600" s="11">
        <v>17136</v>
      </c>
      <c r="E2600" s="11" t="s">
        <v>573</v>
      </c>
      <c r="F2600" s="11" t="s">
        <v>26</v>
      </c>
      <c r="G2600" s="11">
        <v>10349</v>
      </c>
      <c r="H2600" s="12" t="s">
        <v>143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69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4998</v>
      </c>
      <c r="D2601" s="11">
        <v>17137</v>
      </c>
      <c r="E2601" s="11" t="s">
        <v>528</v>
      </c>
      <c r="F2601" s="11" t="s">
        <v>26</v>
      </c>
      <c r="G2601" s="11">
        <v>26344</v>
      </c>
      <c r="H2601" s="12" t="s">
        <v>4470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69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4999</v>
      </c>
      <c r="D2602" s="11">
        <v>17138</v>
      </c>
      <c r="E2602" s="11" t="s">
        <v>577</v>
      </c>
      <c r="F2602" s="11" t="s">
        <v>26</v>
      </c>
      <c r="G2602" s="11">
        <v>1157</v>
      </c>
      <c r="H2602" s="12" t="s">
        <v>144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69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5000</v>
      </c>
      <c r="D2603" s="11">
        <v>17139</v>
      </c>
      <c r="E2603" s="11" t="s">
        <v>504</v>
      </c>
      <c r="F2603" s="11" t="s">
        <v>26</v>
      </c>
      <c r="G2603" s="11">
        <v>816</v>
      </c>
      <c r="H2603" s="12" t="s">
        <v>144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69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5001</v>
      </c>
      <c r="D2604" s="11">
        <v>17140</v>
      </c>
      <c r="E2604" s="11" t="s">
        <v>325</v>
      </c>
      <c r="F2604" s="11" t="s">
        <v>26</v>
      </c>
      <c r="G2604" s="11">
        <v>112441</v>
      </c>
      <c r="H2604" s="12" t="s">
        <v>4468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69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5002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69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5003</v>
      </c>
      <c r="D2606" s="11">
        <v>17142</v>
      </c>
      <c r="E2606" s="11" t="s">
        <v>227</v>
      </c>
      <c r="F2606" s="11" t="s">
        <v>26</v>
      </c>
      <c r="G2606" s="11">
        <v>3205</v>
      </c>
      <c r="H2606" s="12" t="s">
        <v>4444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69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5004</v>
      </c>
      <c r="D2607" s="11">
        <v>17143</v>
      </c>
      <c r="E2607" s="11" t="s">
        <v>522</v>
      </c>
      <c r="F2607" s="11" t="s">
        <v>26</v>
      </c>
      <c r="G2607" s="11">
        <v>21771</v>
      </c>
      <c r="H2607" s="12" t="s">
        <v>4470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69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5005</v>
      </c>
      <c r="D2608" s="11">
        <v>17144</v>
      </c>
      <c r="E2608" s="11" t="s">
        <v>555</v>
      </c>
      <c r="F2608" s="11" t="s">
        <v>26</v>
      </c>
      <c r="G2608" s="11">
        <v>44155</v>
      </c>
      <c r="H2608" s="12" t="s">
        <v>4444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69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5006</v>
      </c>
      <c r="D2609" s="11">
        <v>17145</v>
      </c>
      <c r="E2609" s="11" t="s">
        <v>542</v>
      </c>
      <c r="F2609" s="11" t="s">
        <v>26</v>
      </c>
      <c r="G2609" s="11" t="s">
        <v>26</v>
      </c>
      <c r="H2609" s="12" t="s">
        <v>149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69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5007</v>
      </c>
      <c r="D2610" s="11">
        <v>17146</v>
      </c>
      <c r="E2610" s="11" t="s">
        <v>249</v>
      </c>
      <c r="F2610" s="11" t="s">
        <v>26</v>
      </c>
      <c r="G2610" s="11" t="s">
        <v>26</v>
      </c>
      <c r="H2610" s="12" t="s">
        <v>4443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69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5008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69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5009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69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5010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69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5011</v>
      </c>
      <c r="D2614" s="11">
        <v>17150</v>
      </c>
      <c r="E2614" s="11" t="s">
        <v>523</v>
      </c>
      <c r="F2614" s="11" t="s">
        <v>26</v>
      </c>
      <c r="G2614" s="11" t="s">
        <v>26</v>
      </c>
      <c r="H2614" s="12" t="s">
        <v>4443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69" t="s">
        <v>143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5012</v>
      </c>
      <c r="D2615" s="11">
        <v>17151</v>
      </c>
      <c r="E2615" s="11" t="s">
        <v>99</v>
      </c>
      <c r="F2615" s="11" t="s">
        <v>26</v>
      </c>
      <c r="G2615" s="11" t="s">
        <v>26</v>
      </c>
      <c r="H2615" s="12" t="s">
        <v>4443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69" t="s">
        <v>143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5013</v>
      </c>
      <c r="D2616" s="11">
        <v>17152</v>
      </c>
      <c r="E2616" s="11" t="s">
        <v>562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69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5014</v>
      </c>
      <c r="D2617" s="11">
        <v>17153</v>
      </c>
      <c r="E2617" s="11" t="s">
        <v>183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69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5015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4470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69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5016</v>
      </c>
      <c r="D2619" s="11">
        <v>17155</v>
      </c>
      <c r="E2619" s="11" t="s">
        <v>243</v>
      </c>
      <c r="F2619" s="11" t="s">
        <v>26</v>
      </c>
      <c r="G2619" s="11" t="s">
        <v>26</v>
      </c>
      <c r="H2619" s="12" t="s">
        <v>149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69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5017</v>
      </c>
      <c r="D2620" s="11">
        <v>17156</v>
      </c>
      <c r="E2620" s="11" t="s">
        <v>493</v>
      </c>
      <c r="F2620" s="11" t="s">
        <v>26</v>
      </c>
      <c r="G2620" s="11">
        <v>22112</v>
      </c>
      <c r="H2620" s="12" t="s">
        <v>4470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69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5018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4443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69" t="s">
        <v>143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5019</v>
      </c>
      <c r="D2622" s="11">
        <v>17158</v>
      </c>
      <c r="E2622" s="11" t="s">
        <v>571</v>
      </c>
      <c r="F2622" s="11" t="s">
        <v>26</v>
      </c>
      <c r="G2622" s="11">
        <v>112445</v>
      </c>
      <c r="H2622" s="12" t="s">
        <v>4468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69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5020</v>
      </c>
      <c r="D2623" s="11">
        <v>17159</v>
      </c>
      <c r="E2623" s="11" t="s">
        <v>114</v>
      </c>
      <c r="F2623" s="11" t="s">
        <v>26</v>
      </c>
      <c r="G2623" s="11" t="s">
        <v>26</v>
      </c>
      <c r="H2623" s="12" t="s">
        <v>4445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69" t="s">
        <v>115</v>
      </c>
      <c r="AA2623" s="12" t="s">
        <v>750</v>
      </c>
    </row>
    <row r="2624" spans="1:27" x14ac:dyDescent="0.25">
      <c r="A2624" s="10">
        <v>45695</v>
      </c>
      <c r="B2624" s="71">
        <v>2.9050925925925952E-2</v>
      </c>
      <c r="C2624" s="11" t="s">
        <v>5021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568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69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5022</v>
      </c>
      <c r="D2625" s="11">
        <v>17161</v>
      </c>
      <c r="E2625" s="11" t="s">
        <v>596</v>
      </c>
      <c r="F2625" s="11" t="s">
        <v>26</v>
      </c>
      <c r="G2625" s="11">
        <v>44324</v>
      </c>
      <c r="H2625" s="12" t="s">
        <v>4444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69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5023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4468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69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5024</v>
      </c>
      <c r="D2627" s="11">
        <v>17163</v>
      </c>
      <c r="E2627" s="11" t="s">
        <v>1221</v>
      </c>
      <c r="F2627" s="11" t="s">
        <v>26</v>
      </c>
      <c r="G2627" s="11">
        <v>2956</v>
      </c>
      <c r="H2627" s="12" t="s">
        <v>166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69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5025</v>
      </c>
      <c r="D2628" s="11">
        <v>17164</v>
      </c>
      <c r="E2628" s="11" t="s">
        <v>577</v>
      </c>
      <c r="F2628" s="11" t="s">
        <v>26</v>
      </c>
      <c r="G2628" s="11">
        <v>1158</v>
      </c>
      <c r="H2628" s="12" t="s">
        <v>144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69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5026</v>
      </c>
      <c r="D2629" s="11">
        <v>17165</v>
      </c>
      <c r="E2629" s="11" t="s">
        <v>542</v>
      </c>
      <c r="F2629" s="11" t="s">
        <v>26</v>
      </c>
      <c r="G2629" s="11" t="s">
        <v>26</v>
      </c>
      <c r="H2629" s="12" t="s">
        <v>4443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69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5027</v>
      </c>
      <c r="D2630" s="11">
        <v>17166</v>
      </c>
      <c r="E2630" s="11" t="s">
        <v>570</v>
      </c>
      <c r="F2630" s="11" t="s">
        <v>26</v>
      </c>
      <c r="G2630" s="11">
        <v>112450</v>
      </c>
      <c r="H2630" s="12" t="s">
        <v>4468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69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5028</v>
      </c>
      <c r="D2631" s="11">
        <v>17167</v>
      </c>
      <c r="E2631" s="11" t="s">
        <v>523</v>
      </c>
      <c r="F2631" s="11" t="s">
        <v>26</v>
      </c>
      <c r="G2631" s="11">
        <v>4396</v>
      </c>
      <c r="H2631" s="12" t="s">
        <v>143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40</v>
      </c>
      <c r="P2631" s="13"/>
      <c r="Q2631" s="13">
        <v>0</v>
      </c>
      <c r="R2631" s="72">
        <f>+L2631*O2631</f>
        <v>1732</v>
      </c>
      <c r="S2631" s="72">
        <v>0</v>
      </c>
      <c r="T2631" s="72">
        <f>+L2631*S2631</f>
        <v>0</v>
      </c>
      <c r="U2631" s="72">
        <f>+R2631-T2631</f>
        <v>1732</v>
      </c>
      <c r="V2631" s="72">
        <f t="shared" ref="V2631:V2632" si="467">+U2631*0</f>
        <v>0</v>
      </c>
      <c r="W2631" s="72">
        <f>+U2631-V2631</f>
        <v>1732</v>
      </c>
      <c r="X2631" s="72">
        <v>0</v>
      </c>
      <c r="Y2631" s="14">
        <f t="shared" si="466"/>
        <v>0</v>
      </c>
      <c r="Z2631" s="69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5029</v>
      </c>
      <c r="D2632" s="11">
        <v>17168</v>
      </c>
      <c r="E2632" s="11" t="s">
        <v>99</v>
      </c>
      <c r="F2632" s="11" t="s">
        <v>26</v>
      </c>
      <c r="G2632" s="11">
        <v>10718</v>
      </c>
      <c r="H2632" s="12" t="s">
        <v>143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40</v>
      </c>
      <c r="P2632" s="13"/>
      <c r="Q2632" s="13">
        <v>0</v>
      </c>
      <c r="R2632" s="72">
        <f>+L2632*O2632</f>
        <v>1696</v>
      </c>
      <c r="S2632" s="72">
        <v>0</v>
      </c>
      <c r="T2632" s="72">
        <f>+L2632*S2632</f>
        <v>0</v>
      </c>
      <c r="U2632" s="72">
        <f>+R2632-T2632</f>
        <v>1696</v>
      </c>
      <c r="V2632" s="72">
        <f t="shared" si="467"/>
        <v>0</v>
      </c>
      <c r="W2632" s="72">
        <f>+U2632-V2632</f>
        <v>1696</v>
      </c>
      <c r="X2632" s="72">
        <v>0</v>
      </c>
      <c r="Y2632" s="14">
        <f t="shared" si="466"/>
        <v>0</v>
      </c>
      <c r="Z2632" s="69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5030</v>
      </c>
      <c r="D2633" s="11">
        <v>17169</v>
      </c>
      <c r="E2633" s="11" t="s">
        <v>247</v>
      </c>
      <c r="F2633" s="11" t="s">
        <v>26</v>
      </c>
      <c r="G2633" s="11">
        <v>960</v>
      </c>
      <c r="H2633" s="12" t="s">
        <v>144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69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5031</v>
      </c>
      <c r="D2634" s="11">
        <v>17170</v>
      </c>
      <c r="E2634" s="11" t="s">
        <v>249</v>
      </c>
      <c r="F2634" s="11" t="s">
        <v>26</v>
      </c>
      <c r="G2634" s="11" t="s">
        <v>26</v>
      </c>
      <c r="H2634" s="12" t="s">
        <v>4443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69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5032</v>
      </c>
      <c r="D2635" s="11">
        <v>17171</v>
      </c>
      <c r="E2635" s="11" t="s">
        <v>243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69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5033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4443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69" t="s">
        <v>143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5034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4443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69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5035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143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40</v>
      </c>
      <c r="P2638" s="13"/>
      <c r="Q2638" s="13">
        <v>0</v>
      </c>
      <c r="R2638" s="72">
        <f>+L2638*O2638</f>
        <v>1659.1999999999998</v>
      </c>
      <c r="S2638" s="72">
        <v>0</v>
      </c>
      <c r="T2638" s="72">
        <f>+L2638*S2638</f>
        <v>0</v>
      </c>
      <c r="U2638" s="72">
        <f>+R2638-T2638</f>
        <v>1659.1999999999998</v>
      </c>
      <c r="V2638" s="72">
        <f t="shared" ref="V2638" si="471">+U2638*0</f>
        <v>0</v>
      </c>
      <c r="W2638" s="72">
        <f>+U2638-V2638</f>
        <v>1659.1999999999998</v>
      </c>
      <c r="X2638" s="72">
        <v>0</v>
      </c>
      <c r="Y2638" s="14">
        <f t="shared" ref="Y2638" si="472">T2638-X2638</f>
        <v>0</v>
      </c>
      <c r="Z2638" s="69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5036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4443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69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5037</v>
      </c>
      <c r="D2640" s="11">
        <v>17176</v>
      </c>
      <c r="E2640" s="11" t="s">
        <v>555</v>
      </c>
      <c r="F2640" s="11" t="s">
        <v>26</v>
      </c>
      <c r="G2640" s="11">
        <v>44156</v>
      </c>
      <c r="H2640" s="12" t="s">
        <v>4444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69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5038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166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69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5039</v>
      </c>
      <c r="D2642" s="11">
        <v>17178</v>
      </c>
      <c r="E2642" s="11" t="s">
        <v>227</v>
      </c>
      <c r="F2642" s="11" t="s">
        <v>26</v>
      </c>
      <c r="G2642" s="11">
        <v>3206</v>
      </c>
      <c r="H2642" s="12" t="s">
        <v>4444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69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5040</v>
      </c>
      <c r="D2643" s="11">
        <v>17179</v>
      </c>
      <c r="E2643" s="11" t="s">
        <v>183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69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5041</v>
      </c>
      <c r="D2644" s="11">
        <v>17180</v>
      </c>
      <c r="E2644" s="11" t="s">
        <v>504</v>
      </c>
      <c r="F2644" s="11" t="s">
        <v>26</v>
      </c>
      <c r="G2644" s="11">
        <v>817</v>
      </c>
      <c r="H2644" s="12" t="s">
        <v>144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69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5042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1930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69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5043</v>
      </c>
      <c r="D2646" s="11">
        <v>17182</v>
      </c>
      <c r="E2646" s="11" t="s">
        <v>1221</v>
      </c>
      <c r="F2646" s="11" t="s">
        <v>26</v>
      </c>
      <c r="G2646" s="11">
        <v>2957</v>
      </c>
      <c r="H2646" s="12" t="s">
        <v>166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69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5044</v>
      </c>
      <c r="D2647" s="11">
        <v>17183</v>
      </c>
      <c r="E2647" s="11" t="s">
        <v>114</v>
      </c>
      <c r="F2647" s="11" t="s">
        <v>26</v>
      </c>
      <c r="G2647" s="11" t="s">
        <v>26</v>
      </c>
      <c r="H2647" s="12" t="s">
        <v>4445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69" t="s">
        <v>115</v>
      </c>
      <c r="AA2647" s="12" t="s">
        <v>750</v>
      </c>
    </row>
    <row r="2648" spans="1:27" x14ac:dyDescent="0.25">
      <c r="A2648" s="10">
        <v>45695</v>
      </c>
      <c r="B2648" s="71">
        <v>1.142361111111112E-2</v>
      </c>
      <c r="C2648" s="11" t="s">
        <v>5045</v>
      </c>
      <c r="D2648" s="11">
        <v>17184</v>
      </c>
      <c r="E2648" s="11" t="s">
        <v>542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69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5046</v>
      </c>
      <c r="D2649" s="11">
        <v>17185</v>
      </c>
      <c r="E2649" s="11" t="s">
        <v>564</v>
      </c>
      <c r="F2649" s="11" t="s">
        <v>26</v>
      </c>
      <c r="G2649" s="11">
        <v>112239</v>
      </c>
      <c r="H2649" s="12" t="s">
        <v>4468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69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5047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69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5048</v>
      </c>
      <c r="D2651" s="11">
        <v>17187</v>
      </c>
      <c r="E2651" s="11" t="s">
        <v>489</v>
      </c>
      <c r="F2651" s="11" t="s">
        <v>26</v>
      </c>
      <c r="G2651" s="11">
        <v>70310</v>
      </c>
      <c r="H2651" s="12" t="s">
        <v>4470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69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5049</v>
      </c>
      <c r="D2652" s="11">
        <v>17188</v>
      </c>
      <c r="E2652" s="11" t="s">
        <v>573</v>
      </c>
      <c r="F2652" s="11" t="s">
        <v>26</v>
      </c>
      <c r="G2652" s="11">
        <v>10350</v>
      </c>
      <c r="H2652" s="12" t="s">
        <v>143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69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5050</v>
      </c>
      <c r="D2653" s="11">
        <v>17189</v>
      </c>
      <c r="E2653" s="11" t="s">
        <v>523</v>
      </c>
      <c r="F2653" s="11" t="s">
        <v>26</v>
      </c>
      <c r="G2653" s="11">
        <v>4397</v>
      </c>
      <c r="H2653" s="12" t="s">
        <v>143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40</v>
      </c>
      <c r="P2653" s="13"/>
      <c r="Q2653" s="13">
        <v>0</v>
      </c>
      <c r="R2653" s="72">
        <f>+L2653*O2653</f>
        <v>1616</v>
      </c>
      <c r="S2653" s="72">
        <v>0</v>
      </c>
      <c r="T2653" s="72">
        <f t="shared" si="488"/>
        <v>0</v>
      </c>
      <c r="U2653" s="72">
        <f t="shared" si="486"/>
        <v>1616</v>
      </c>
      <c r="V2653" s="72">
        <f t="shared" si="489"/>
        <v>0</v>
      </c>
      <c r="W2653" s="72">
        <f t="shared" si="487"/>
        <v>1616</v>
      </c>
      <c r="X2653" s="72">
        <v>0</v>
      </c>
      <c r="Y2653" s="14">
        <f t="shared" si="484"/>
        <v>0</v>
      </c>
      <c r="Z2653" s="69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5051</v>
      </c>
      <c r="D2654" s="11">
        <v>17190</v>
      </c>
      <c r="E2654" s="11" t="s">
        <v>2147</v>
      </c>
      <c r="F2654" s="11" t="s">
        <v>26</v>
      </c>
      <c r="G2654" s="11">
        <v>112238</v>
      </c>
      <c r="H2654" s="12" t="s">
        <v>4468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69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5052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143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40</v>
      </c>
      <c r="P2655" s="13"/>
      <c r="Q2655" s="13">
        <v>0</v>
      </c>
      <c r="R2655" s="72">
        <f>+L2655*O2655</f>
        <v>1640</v>
      </c>
      <c r="S2655" s="72">
        <v>0</v>
      </c>
      <c r="T2655" s="72">
        <f t="shared" si="488"/>
        <v>0</v>
      </c>
      <c r="U2655" s="72">
        <f t="shared" si="486"/>
        <v>1640</v>
      </c>
      <c r="V2655" s="72">
        <f t="shared" ref="V2655" si="491">+U2655*0</f>
        <v>0</v>
      </c>
      <c r="W2655" s="72">
        <f t="shared" si="487"/>
        <v>1640</v>
      </c>
      <c r="X2655" s="72">
        <v>0</v>
      </c>
      <c r="Y2655" s="14">
        <f t="shared" si="484"/>
        <v>0</v>
      </c>
      <c r="Z2655" s="69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5053</v>
      </c>
      <c r="D2656" s="11">
        <v>17192</v>
      </c>
      <c r="E2656" s="11" t="s">
        <v>488</v>
      </c>
      <c r="F2656" s="11" t="s">
        <v>26</v>
      </c>
      <c r="G2656" s="11">
        <v>22503</v>
      </c>
      <c r="H2656" s="12" t="s">
        <v>4470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69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5054</v>
      </c>
      <c r="D2657" s="11">
        <v>17193</v>
      </c>
      <c r="E2657" s="11" t="s">
        <v>570</v>
      </c>
      <c r="F2657" s="11" t="s">
        <v>26</v>
      </c>
      <c r="G2657" s="11">
        <v>112242</v>
      </c>
      <c r="H2657" s="12" t="s">
        <v>4468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69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5055</v>
      </c>
      <c r="D2658" s="11">
        <v>17194</v>
      </c>
      <c r="E2658" s="11" t="s">
        <v>5056</v>
      </c>
      <c r="F2658" s="11" t="s">
        <v>26</v>
      </c>
      <c r="G2658" s="11">
        <v>10801</v>
      </c>
      <c r="H2658" s="12" t="s">
        <v>143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40</v>
      </c>
      <c r="P2658" s="13"/>
      <c r="Q2658" s="13">
        <v>0</v>
      </c>
      <c r="R2658" s="72">
        <f>+L2658*O2658</f>
        <v>1659.1999999999998</v>
      </c>
      <c r="S2658" s="72">
        <v>0</v>
      </c>
      <c r="T2658" s="72">
        <f t="shared" si="488"/>
        <v>0</v>
      </c>
      <c r="U2658" s="72">
        <f t="shared" si="486"/>
        <v>1659.1999999999998</v>
      </c>
      <c r="V2658" s="72">
        <f t="shared" ref="V2658:V2659" si="493">+U2658*0</f>
        <v>0</v>
      </c>
      <c r="W2658" s="72">
        <f t="shared" si="487"/>
        <v>1659.1999999999998</v>
      </c>
      <c r="X2658" s="72">
        <v>0</v>
      </c>
      <c r="Y2658" s="14">
        <f t="shared" si="484"/>
        <v>0</v>
      </c>
      <c r="Z2658" s="69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5057</v>
      </c>
      <c r="D2659" s="11">
        <v>17195</v>
      </c>
      <c r="E2659" s="11" t="s">
        <v>438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69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5058</v>
      </c>
      <c r="D2660" s="11">
        <v>17196</v>
      </c>
      <c r="E2660" s="11" t="s">
        <v>596</v>
      </c>
      <c r="F2660" s="11" t="s">
        <v>26</v>
      </c>
      <c r="G2660" s="11">
        <v>44325</v>
      </c>
      <c r="H2660" s="12" t="s">
        <v>4444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69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5059</v>
      </c>
      <c r="D2661" s="11">
        <v>17197</v>
      </c>
      <c r="E2661" s="11" t="s">
        <v>443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69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5060</v>
      </c>
      <c r="D2662" s="11">
        <v>17198</v>
      </c>
      <c r="E2662" s="11" t="s">
        <v>3807</v>
      </c>
      <c r="F2662" s="11" t="s">
        <v>26</v>
      </c>
      <c r="G2662" s="11">
        <v>24337</v>
      </c>
      <c r="H2662" s="12" t="s">
        <v>4470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69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5061</v>
      </c>
      <c r="D2663" s="11">
        <v>17199</v>
      </c>
      <c r="E2663" s="11" t="s">
        <v>183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69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5062</v>
      </c>
      <c r="D2664" s="11">
        <v>17200</v>
      </c>
      <c r="E2664" s="11" t="s">
        <v>249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69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5063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69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5064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143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40</v>
      </c>
      <c r="P2666" s="13"/>
      <c r="Q2666" s="13">
        <v>0</v>
      </c>
      <c r="R2666" s="72">
        <f>+L2666*O2666</f>
        <v>1668</v>
      </c>
      <c r="S2666" s="72">
        <v>0</v>
      </c>
      <c r="T2666" s="72">
        <f>+L2666*S2666</f>
        <v>0</v>
      </c>
      <c r="U2666" s="72">
        <f>+R2666-T2666</f>
        <v>1668</v>
      </c>
      <c r="V2666" s="72">
        <f t="shared" ref="V2666" si="502">+U2666*0</f>
        <v>0</v>
      </c>
      <c r="W2666" s="72">
        <f>+U2666-V2666</f>
        <v>1668</v>
      </c>
      <c r="X2666" s="72">
        <v>0</v>
      </c>
      <c r="Y2666" s="14">
        <f t="shared" si="484"/>
        <v>0</v>
      </c>
      <c r="Z2666" s="69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5065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166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69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5066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1930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69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5067</v>
      </c>
      <c r="D2669" s="11">
        <v>17205</v>
      </c>
      <c r="E2669" s="11" t="s">
        <v>509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69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5068</v>
      </c>
      <c r="D2670" s="11">
        <v>17206</v>
      </c>
      <c r="E2670" s="11" t="s">
        <v>504</v>
      </c>
      <c r="F2670" s="11" t="s">
        <v>26</v>
      </c>
      <c r="G2670" s="11">
        <v>818</v>
      </c>
      <c r="H2670" s="12" t="s">
        <v>144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69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5069</v>
      </c>
      <c r="D2671" s="11">
        <v>17207</v>
      </c>
      <c r="E2671" s="11" t="s">
        <v>488</v>
      </c>
      <c r="F2671" s="11" t="s">
        <v>26</v>
      </c>
      <c r="G2671" s="11">
        <v>22504</v>
      </c>
      <c r="H2671" s="12" t="s">
        <v>4470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69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5070</v>
      </c>
      <c r="D2672" s="11">
        <v>17208</v>
      </c>
      <c r="E2672" s="11" t="s">
        <v>555</v>
      </c>
      <c r="F2672" s="11" t="s">
        <v>26</v>
      </c>
      <c r="G2672" s="11">
        <v>44157</v>
      </c>
      <c r="H2672" s="12" t="s">
        <v>4444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69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5071</v>
      </c>
      <c r="D2673" s="11">
        <v>17209</v>
      </c>
      <c r="E2673" s="11" t="s">
        <v>114</v>
      </c>
      <c r="F2673" s="11" t="s">
        <v>26</v>
      </c>
      <c r="G2673" s="11" t="s">
        <v>26</v>
      </c>
      <c r="H2673" s="12" t="s">
        <v>4445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69" t="s">
        <v>115</v>
      </c>
      <c r="AA2673" s="12" t="s">
        <v>750</v>
      </c>
    </row>
    <row r="2674" spans="1:27" x14ac:dyDescent="0.25">
      <c r="A2674" s="10">
        <v>45695</v>
      </c>
      <c r="B2674" s="71">
        <v>1.7141203703703756E-2</v>
      </c>
      <c r="C2674" s="11" t="s">
        <v>5072</v>
      </c>
      <c r="D2674" s="11">
        <v>17210</v>
      </c>
      <c r="E2674" s="11" t="s">
        <v>443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69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5073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69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5074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69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5075</v>
      </c>
      <c r="D2677" s="11">
        <v>17213</v>
      </c>
      <c r="E2677" s="11" t="s">
        <v>187</v>
      </c>
      <c r="F2677" s="11" t="s">
        <v>26</v>
      </c>
      <c r="G2677" s="11" t="s">
        <v>26</v>
      </c>
      <c r="H2677" s="12" t="s">
        <v>4443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69" t="s">
        <v>144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5076</v>
      </c>
      <c r="D2678" s="11">
        <v>17214</v>
      </c>
      <c r="E2678" s="11" t="s">
        <v>325</v>
      </c>
      <c r="F2678" s="11" t="s">
        <v>26</v>
      </c>
      <c r="G2678" s="11">
        <v>112237</v>
      </c>
      <c r="H2678" s="12" t="s">
        <v>4468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69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5077</v>
      </c>
      <c r="D2679" s="11">
        <v>17215</v>
      </c>
      <c r="E2679" s="11" t="s">
        <v>577</v>
      </c>
      <c r="F2679" s="11" t="s">
        <v>26</v>
      </c>
      <c r="G2679" s="11" t="s">
        <v>26</v>
      </c>
      <c r="H2679" s="12" t="s">
        <v>4443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69" t="s">
        <v>144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5078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144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69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5079</v>
      </c>
      <c r="D2681" s="11">
        <v>17217</v>
      </c>
      <c r="E2681" s="11" t="s">
        <v>99</v>
      </c>
      <c r="F2681" s="11" t="s">
        <v>26</v>
      </c>
      <c r="G2681" s="11" t="s">
        <v>26</v>
      </c>
      <c r="H2681" s="12" t="s">
        <v>4443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69" t="s">
        <v>143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5080</v>
      </c>
      <c r="D2682" s="11">
        <v>17218</v>
      </c>
      <c r="E2682" s="11" t="s">
        <v>434</v>
      </c>
      <c r="F2682" s="11" t="s">
        <v>26</v>
      </c>
      <c r="G2682" s="11" t="s">
        <v>26</v>
      </c>
      <c r="H2682" s="12" t="s">
        <v>4443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69" t="s">
        <v>115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5081</v>
      </c>
      <c r="D2683" s="11">
        <v>17219</v>
      </c>
      <c r="E2683" s="11" t="s">
        <v>499</v>
      </c>
      <c r="F2683" s="11" t="s">
        <v>26</v>
      </c>
      <c r="G2683" s="11">
        <v>22924</v>
      </c>
      <c r="H2683" s="12" t="s">
        <v>4470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69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5082</v>
      </c>
      <c r="D2684" s="11">
        <v>17220</v>
      </c>
      <c r="E2684" s="11" t="s">
        <v>101</v>
      </c>
      <c r="F2684" s="11" t="s">
        <v>26</v>
      </c>
      <c r="G2684" s="11">
        <v>22251</v>
      </c>
      <c r="H2684" s="12" t="s">
        <v>4470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69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5083</v>
      </c>
      <c r="D2685" s="11">
        <v>17221</v>
      </c>
      <c r="E2685" s="11" t="s">
        <v>504</v>
      </c>
      <c r="F2685" s="11" t="s">
        <v>26</v>
      </c>
      <c r="G2685" s="11" t="s">
        <v>26</v>
      </c>
      <c r="H2685" s="12" t="s">
        <v>4443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69" t="s">
        <v>144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5084</v>
      </c>
      <c r="D2686" s="11">
        <v>17222</v>
      </c>
      <c r="E2686" s="11" t="s">
        <v>522</v>
      </c>
      <c r="F2686" s="11" t="s">
        <v>26</v>
      </c>
      <c r="G2686" s="11">
        <v>21772</v>
      </c>
      <c r="H2686" s="12" t="s">
        <v>4470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69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5085</v>
      </c>
      <c r="D2687" s="11">
        <v>17223</v>
      </c>
      <c r="E2687" s="11" t="s">
        <v>608</v>
      </c>
      <c r="F2687" s="11" t="s">
        <v>26</v>
      </c>
      <c r="G2687" s="11" t="s">
        <v>26</v>
      </c>
      <c r="H2687" s="12" t="s">
        <v>4443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69" t="s">
        <v>144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5086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69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5087</v>
      </c>
      <c r="D2689" s="11">
        <v>17225</v>
      </c>
      <c r="E2689" s="11" t="s">
        <v>1221</v>
      </c>
      <c r="F2689" s="11" t="s">
        <v>26</v>
      </c>
      <c r="G2689" s="11">
        <v>2958</v>
      </c>
      <c r="H2689" s="12" t="s">
        <v>166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69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5088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4470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69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5089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4443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69" t="s">
        <v>143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5090</v>
      </c>
      <c r="D2692" s="11">
        <v>17228</v>
      </c>
      <c r="E2692" s="11" t="s">
        <v>249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69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5091</v>
      </c>
      <c r="D2693" s="11">
        <v>17229</v>
      </c>
      <c r="E2693" s="11" t="s">
        <v>483</v>
      </c>
      <c r="F2693" s="11" t="s">
        <v>26</v>
      </c>
      <c r="G2693" s="11">
        <v>70414</v>
      </c>
      <c r="H2693" s="12" t="s">
        <v>4470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69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5092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69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5093</v>
      </c>
      <c r="D2695" s="11">
        <v>17231</v>
      </c>
      <c r="E2695" s="11" t="s">
        <v>484</v>
      </c>
      <c r="F2695" s="11" t="s">
        <v>26</v>
      </c>
      <c r="G2695" s="11">
        <v>78804</v>
      </c>
      <c r="H2695" s="12" t="s">
        <v>4470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69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5094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1930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69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5095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69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5096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69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5097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4468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69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5098</v>
      </c>
      <c r="D2700" s="11">
        <v>17236</v>
      </c>
      <c r="E2700" s="11" t="s">
        <v>523</v>
      </c>
      <c r="F2700" s="11" t="s">
        <v>26</v>
      </c>
      <c r="G2700" s="11">
        <v>4398</v>
      </c>
      <c r="H2700" s="12" t="s">
        <v>143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40</v>
      </c>
      <c r="P2700" s="13"/>
      <c r="Q2700" s="13">
        <v>0</v>
      </c>
      <c r="R2700" s="72">
        <f>+L2700*O2700</f>
        <v>1651.2</v>
      </c>
      <c r="S2700" s="72">
        <v>0</v>
      </c>
      <c r="T2700" s="72">
        <f>+L2700*S2700</f>
        <v>0</v>
      </c>
      <c r="U2700" s="72">
        <f>+R2700-T2700</f>
        <v>1651.2</v>
      </c>
      <c r="V2700" s="72">
        <f t="shared" ref="V2700" si="532">+U2700*0</f>
        <v>0</v>
      </c>
      <c r="W2700" s="72">
        <f>+U2700-V2700</f>
        <v>1651.2</v>
      </c>
      <c r="X2700" s="72">
        <v>0</v>
      </c>
      <c r="Y2700" s="14">
        <f t="shared" si="531"/>
        <v>0</v>
      </c>
      <c r="Z2700" s="69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5099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166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69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5100</v>
      </c>
      <c r="D2702" s="11">
        <v>17238</v>
      </c>
      <c r="E2702" s="11" t="s">
        <v>243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69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5101</v>
      </c>
      <c r="D2703" s="11">
        <v>17239</v>
      </c>
      <c r="E2703" s="11" t="s">
        <v>547</v>
      </c>
      <c r="F2703" s="11" t="s">
        <v>26</v>
      </c>
      <c r="G2703" s="11">
        <v>70191</v>
      </c>
      <c r="H2703" s="12" t="s">
        <v>4470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69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5102</v>
      </c>
      <c r="D2704" s="11">
        <v>17240</v>
      </c>
      <c r="E2704" s="11" t="s">
        <v>528</v>
      </c>
      <c r="F2704" s="11" t="s">
        <v>26</v>
      </c>
      <c r="G2704" s="11">
        <v>26346</v>
      </c>
      <c r="H2704" s="12" t="s">
        <v>4470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69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5103</v>
      </c>
      <c r="D2705" s="11">
        <v>17241</v>
      </c>
      <c r="E2705" s="11" t="s">
        <v>571</v>
      </c>
      <c r="F2705" s="11" t="s">
        <v>26</v>
      </c>
      <c r="G2705" s="11">
        <v>112756</v>
      </c>
      <c r="H2705" s="12" t="s">
        <v>4468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69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5104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69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5105</v>
      </c>
      <c r="D2707" s="11">
        <v>17243</v>
      </c>
      <c r="E2707" s="11" t="s">
        <v>434</v>
      </c>
      <c r="F2707" s="11" t="s">
        <v>26</v>
      </c>
      <c r="G2707" s="11" t="s">
        <v>26</v>
      </c>
      <c r="H2707" s="12" t="s">
        <v>4443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69" t="s">
        <v>115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5106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4443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69" t="s">
        <v>143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5107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568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69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5108</v>
      </c>
      <c r="D2710" s="11">
        <v>17246</v>
      </c>
      <c r="E2710" s="11" t="s">
        <v>662</v>
      </c>
      <c r="F2710" s="11" t="s">
        <v>26</v>
      </c>
      <c r="G2710" s="11">
        <v>866</v>
      </c>
      <c r="H2710" s="12" t="s">
        <v>144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69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5109</v>
      </c>
      <c r="D2711" s="11">
        <v>17247</v>
      </c>
      <c r="E2711" s="11" t="s">
        <v>607</v>
      </c>
      <c r="F2711" s="11" t="s">
        <v>26</v>
      </c>
      <c r="G2711" s="11">
        <v>1121</v>
      </c>
      <c r="H2711" s="12" t="s">
        <v>144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69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5110</v>
      </c>
      <c r="D2712" s="11">
        <v>17248</v>
      </c>
      <c r="E2712" s="11" t="s">
        <v>504</v>
      </c>
      <c r="F2712" s="11" t="s">
        <v>26</v>
      </c>
      <c r="G2712" s="11">
        <v>819</v>
      </c>
      <c r="H2712" s="12" t="s">
        <v>144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69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5111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1930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69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5112</v>
      </c>
      <c r="D2714" s="11">
        <v>17250</v>
      </c>
      <c r="E2714" s="11" t="s">
        <v>233</v>
      </c>
      <c r="F2714" s="11" t="s">
        <v>26</v>
      </c>
      <c r="G2714" s="11">
        <v>26202</v>
      </c>
      <c r="H2714" s="12" t="s">
        <v>568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69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5113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144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69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5114</v>
      </c>
      <c r="D2716" s="11">
        <v>17252</v>
      </c>
      <c r="E2716" s="11" t="s">
        <v>573</v>
      </c>
      <c r="F2716" s="11" t="s">
        <v>26</v>
      </c>
      <c r="G2716" s="11" t="s">
        <v>26</v>
      </c>
      <c r="H2716" s="12" t="s">
        <v>4443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69" t="s">
        <v>143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5115</v>
      </c>
      <c r="D2717" s="11">
        <v>17253</v>
      </c>
      <c r="E2717" s="11" t="s">
        <v>249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69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5116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4443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69" t="s">
        <v>143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5117</v>
      </c>
      <c r="D2719" s="11">
        <v>17255</v>
      </c>
      <c r="E2719" s="11" t="s">
        <v>486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69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5118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69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5119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69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5120</v>
      </c>
      <c r="D2722" s="11">
        <v>17258</v>
      </c>
      <c r="E2722" s="11" t="s">
        <v>512</v>
      </c>
      <c r="F2722" s="11" t="s">
        <v>26</v>
      </c>
      <c r="G2722" s="11">
        <v>1313</v>
      </c>
      <c r="H2722" s="12" t="s">
        <v>144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69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5121</v>
      </c>
      <c r="D2723" s="11">
        <v>17259</v>
      </c>
      <c r="E2723" s="11" t="s">
        <v>438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69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5122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143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69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5123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69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5124</v>
      </c>
      <c r="D2726" s="11">
        <v>17262</v>
      </c>
      <c r="E2726" s="11" t="s">
        <v>227</v>
      </c>
      <c r="F2726" s="11" t="s">
        <v>26</v>
      </c>
      <c r="G2726" s="11">
        <v>3208</v>
      </c>
      <c r="H2726" s="12" t="s">
        <v>4444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69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5125</v>
      </c>
      <c r="D2727" s="11">
        <v>17263</v>
      </c>
      <c r="E2727" s="11" t="s">
        <v>484</v>
      </c>
      <c r="F2727" s="11" t="s">
        <v>26</v>
      </c>
      <c r="G2727" s="11">
        <v>78805</v>
      </c>
      <c r="H2727" s="12" t="s">
        <v>4470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69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5126</v>
      </c>
      <c r="D2728" s="11">
        <v>17264</v>
      </c>
      <c r="E2728" s="11" t="s">
        <v>5127</v>
      </c>
      <c r="F2728" s="11" t="s">
        <v>26</v>
      </c>
      <c r="G2728" s="11">
        <v>21952</v>
      </c>
      <c r="H2728" s="12" t="s">
        <v>4470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69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5128</v>
      </c>
      <c r="D2729" s="11">
        <v>17265</v>
      </c>
      <c r="E2729" s="11" t="s">
        <v>522</v>
      </c>
      <c r="F2729" s="11" t="s">
        <v>26</v>
      </c>
      <c r="G2729" s="11">
        <v>21773</v>
      </c>
      <c r="H2729" s="12" t="s">
        <v>4470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69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5129</v>
      </c>
      <c r="D2730" s="11">
        <v>17266</v>
      </c>
      <c r="E2730" s="11" t="s">
        <v>483</v>
      </c>
      <c r="F2730" s="11" t="s">
        <v>26</v>
      </c>
      <c r="G2730" s="11">
        <v>70415</v>
      </c>
      <c r="H2730" s="12" t="s">
        <v>4470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69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5130</v>
      </c>
      <c r="D2731" s="11">
        <v>17267</v>
      </c>
      <c r="E2731" s="11" t="s">
        <v>2130</v>
      </c>
      <c r="F2731" s="11" t="s">
        <v>26</v>
      </c>
      <c r="G2731" s="11">
        <v>10621</v>
      </c>
      <c r="H2731" s="12" t="s">
        <v>143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69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5131</v>
      </c>
      <c r="D2732" s="11">
        <v>17268</v>
      </c>
      <c r="E2732" s="11" t="s">
        <v>542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69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5132</v>
      </c>
      <c r="D2733" s="11">
        <v>17269</v>
      </c>
      <c r="E2733" s="11" t="s">
        <v>249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69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5133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69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5134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69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5135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69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5136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69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5137</v>
      </c>
      <c r="D2738" s="11">
        <v>17274</v>
      </c>
      <c r="E2738" s="11" t="s">
        <v>99</v>
      </c>
      <c r="F2738" s="11" t="s">
        <v>26</v>
      </c>
      <c r="G2738" s="11">
        <v>10719</v>
      </c>
      <c r="H2738" s="12" t="s">
        <v>143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40</v>
      </c>
      <c r="P2738" s="13"/>
      <c r="Q2738" s="13">
        <v>0</v>
      </c>
      <c r="R2738" s="72">
        <f>+L2738*O2738</f>
        <v>1753.6000000000001</v>
      </c>
      <c r="S2738" s="72">
        <v>0</v>
      </c>
      <c r="T2738" s="72">
        <f>+L2738*S2738</f>
        <v>0</v>
      </c>
      <c r="U2738" s="72">
        <f>+R2738-T2738</f>
        <v>1753.6000000000001</v>
      </c>
      <c r="V2738" s="72">
        <f t="shared" ref="V2738:V2741" si="563">+U2738*0</f>
        <v>0</v>
      </c>
      <c r="W2738" s="72">
        <f>+U2738-V2738</f>
        <v>1753.6000000000001</v>
      </c>
      <c r="X2738" s="72">
        <v>0</v>
      </c>
      <c r="Y2738" s="14">
        <f t="shared" si="548"/>
        <v>0</v>
      </c>
      <c r="Z2738" s="69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5138</v>
      </c>
      <c r="D2739" s="11">
        <v>17275</v>
      </c>
      <c r="E2739" s="11" t="s">
        <v>523</v>
      </c>
      <c r="F2739" s="11" t="s">
        <v>26</v>
      </c>
      <c r="G2739" s="11">
        <v>4399</v>
      </c>
      <c r="H2739" s="12" t="s">
        <v>143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40</v>
      </c>
      <c r="P2739" s="13"/>
      <c r="Q2739" s="13">
        <v>0</v>
      </c>
      <c r="R2739" s="72">
        <f>+L2739*O2739</f>
        <v>1732.8</v>
      </c>
      <c r="S2739" s="72">
        <v>0</v>
      </c>
      <c r="T2739" s="72">
        <f>+L2739*S2739</f>
        <v>0</v>
      </c>
      <c r="U2739" s="72">
        <f>+R2739-T2739</f>
        <v>1732.8</v>
      </c>
      <c r="V2739" s="72">
        <f t="shared" si="563"/>
        <v>0</v>
      </c>
      <c r="W2739" s="72">
        <f>+U2739-V2739</f>
        <v>1732.8</v>
      </c>
      <c r="X2739" s="72">
        <v>0</v>
      </c>
      <c r="Y2739" s="14">
        <f t="shared" si="548"/>
        <v>0</v>
      </c>
      <c r="Z2739" s="69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5139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143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40</v>
      </c>
      <c r="P2740" s="13"/>
      <c r="Q2740" s="13">
        <v>0</v>
      </c>
      <c r="R2740" s="72">
        <f>+L2740*O2740</f>
        <v>1800</v>
      </c>
      <c r="S2740" s="72">
        <v>0</v>
      </c>
      <c r="T2740" s="72">
        <f>+L2740*S2740</f>
        <v>0</v>
      </c>
      <c r="U2740" s="72">
        <f>+R2740-T2740</f>
        <v>1800</v>
      </c>
      <c r="V2740" s="72">
        <f t="shared" si="563"/>
        <v>0</v>
      </c>
      <c r="W2740" s="72">
        <f>+U2740-V2740</f>
        <v>1800</v>
      </c>
      <c r="X2740" s="72">
        <v>0</v>
      </c>
      <c r="Y2740" s="14">
        <f t="shared" si="548"/>
        <v>0</v>
      </c>
      <c r="Z2740" s="69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5140</v>
      </c>
      <c r="D2741" s="11">
        <v>17277</v>
      </c>
      <c r="E2741" s="11" t="s">
        <v>438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69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5141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1930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69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5142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69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5143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143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69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5144</v>
      </c>
      <c r="D2745" s="11">
        <v>17281</v>
      </c>
      <c r="E2745" s="11" t="s">
        <v>1221</v>
      </c>
      <c r="F2745" s="11" t="s">
        <v>26</v>
      </c>
      <c r="G2745" s="11">
        <v>2959</v>
      </c>
      <c r="H2745" s="12" t="s">
        <v>166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69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5145</v>
      </c>
      <c r="D2746" s="11">
        <v>17282</v>
      </c>
      <c r="E2746" s="11" t="s">
        <v>5146</v>
      </c>
      <c r="F2746" s="11" t="s">
        <v>26</v>
      </c>
      <c r="G2746" s="11">
        <v>78853</v>
      </c>
      <c r="H2746" s="12" t="s">
        <v>4470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69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5147</v>
      </c>
      <c r="D2747" s="11">
        <v>17283</v>
      </c>
      <c r="E2747" s="11" t="s">
        <v>233</v>
      </c>
      <c r="F2747" s="11" t="s">
        <v>26</v>
      </c>
      <c r="G2747" s="11">
        <v>26203</v>
      </c>
      <c r="H2747" s="12" t="s">
        <v>568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69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5148</v>
      </c>
      <c r="D2748" s="11">
        <v>17284</v>
      </c>
      <c r="E2748" s="11" t="s">
        <v>4800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69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5149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166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69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5150</v>
      </c>
      <c r="D2750" s="11">
        <v>17286</v>
      </c>
      <c r="E2750" s="11" t="s">
        <v>325</v>
      </c>
      <c r="F2750" s="11" t="s">
        <v>26</v>
      </c>
      <c r="G2750" s="11">
        <v>112247</v>
      </c>
      <c r="H2750" s="12" t="s">
        <v>4468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69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5151</v>
      </c>
      <c r="D2751" s="11">
        <v>17287</v>
      </c>
      <c r="E2751" s="11" t="s">
        <v>98</v>
      </c>
      <c r="F2751" s="11" t="s">
        <v>26</v>
      </c>
      <c r="G2751" s="11">
        <v>9859</v>
      </c>
      <c r="H2751" s="12" t="s">
        <v>4469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69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5152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149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69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5153</v>
      </c>
      <c r="D2753" s="11">
        <v>17289</v>
      </c>
      <c r="E2753" s="11" t="s">
        <v>99</v>
      </c>
      <c r="F2753" s="11" t="s">
        <v>26</v>
      </c>
      <c r="G2753" s="11">
        <v>10720</v>
      </c>
      <c r="H2753" s="12" t="s">
        <v>143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69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5154</v>
      </c>
      <c r="D2754" s="11">
        <v>17290</v>
      </c>
      <c r="E2754" s="11" t="s">
        <v>114</v>
      </c>
      <c r="F2754" s="11" t="s">
        <v>26</v>
      </c>
      <c r="G2754" s="11" t="s">
        <v>26</v>
      </c>
      <c r="H2754" s="12" t="s">
        <v>4445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69" t="s">
        <v>115</v>
      </c>
      <c r="AA2754" s="12" t="s">
        <v>750</v>
      </c>
    </row>
    <row r="2755" spans="1:27" x14ac:dyDescent="0.25">
      <c r="A2755" s="10">
        <v>45698</v>
      </c>
      <c r="B2755" s="71">
        <v>1.0057870370370314E-2</v>
      </c>
      <c r="C2755" s="11" t="s">
        <v>5155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1930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69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5156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149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69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5157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4468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69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5158</v>
      </c>
      <c r="D2758" s="11">
        <v>17294</v>
      </c>
      <c r="E2758" s="11" t="s">
        <v>564</v>
      </c>
      <c r="F2758" s="11" t="s">
        <v>26</v>
      </c>
      <c r="G2758" s="11">
        <v>112763</v>
      </c>
      <c r="H2758" s="12" t="s">
        <v>4468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69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5159</v>
      </c>
      <c r="D2759" s="11">
        <v>17295</v>
      </c>
      <c r="E2759" s="11" t="s">
        <v>555</v>
      </c>
      <c r="F2759" s="11" t="s">
        <v>26</v>
      </c>
      <c r="G2759" s="11">
        <v>44161</v>
      </c>
      <c r="H2759" s="12" t="s">
        <v>4444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69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5160</v>
      </c>
      <c r="D2760" s="11">
        <v>17296</v>
      </c>
      <c r="E2760" s="11" t="s">
        <v>434</v>
      </c>
      <c r="F2760" s="11" t="s">
        <v>26</v>
      </c>
      <c r="G2760" s="11">
        <v>145</v>
      </c>
      <c r="H2760" s="12" t="s">
        <v>115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/>
      <c r="Y2760" s="14">
        <f t="shared" si="587"/>
        <v>0</v>
      </c>
      <c r="Z2760" s="69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5161</v>
      </c>
      <c r="D2761" s="11">
        <v>17297</v>
      </c>
      <c r="E2761" s="11" t="s">
        <v>3959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69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5162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143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40</v>
      </c>
      <c r="P2762" s="13"/>
      <c r="Q2762" s="13">
        <v>0</v>
      </c>
      <c r="R2762" s="72">
        <f>+L2762*O2762</f>
        <v>1751.2</v>
      </c>
      <c r="S2762" s="72">
        <v>0</v>
      </c>
      <c r="T2762" s="72">
        <f>+L2762*S2762</f>
        <v>0</v>
      </c>
      <c r="U2762" s="72">
        <f>+R2762-T2762</f>
        <v>1751.2</v>
      </c>
      <c r="V2762" s="72">
        <f t="shared" si="592"/>
        <v>0</v>
      </c>
      <c r="W2762" s="72">
        <f>+U2762-V2762</f>
        <v>1751.2</v>
      </c>
      <c r="X2762" s="72">
        <v>0</v>
      </c>
      <c r="Y2762" s="14">
        <f t="shared" si="587"/>
        <v>0</v>
      </c>
      <c r="Z2762" s="69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5163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4468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69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5164</v>
      </c>
      <c r="D2764" s="11">
        <v>17300</v>
      </c>
      <c r="E2764" s="11" t="s">
        <v>239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69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5165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149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69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5166</v>
      </c>
      <c r="D2766" s="11">
        <v>17302</v>
      </c>
      <c r="E2766" s="11" t="s">
        <v>3959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69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5167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568</v>
      </c>
      <c r="I2767" s="12" t="s">
        <v>55</v>
      </c>
      <c r="J2767" s="12" t="s">
        <v>569</v>
      </c>
      <c r="K2767" s="12" t="s">
        <v>553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69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5168</v>
      </c>
      <c r="D2768" s="11">
        <v>17304</v>
      </c>
      <c r="E2768" s="11" t="s">
        <v>1221</v>
      </c>
      <c r="F2768" s="11" t="s">
        <v>26</v>
      </c>
      <c r="G2768" s="11">
        <v>2960</v>
      </c>
      <c r="H2768" s="12" t="s">
        <v>166</v>
      </c>
      <c r="I2768" s="12" t="s">
        <v>55</v>
      </c>
      <c r="J2768" s="12" t="s">
        <v>569</v>
      </c>
      <c r="K2768" s="12" t="s">
        <v>553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69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5169</v>
      </c>
      <c r="D2769" s="11">
        <v>17305</v>
      </c>
      <c r="E2769" s="11" t="s">
        <v>542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69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5170</v>
      </c>
      <c r="D2770" s="11">
        <v>17306</v>
      </c>
      <c r="E2770" s="11" t="s">
        <v>99</v>
      </c>
      <c r="F2770" s="11" t="s">
        <v>26</v>
      </c>
      <c r="G2770" s="11">
        <v>10721</v>
      </c>
      <c r="H2770" s="12" t="s">
        <v>143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40</v>
      </c>
      <c r="P2770" s="13"/>
      <c r="Q2770" s="13">
        <v>0</v>
      </c>
      <c r="R2770" s="72">
        <f>+L2770*O2770</f>
        <v>1726.3999999999999</v>
      </c>
      <c r="S2770" s="72">
        <v>0</v>
      </c>
      <c r="T2770" s="72">
        <f>+L2770*S2770</f>
        <v>0</v>
      </c>
      <c r="U2770" s="72">
        <f>+R2770-T2770</f>
        <v>1726.3999999999999</v>
      </c>
      <c r="V2770" s="72">
        <f t="shared" si="606"/>
        <v>0</v>
      </c>
      <c r="W2770" s="72">
        <f>+U2770-V2770</f>
        <v>1726.3999999999999</v>
      </c>
      <c r="X2770" s="72">
        <v>0</v>
      </c>
      <c r="Y2770" s="14">
        <f t="shared" si="607"/>
        <v>0</v>
      </c>
      <c r="Z2770" s="69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5171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166</v>
      </c>
      <c r="I2771" s="12" t="s">
        <v>55</v>
      </c>
      <c r="J2771" s="12" t="s">
        <v>569</v>
      </c>
      <c r="K2771" s="12" t="s">
        <v>553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69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5172</v>
      </c>
      <c r="D2772" s="11">
        <v>17308</v>
      </c>
      <c r="E2772" s="11" t="s">
        <v>3959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69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5173</v>
      </c>
      <c r="D2773" s="11">
        <v>17309</v>
      </c>
      <c r="E2773" s="11" t="s">
        <v>2130</v>
      </c>
      <c r="F2773" s="11" t="s">
        <v>26</v>
      </c>
      <c r="G2773" s="11">
        <v>10622</v>
      </c>
      <c r="H2773" s="12" t="s">
        <v>143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69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5174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1930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69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5175</v>
      </c>
      <c r="D2775" s="11">
        <v>17311</v>
      </c>
      <c r="E2775" s="11" t="s">
        <v>114</v>
      </c>
      <c r="F2775" s="11" t="s">
        <v>26</v>
      </c>
      <c r="G2775" s="11" t="s">
        <v>26</v>
      </c>
      <c r="H2775" s="12" t="s">
        <v>4445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69" t="s">
        <v>115</v>
      </c>
      <c r="AA2775" s="12" t="s">
        <v>750</v>
      </c>
    </row>
    <row r="2776" spans="1:27" x14ac:dyDescent="0.25">
      <c r="A2776" s="10">
        <v>45698</v>
      </c>
      <c r="B2776" s="71">
        <v>0.14287037037037031</v>
      </c>
      <c r="C2776" s="11" t="s">
        <v>5176</v>
      </c>
      <c r="D2776" s="11">
        <v>17312</v>
      </c>
      <c r="E2776" s="11" t="s">
        <v>98</v>
      </c>
      <c r="F2776" s="11" t="s">
        <v>26</v>
      </c>
      <c r="G2776" s="11">
        <v>9856</v>
      </c>
      <c r="H2776" s="12" t="s">
        <v>4469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69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5177</v>
      </c>
      <c r="D2777" s="11">
        <v>17313</v>
      </c>
      <c r="E2777" s="11" t="s">
        <v>233</v>
      </c>
      <c r="F2777" s="11" t="s">
        <v>26</v>
      </c>
      <c r="G2777" s="11">
        <v>26204</v>
      </c>
      <c r="H2777" s="12" t="s">
        <v>568</v>
      </c>
      <c r="I2777" s="12" t="s">
        <v>55</v>
      </c>
      <c r="J2777" s="12" t="s">
        <v>569</v>
      </c>
      <c r="K2777" s="12" t="s">
        <v>553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69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5178</v>
      </c>
      <c r="D2778" s="11">
        <v>17314</v>
      </c>
      <c r="E2778" s="11" t="s">
        <v>227</v>
      </c>
      <c r="F2778" s="11" t="s">
        <v>26</v>
      </c>
      <c r="G2778" s="11">
        <v>3210</v>
      </c>
      <c r="H2778" s="12" t="s">
        <v>4444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69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5179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69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5180</v>
      </c>
      <c r="D2780" s="11">
        <v>17316</v>
      </c>
      <c r="E2780" s="11" t="s">
        <v>325</v>
      </c>
      <c r="F2780" s="11" t="s">
        <v>26</v>
      </c>
      <c r="G2780" s="11">
        <v>112767</v>
      </c>
      <c r="H2780" s="12" t="s">
        <v>4468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69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5181</v>
      </c>
      <c r="D2781" s="11">
        <v>17317</v>
      </c>
      <c r="E2781" s="11" t="s">
        <v>438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569</v>
      </c>
      <c r="K2781" s="12" t="s">
        <v>553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69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5182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568</v>
      </c>
      <c r="I2782" s="12" t="s">
        <v>55</v>
      </c>
      <c r="J2782" s="12" t="s">
        <v>569</v>
      </c>
      <c r="K2782" s="12" t="s">
        <v>553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69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5183</v>
      </c>
      <c r="D2783" s="11">
        <v>17319</v>
      </c>
      <c r="E2783" s="11" t="s">
        <v>486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569</v>
      </c>
      <c r="K2783" s="12" t="s">
        <v>553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69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5184</v>
      </c>
      <c r="D2784" s="11">
        <v>17320</v>
      </c>
      <c r="E2784" s="11" t="s">
        <v>654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69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5185</v>
      </c>
      <c r="D2785" s="11">
        <v>17321</v>
      </c>
      <c r="E2785" s="11" t="s">
        <v>509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69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5186</v>
      </c>
      <c r="D2786" s="11">
        <v>17322</v>
      </c>
      <c r="E2786" s="11" t="s">
        <v>564</v>
      </c>
      <c r="F2786" s="11" t="s">
        <v>26</v>
      </c>
      <c r="G2786" s="11">
        <v>112771</v>
      </c>
      <c r="H2786" s="12" t="s">
        <v>4468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69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5187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69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5188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69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5189</v>
      </c>
      <c r="D2789" s="11">
        <v>17325</v>
      </c>
      <c r="E2789" s="11" t="s">
        <v>555</v>
      </c>
      <c r="F2789" s="11" t="s">
        <v>26</v>
      </c>
      <c r="G2789" s="11">
        <v>44162</v>
      </c>
      <c r="H2789" s="12" t="s">
        <v>4444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69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5190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4470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69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5191</v>
      </c>
      <c r="D2791" s="11">
        <v>17327</v>
      </c>
      <c r="E2791" s="11" t="s">
        <v>434</v>
      </c>
      <c r="F2791" s="11" t="s">
        <v>26</v>
      </c>
      <c r="G2791" s="11">
        <v>146</v>
      </c>
      <c r="H2791" s="12" t="s">
        <v>115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/>
      <c r="Y2791" s="14">
        <f t="shared" si="618"/>
        <v>0</v>
      </c>
      <c r="Z2791" s="69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5192</v>
      </c>
      <c r="D2792" s="11">
        <v>17328</v>
      </c>
      <c r="E2792" s="11" t="s">
        <v>571</v>
      </c>
      <c r="F2792" s="11" t="s">
        <v>26</v>
      </c>
      <c r="G2792" s="11">
        <v>112772</v>
      </c>
      <c r="H2792" s="12" t="s">
        <v>4468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69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5193</v>
      </c>
      <c r="D2793" s="11">
        <v>17329</v>
      </c>
      <c r="E2793" s="11" t="s">
        <v>509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69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5194</v>
      </c>
      <c r="D2794" s="11">
        <v>17330</v>
      </c>
      <c r="E2794" s="11" t="s">
        <v>227</v>
      </c>
      <c r="F2794" s="11" t="s">
        <v>26</v>
      </c>
      <c r="G2794" s="11">
        <v>3211</v>
      </c>
      <c r="H2794" s="12" t="s">
        <v>4444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69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5195</v>
      </c>
      <c r="D2795" s="11">
        <v>17331</v>
      </c>
      <c r="E2795" s="11" t="s">
        <v>2130</v>
      </c>
      <c r="F2795" s="11" t="s">
        <v>26</v>
      </c>
      <c r="G2795" s="11" t="s">
        <v>26</v>
      </c>
      <c r="H2795" s="12" t="s">
        <v>4443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69" t="s">
        <v>143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5196</v>
      </c>
      <c r="D2796" s="11">
        <v>17332</v>
      </c>
      <c r="E2796" s="11" t="s">
        <v>5197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69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5198</v>
      </c>
      <c r="D2797" s="11">
        <v>17333</v>
      </c>
      <c r="E2797" s="11" t="s">
        <v>249</v>
      </c>
      <c r="F2797" s="11" t="s">
        <v>26</v>
      </c>
      <c r="G2797" s="11" t="s">
        <v>26</v>
      </c>
      <c r="H2797" s="12" t="s">
        <v>4443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69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5199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69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5200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4443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69" t="s">
        <v>144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5201</v>
      </c>
      <c r="D2800" s="11">
        <v>17336</v>
      </c>
      <c r="E2800" s="11" t="s">
        <v>243</v>
      </c>
      <c r="F2800" s="11" t="s">
        <v>26</v>
      </c>
      <c r="G2800" s="11" t="s">
        <v>26</v>
      </c>
      <c r="H2800" s="12" t="s">
        <v>149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69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5202</v>
      </c>
      <c r="D2801" s="11">
        <v>17337</v>
      </c>
      <c r="E2801" s="11" t="s">
        <v>504</v>
      </c>
      <c r="F2801" s="11" t="s">
        <v>26</v>
      </c>
      <c r="G2801" s="11" t="s">
        <v>26</v>
      </c>
      <c r="H2801" s="12" t="s">
        <v>4443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69" t="s">
        <v>144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5203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69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5204</v>
      </c>
      <c r="D2803" s="11">
        <v>17339</v>
      </c>
      <c r="E2803" s="11" t="s">
        <v>542</v>
      </c>
      <c r="F2803" s="11" t="s">
        <v>26</v>
      </c>
      <c r="G2803" s="11" t="s">
        <v>26</v>
      </c>
      <c r="H2803" s="12" t="s">
        <v>149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69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5205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4443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69" t="s">
        <v>143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5206</v>
      </c>
      <c r="D2805" s="11">
        <v>17341</v>
      </c>
      <c r="E2805" s="11" t="s">
        <v>99</v>
      </c>
      <c r="F2805" s="11" t="s">
        <v>26</v>
      </c>
      <c r="G2805" s="11">
        <v>10722</v>
      </c>
      <c r="H2805" s="12" t="s">
        <v>143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40</v>
      </c>
      <c r="P2805" s="13"/>
      <c r="Q2805" s="13">
        <v>0</v>
      </c>
      <c r="R2805" s="72">
        <f>+L2805*O2805</f>
        <v>1773.6000000000001</v>
      </c>
      <c r="S2805" s="72">
        <v>0</v>
      </c>
      <c r="T2805" s="72">
        <f>+L2805*S2805</f>
        <v>0</v>
      </c>
      <c r="U2805" s="72">
        <f>+R2805-T2805</f>
        <v>1773.6000000000001</v>
      </c>
      <c r="V2805" s="72">
        <f t="shared" ref="V2805" si="653">+U2805*0</f>
        <v>0</v>
      </c>
      <c r="W2805" s="72">
        <f>+U2805-V2805</f>
        <v>1773.6000000000001</v>
      </c>
      <c r="X2805" s="72">
        <v>0</v>
      </c>
      <c r="Y2805" s="14">
        <f t="shared" ref="Y2805" si="654">T2805-X2805</f>
        <v>0</v>
      </c>
      <c r="Z2805" s="69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5207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4443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69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5208</v>
      </c>
      <c r="D2807" s="11">
        <v>17343</v>
      </c>
      <c r="E2807" s="11" t="s">
        <v>325</v>
      </c>
      <c r="F2807" s="11" t="s">
        <v>26</v>
      </c>
      <c r="G2807" s="11">
        <v>112775</v>
      </c>
      <c r="H2807" s="12" t="s">
        <v>4468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69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5209</v>
      </c>
      <c r="D2808" s="11">
        <v>17344</v>
      </c>
      <c r="E2808" s="11" t="s">
        <v>183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69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5210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69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5211</v>
      </c>
      <c r="D2810" s="11">
        <v>17346</v>
      </c>
      <c r="E2810" s="11" t="s">
        <v>654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69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5212</v>
      </c>
      <c r="D2811" s="11">
        <v>17347</v>
      </c>
      <c r="E2811" s="11" t="s">
        <v>573</v>
      </c>
      <c r="F2811" s="11" t="s">
        <v>26</v>
      </c>
      <c r="G2811" s="11">
        <v>10751</v>
      </c>
      <c r="H2811" s="12" t="s">
        <v>143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69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5213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166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69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5214</v>
      </c>
      <c r="D2813" s="11">
        <v>17349</v>
      </c>
      <c r="E2813" s="11" t="s">
        <v>489</v>
      </c>
      <c r="F2813" s="11" t="s">
        <v>26</v>
      </c>
      <c r="G2813" s="11">
        <v>78003</v>
      </c>
      <c r="H2813" s="12" t="s">
        <v>4470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69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5215</v>
      </c>
      <c r="D2814" s="11">
        <v>17350</v>
      </c>
      <c r="E2814" s="11" t="s">
        <v>1221</v>
      </c>
      <c r="F2814" s="11" t="s">
        <v>26</v>
      </c>
      <c r="G2814" s="11">
        <v>2961</v>
      </c>
      <c r="H2814" s="12" t="s">
        <v>166</v>
      </c>
      <c r="I2814" s="12" t="s">
        <v>55</v>
      </c>
      <c r="J2814" s="12" t="s">
        <v>569</v>
      </c>
      <c r="K2814" s="12" t="s">
        <v>553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69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5216</v>
      </c>
      <c r="D2815" s="11">
        <v>17351</v>
      </c>
      <c r="E2815" s="11" t="s">
        <v>233</v>
      </c>
      <c r="F2815" s="11" t="s">
        <v>26</v>
      </c>
      <c r="G2815" s="11">
        <v>26205</v>
      </c>
      <c r="H2815" s="12" t="s">
        <v>568</v>
      </c>
      <c r="I2815" s="12" t="s">
        <v>55</v>
      </c>
      <c r="J2815" s="12" t="s">
        <v>569</v>
      </c>
      <c r="K2815" s="12" t="s">
        <v>553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69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5217</v>
      </c>
      <c r="D2816" s="11">
        <v>17352</v>
      </c>
      <c r="E2816" s="11" t="s">
        <v>5218</v>
      </c>
      <c r="F2816" s="11" t="s">
        <v>26</v>
      </c>
      <c r="G2816" s="11">
        <v>78001</v>
      </c>
      <c r="H2816" s="12" t="s">
        <v>4470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69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5219</v>
      </c>
      <c r="D2817" s="11">
        <v>17353</v>
      </c>
      <c r="E2817" s="11" t="s">
        <v>114</v>
      </c>
      <c r="F2817" s="11" t="s">
        <v>26</v>
      </c>
      <c r="G2817" s="11">
        <v>693</v>
      </c>
      <c r="H2817" s="12" t="s">
        <v>115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69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5220</v>
      </c>
      <c r="D2818" s="11">
        <v>17354</v>
      </c>
      <c r="E2818" s="11" t="s">
        <v>499</v>
      </c>
      <c r="F2818" s="11" t="s">
        <v>26</v>
      </c>
      <c r="G2818" s="11">
        <v>78954</v>
      </c>
      <c r="H2818" s="12" t="s">
        <v>4470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69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5221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69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5222</v>
      </c>
      <c r="D2820" s="11">
        <v>17356</v>
      </c>
      <c r="E2820" s="11" t="s">
        <v>5197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69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5223</v>
      </c>
      <c r="D2821" s="11">
        <v>17357</v>
      </c>
      <c r="E2821" s="11" t="s">
        <v>570</v>
      </c>
      <c r="F2821" s="11" t="s">
        <v>26</v>
      </c>
      <c r="G2821" s="11">
        <v>112773</v>
      </c>
      <c r="H2821" s="12" t="s">
        <v>4468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69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5224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144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69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5225</v>
      </c>
      <c r="D2823" s="11">
        <v>17359</v>
      </c>
      <c r="E2823" s="11" t="s">
        <v>662</v>
      </c>
      <c r="F2823" s="11" t="s">
        <v>26</v>
      </c>
      <c r="G2823" s="11">
        <v>867</v>
      </c>
      <c r="H2823" s="12" t="s">
        <v>144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69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5226</v>
      </c>
      <c r="D2824" s="11">
        <v>17360</v>
      </c>
      <c r="E2824" s="11" t="s">
        <v>504</v>
      </c>
      <c r="F2824" s="11" t="s">
        <v>26</v>
      </c>
      <c r="G2824" s="11">
        <v>820</v>
      </c>
      <c r="H2824" s="12" t="s">
        <v>144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69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5227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143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69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5228</v>
      </c>
      <c r="D2826" s="11">
        <v>17363</v>
      </c>
      <c r="E2826" s="11" t="s">
        <v>434</v>
      </c>
      <c r="F2826" s="11" t="s">
        <v>26</v>
      </c>
      <c r="G2826" s="11" t="s">
        <v>26</v>
      </c>
      <c r="H2826" s="12" t="s">
        <v>4443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69" t="s">
        <v>115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5229</v>
      </c>
      <c r="D2827" s="11">
        <v>17364</v>
      </c>
      <c r="E2827" s="11" t="s">
        <v>243</v>
      </c>
      <c r="F2827" s="11" t="s">
        <v>26</v>
      </c>
      <c r="G2827" s="11" t="s">
        <v>26</v>
      </c>
      <c r="H2827" s="12" t="s">
        <v>4443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69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5230</v>
      </c>
      <c r="D2828" s="11">
        <v>17365</v>
      </c>
      <c r="E2828" s="11" t="s">
        <v>486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69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5231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69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5232</v>
      </c>
      <c r="D2830" s="11">
        <v>17367</v>
      </c>
      <c r="E2830" s="11" t="s">
        <v>5233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69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5234</v>
      </c>
      <c r="D2831" s="11">
        <v>17368</v>
      </c>
      <c r="E2831" s="11" t="s">
        <v>233</v>
      </c>
      <c r="F2831" s="11" t="s">
        <v>26</v>
      </c>
      <c r="G2831" s="11">
        <v>26206</v>
      </c>
      <c r="H2831" s="12" t="s">
        <v>568</v>
      </c>
      <c r="I2831" s="12" t="s">
        <v>55</v>
      </c>
      <c r="J2831" s="12" t="s">
        <v>569</v>
      </c>
      <c r="K2831" s="12" t="s">
        <v>553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69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5235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143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69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5236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1930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69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5237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69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5238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166</v>
      </c>
      <c r="I2835" s="12" t="s">
        <v>55</v>
      </c>
      <c r="J2835" s="12" t="s">
        <v>569</v>
      </c>
      <c r="K2835" s="12" t="s">
        <v>553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69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5239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69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5240</v>
      </c>
      <c r="D2837" s="11">
        <v>17375</v>
      </c>
      <c r="E2837" s="11" t="s">
        <v>608</v>
      </c>
      <c r="F2837" s="11" t="s">
        <v>26</v>
      </c>
      <c r="G2837" s="11">
        <v>1065</v>
      </c>
      <c r="H2837" s="12" t="s">
        <v>144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69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5241</v>
      </c>
      <c r="D2838" s="11">
        <v>17376</v>
      </c>
      <c r="E2838" s="11" t="s">
        <v>438</v>
      </c>
      <c r="F2838" s="11" t="s">
        <v>26</v>
      </c>
      <c r="G2838" s="11" t="s">
        <v>26</v>
      </c>
      <c r="H2838" s="12" t="s">
        <v>4443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69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5242</v>
      </c>
      <c r="D2839" s="11">
        <v>17379</v>
      </c>
      <c r="E2839" s="11" t="s">
        <v>5243</v>
      </c>
      <c r="F2839" s="11" t="s">
        <v>26</v>
      </c>
      <c r="G2839" s="11">
        <v>56916</v>
      </c>
      <c r="H2839" s="12" t="s">
        <v>4444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69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5244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568</v>
      </c>
      <c r="I2840" s="12" t="s">
        <v>55</v>
      </c>
      <c r="J2840" s="12" t="s">
        <v>569</v>
      </c>
      <c r="K2840" s="12" t="s">
        <v>553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69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5245</v>
      </c>
      <c r="D2841" s="11">
        <v>17380</v>
      </c>
      <c r="E2841" s="11" t="s">
        <v>1221</v>
      </c>
      <c r="F2841" s="11" t="s">
        <v>26</v>
      </c>
      <c r="G2841" s="11">
        <v>2962</v>
      </c>
      <c r="H2841" s="12" t="s">
        <v>166</v>
      </c>
      <c r="I2841" s="12" t="s">
        <v>55</v>
      </c>
      <c r="J2841" s="12" t="s">
        <v>569</v>
      </c>
      <c r="K2841" s="12" t="s">
        <v>553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69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5246</v>
      </c>
      <c r="D2842" s="11">
        <v>17381</v>
      </c>
      <c r="E2842" s="11" t="s">
        <v>114</v>
      </c>
      <c r="F2842" s="11" t="s">
        <v>26</v>
      </c>
      <c r="G2842" s="11">
        <v>690</v>
      </c>
      <c r="H2842" s="12" t="s">
        <v>115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69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5247</v>
      </c>
      <c r="D2843" s="11">
        <v>17382</v>
      </c>
      <c r="E2843" s="11" t="s">
        <v>555</v>
      </c>
      <c r="F2843" s="11" t="s">
        <v>26</v>
      </c>
      <c r="G2843" s="11">
        <v>44164</v>
      </c>
      <c r="H2843" s="12" t="s">
        <v>4444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69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5248</v>
      </c>
      <c r="D2844" s="11">
        <v>17383</v>
      </c>
      <c r="E2844" s="11" t="s">
        <v>5197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69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5249</v>
      </c>
      <c r="D2845" s="11">
        <v>17384</v>
      </c>
      <c r="E2845" s="11" t="s">
        <v>206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69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5250</v>
      </c>
      <c r="D2846" s="11">
        <v>17385</v>
      </c>
      <c r="E2846" s="11" t="s">
        <v>434</v>
      </c>
      <c r="F2846" s="11" t="s">
        <v>26</v>
      </c>
      <c r="G2846" s="11">
        <v>148</v>
      </c>
      <c r="H2846" s="12" t="s">
        <v>115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69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5251</v>
      </c>
      <c r="D2847" s="11">
        <v>17386</v>
      </c>
      <c r="E2847" s="11" t="s">
        <v>5233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69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5252</v>
      </c>
      <c r="D2848" s="11">
        <v>17387</v>
      </c>
      <c r="E2848" s="11" t="s">
        <v>512</v>
      </c>
      <c r="F2848" s="11" t="s">
        <v>26</v>
      </c>
      <c r="G2848" s="11">
        <v>1314</v>
      </c>
      <c r="H2848" s="12" t="s">
        <v>144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69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5253</v>
      </c>
      <c r="D2849" s="11">
        <v>17388</v>
      </c>
      <c r="E2849" s="11" t="s">
        <v>233</v>
      </c>
      <c r="F2849" s="11" t="s">
        <v>26</v>
      </c>
      <c r="G2849" s="11">
        <v>26207</v>
      </c>
      <c r="H2849" s="12" t="s">
        <v>568</v>
      </c>
      <c r="I2849" s="12" t="s">
        <v>55</v>
      </c>
      <c r="J2849" s="12" t="s">
        <v>569</v>
      </c>
      <c r="K2849" s="12" t="s">
        <v>553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69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5254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569</v>
      </c>
      <c r="K2850" s="12" t="s">
        <v>553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69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5255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69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5256</v>
      </c>
      <c r="D2852" s="11">
        <v>17391</v>
      </c>
      <c r="E2852" s="11" t="s">
        <v>183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69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5257</v>
      </c>
      <c r="D2853" s="11">
        <v>17392</v>
      </c>
      <c r="E2853" s="11" t="s">
        <v>206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69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5258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143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40</v>
      </c>
      <c r="P2854" s="13"/>
      <c r="Q2854" s="13">
        <v>0</v>
      </c>
      <c r="R2854" s="72">
        <f>+L2854*O2854</f>
        <v>1778.4</v>
      </c>
      <c r="S2854" s="72">
        <v>0</v>
      </c>
      <c r="T2854" s="72">
        <f>+L2854*S2854</f>
        <v>0</v>
      </c>
      <c r="U2854" s="72">
        <f>+R2854-T2854</f>
        <v>1778.4</v>
      </c>
      <c r="V2854" s="72">
        <f t="shared" si="712"/>
        <v>0</v>
      </c>
      <c r="W2854" s="72">
        <f>+U2854-V2854</f>
        <v>1778.4</v>
      </c>
      <c r="X2854" s="72">
        <v>0</v>
      </c>
      <c r="Y2854" s="14">
        <f t="shared" si="681"/>
        <v>0</v>
      </c>
      <c r="Z2854" s="69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5259</v>
      </c>
      <c r="D2855" s="11">
        <v>17394</v>
      </c>
      <c r="E2855" s="11" t="s">
        <v>573</v>
      </c>
      <c r="F2855" s="11" t="s">
        <v>26</v>
      </c>
      <c r="G2855" s="11">
        <v>10752</v>
      </c>
      <c r="H2855" s="12" t="s">
        <v>143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69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5260</v>
      </c>
      <c r="D2856" s="11">
        <v>17395</v>
      </c>
      <c r="E2856" s="11" t="s">
        <v>243</v>
      </c>
      <c r="F2856" s="11" t="s">
        <v>26</v>
      </c>
      <c r="G2856" s="11" t="s">
        <v>26</v>
      </c>
      <c r="H2856" s="12" t="s">
        <v>149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69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5261</v>
      </c>
      <c r="D2857" s="11">
        <v>17396</v>
      </c>
      <c r="E2857" s="11" t="s">
        <v>509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69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5262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144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69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5263</v>
      </c>
      <c r="D2859" s="11">
        <v>17398</v>
      </c>
      <c r="E2859" s="11" t="s">
        <v>5264</v>
      </c>
      <c r="F2859" s="11" t="s">
        <v>26</v>
      </c>
      <c r="G2859" s="11">
        <v>112785</v>
      </c>
      <c r="H2859" s="12" t="s">
        <v>4468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69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5265</v>
      </c>
      <c r="D2860" s="11">
        <v>17399</v>
      </c>
      <c r="E2860" s="11" t="s">
        <v>5266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69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5267</v>
      </c>
      <c r="D2861" s="11">
        <v>17400</v>
      </c>
      <c r="E2861" s="11" t="s">
        <v>5268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69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5269</v>
      </c>
      <c r="D2862" s="11">
        <v>17401</v>
      </c>
      <c r="E2862" s="11" t="s">
        <v>559</v>
      </c>
      <c r="F2862" s="11" t="s">
        <v>26</v>
      </c>
      <c r="G2862" s="11">
        <v>10682</v>
      </c>
      <c r="H2862" s="12" t="s">
        <v>143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69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5270</v>
      </c>
      <c r="D2863" s="11">
        <v>17402</v>
      </c>
      <c r="E2863" s="11" t="s">
        <v>2085</v>
      </c>
      <c r="F2863" s="11" t="s">
        <v>26</v>
      </c>
      <c r="G2863" s="11">
        <v>40651</v>
      </c>
      <c r="H2863" s="12" t="s">
        <v>568</v>
      </c>
      <c r="I2863" s="12" t="s">
        <v>55</v>
      </c>
      <c r="J2863" s="12" t="s">
        <v>569</v>
      </c>
      <c r="K2863" s="12" t="s">
        <v>553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69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5271</v>
      </c>
      <c r="D2864" s="11">
        <v>17403</v>
      </c>
      <c r="E2864" s="11" t="s">
        <v>565</v>
      </c>
      <c r="F2864" s="11" t="s">
        <v>26</v>
      </c>
      <c r="G2864" s="11">
        <v>947</v>
      </c>
      <c r="H2864" s="12" t="s">
        <v>166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69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5272</v>
      </c>
      <c r="D2865" s="11">
        <v>17404</v>
      </c>
      <c r="E2865" s="11" t="s">
        <v>2087</v>
      </c>
      <c r="F2865" s="11" t="s">
        <v>26</v>
      </c>
      <c r="G2865" s="11">
        <v>2963</v>
      </c>
      <c r="H2865" s="12" t="s">
        <v>166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69" t="s">
        <v>26</v>
      </c>
      <c r="AA2865" s="12" t="s">
        <v>31</v>
      </c>
    </row>
    <row r="2866" spans="1:27" x14ac:dyDescent="0.25">
      <c r="A2866" s="10">
        <v>45700</v>
      </c>
      <c r="B2866" s="11" t="s">
        <v>391</v>
      </c>
      <c r="C2866" s="11" t="s">
        <v>5273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69" t="s">
        <v>26</v>
      </c>
      <c r="AA2866" s="12" t="s">
        <v>31</v>
      </c>
    </row>
    <row r="2867" spans="1:27" x14ac:dyDescent="0.25">
      <c r="A2867" s="10">
        <v>45700</v>
      </c>
      <c r="B2867" s="11" t="s">
        <v>5274</v>
      </c>
      <c r="C2867" s="11" t="s">
        <v>5275</v>
      </c>
      <c r="D2867" s="11">
        <v>17406</v>
      </c>
      <c r="E2867" s="11" t="s">
        <v>187</v>
      </c>
      <c r="F2867" s="11" t="s">
        <v>26</v>
      </c>
      <c r="G2867" s="11">
        <v>1011</v>
      </c>
      <c r="H2867" s="12" t="s">
        <v>144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69" t="s">
        <v>26</v>
      </c>
      <c r="AA2867" s="12" t="s">
        <v>31</v>
      </c>
    </row>
    <row r="2868" spans="1:27" x14ac:dyDescent="0.25">
      <c r="A2868" s="10">
        <v>45700</v>
      </c>
      <c r="B2868" s="11" t="s">
        <v>4011</v>
      </c>
      <c r="C2868" s="11" t="s">
        <v>5276</v>
      </c>
      <c r="D2868" s="11">
        <v>17407</v>
      </c>
      <c r="E2868" s="11" t="s">
        <v>577</v>
      </c>
      <c r="F2868" s="11" t="s">
        <v>26</v>
      </c>
      <c r="G2868" s="11">
        <v>1159</v>
      </c>
      <c r="H2868" s="12" t="s">
        <v>144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69" t="s">
        <v>26</v>
      </c>
      <c r="AA2868" s="12" t="s">
        <v>31</v>
      </c>
    </row>
    <row r="2869" spans="1:27" x14ac:dyDescent="0.25">
      <c r="A2869" s="10">
        <v>45700</v>
      </c>
      <c r="B2869" s="11" t="s">
        <v>5277</v>
      </c>
      <c r="C2869" s="11" t="s">
        <v>5278</v>
      </c>
      <c r="D2869" s="11">
        <v>17408</v>
      </c>
      <c r="E2869" s="11" t="s">
        <v>486</v>
      </c>
      <c r="F2869" s="11" t="s">
        <v>26</v>
      </c>
      <c r="G2869" s="11" t="s">
        <v>26</v>
      </c>
      <c r="H2869" s="12" t="s">
        <v>4443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69" t="s">
        <v>41</v>
      </c>
      <c r="AA2869" s="12" t="s">
        <v>78</v>
      </c>
    </row>
    <row r="2870" spans="1:27" x14ac:dyDescent="0.25">
      <c r="A2870" s="10">
        <v>45700</v>
      </c>
      <c r="B2870" s="11" t="s">
        <v>638</v>
      </c>
      <c r="C2870" s="11" t="s">
        <v>5279</v>
      </c>
      <c r="D2870" s="11">
        <v>17409</v>
      </c>
      <c r="E2870" s="11" t="s">
        <v>542</v>
      </c>
      <c r="F2870" s="11" t="s">
        <v>26</v>
      </c>
      <c r="G2870" s="11" t="s">
        <v>26</v>
      </c>
      <c r="H2870" s="12" t="s">
        <v>149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69" t="s">
        <v>41</v>
      </c>
      <c r="AA2870" s="12" t="s">
        <v>79</v>
      </c>
    </row>
    <row r="2871" spans="1:27" x14ac:dyDescent="0.25">
      <c r="A2871" s="10">
        <v>45700</v>
      </c>
      <c r="B2871" s="11" t="s">
        <v>5280</v>
      </c>
      <c r="C2871" s="11" t="s">
        <v>5281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569</v>
      </c>
      <c r="K2871" s="12" t="s">
        <v>553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69" t="s">
        <v>26</v>
      </c>
      <c r="AA2871" s="12" t="s">
        <v>31</v>
      </c>
    </row>
    <row r="2872" spans="1:27" x14ac:dyDescent="0.25">
      <c r="A2872" s="10">
        <v>45700</v>
      </c>
      <c r="B2872" s="11" t="s">
        <v>5282</v>
      </c>
      <c r="C2872" s="11" t="s">
        <v>5283</v>
      </c>
      <c r="D2872" s="11">
        <v>17411</v>
      </c>
      <c r="E2872" s="11" t="s">
        <v>249</v>
      </c>
      <c r="F2872" s="11" t="s">
        <v>26</v>
      </c>
      <c r="G2872" s="11" t="s">
        <v>26</v>
      </c>
      <c r="H2872" s="12" t="s">
        <v>4443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69" t="s">
        <v>41</v>
      </c>
      <c r="AA2872" s="12" t="s">
        <v>78</v>
      </c>
    </row>
    <row r="2873" spans="1:27" x14ac:dyDescent="0.25">
      <c r="A2873" s="10">
        <v>45700</v>
      </c>
      <c r="B2873" s="11" t="s">
        <v>5284</v>
      </c>
      <c r="C2873" s="11" t="s">
        <v>5285</v>
      </c>
      <c r="D2873" s="11">
        <v>17412</v>
      </c>
      <c r="E2873" s="11" t="s">
        <v>571</v>
      </c>
      <c r="F2873" s="11" t="s">
        <v>26</v>
      </c>
      <c r="G2873" s="11">
        <v>112779</v>
      </c>
      <c r="H2873" s="12" t="s">
        <v>4468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69" t="s">
        <v>26</v>
      </c>
      <c r="AA2873" s="12" t="s">
        <v>31</v>
      </c>
    </row>
    <row r="2874" spans="1:27" x14ac:dyDescent="0.25">
      <c r="A2874" s="10">
        <v>45700</v>
      </c>
      <c r="B2874" s="11" t="s">
        <v>5286</v>
      </c>
      <c r="C2874" s="11" t="s">
        <v>5287</v>
      </c>
      <c r="D2874" s="11">
        <v>17413</v>
      </c>
      <c r="E2874" s="11" t="s">
        <v>438</v>
      </c>
      <c r="F2874" s="11" t="s">
        <v>26</v>
      </c>
      <c r="G2874" s="11" t="s">
        <v>26</v>
      </c>
      <c r="H2874" s="12" t="s">
        <v>4443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69" t="s">
        <v>41</v>
      </c>
      <c r="AA2874" s="12" t="s">
        <v>78</v>
      </c>
    </row>
    <row r="2875" spans="1:27" x14ac:dyDescent="0.25">
      <c r="A2875" s="10">
        <v>45700</v>
      </c>
      <c r="B2875" s="11" t="s">
        <v>198</v>
      </c>
      <c r="C2875" s="11" t="s">
        <v>5288</v>
      </c>
      <c r="D2875" s="11">
        <v>17414</v>
      </c>
      <c r="E2875" s="11" t="s">
        <v>2130</v>
      </c>
      <c r="F2875" s="11" t="s">
        <v>26</v>
      </c>
      <c r="G2875" s="11">
        <v>10623</v>
      </c>
      <c r="H2875" s="12" t="s">
        <v>143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40</v>
      </c>
      <c r="P2875" s="13"/>
      <c r="Q2875" s="13">
        <v>0</v>
      </c>
      <c r="R2875" s="72">
        <f>+L2875*O2875</f>
        <v>1748.8</v>
      </c>
      <c r="S2875" s="72">
        <v>0</v>
      </c>
      <c r="T2875" s="72">
        <f>+L2875*S2875</f>
        <v>0</v>
      </c>
      <c r="U2875" s="72">
        <f>+R2875-T2875</f>
        <v>1748.8</v>
      </c>
      <c r="V2875" s="72">
        <f t="shared" ref="V2875" si="735">+U2875*0</f>
        <v>0</v>
      </c>
      <c r="W2875" s="72">
        <f>+U2875-V2875</f>
        <v>1748.8</v>
      </c>
      <c r="X2875" s="72">
        <v>0</v>
      </c>
      <c r="Y2875" s="14">
        <f t="shared" ref="Y2875" si="736">T2875-X2875</f>
        <v>0</v>
      </c>
      <c r="Z2875" s="69" t="s">
        <v>26</v>
      </c>
      <c r="AA2875" s="12" t="s">
        <v>31</v>
      </c>
    </row>
    <row r="2876" spans="1:27" x14ac:dyDescent="0.25">
      <c r="A2876" s="10">
        <v>45700</v>
      </c>
      <c r="B2876" s="11" t="s">
        <v>383</v>
      </c>
      <c r="C2876" s="11" t="s">
        <v>5289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69" t="s">
        <v>26</v>
      </c>
      <c r="AA2876" s="12" t="s">
        <v>31</v>
      </c>
    </row>
    <row r="2877" spans="1:27" x14ac:dyDescent="0.25">
      <c r="A2877" s="10">
        <v>45700</v>
      </c>
      <c r="B2877" s="11" t="s">
        <v>4207</v>
      </c>
      <c r="C2877" s="11" t="s">
        <v>5290</v>
      </c>
      <c r="D2877" s="11">
        <v>17416</v>
      </c>
      <c r="E2877" s="11" t="s">
        <v>443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69" t="s">
        <v>26</v>
      </c>
      <c r="AA2877" s="12" t="s">
        <v>31</v>
      </c>
    </row>
    <row r="2878" spans="1:27" x14ac:dyDescent="0.25">
      <c r="A2878" s="10">
        <v>45700</v>
      </c>
      <c r="B2878" s="11" t="s">
        <v>5291</v>
      </c>
      <c r="C2878" s="11" t="s">
        <v>5292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144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69" t="s">
        <v>26</v>
      </c>
      <c r="AA2878" s="12" t="s">
        <v>31</v>
      </c>
    </row>
    <row r="2879" spans="1:27" x14ac:dyDescent="0.25">
      <c r="A2879" s="10">
        <v>45700</v>
      </c>
      <c r="B2879" s="11" t="s">
        <v>5293</v>
      </c>
      <c r="C2879" s="11" t="s">
        <v>5294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69" t="s">
        <v>26</v>
      </c>
      <c r="AA2879" s="12" t="s">
        <v>31</v>
      </c>
    </row>
    <row r="2880" spans="1:27" x14ac:dyDescent="0.25">
      <c r="A2880" s="10">
        <v>45700</v>
      </c>
      <c r="B2880" s="11" t="s">
        <v>5295</v>
      </c>
      <c r="C2880" s="11" t="s">
        <v>5296</v>
      </c>
      <c r="D2880" s="11">
        <v>17419</v>
      </c>
      <c r="E2880" s="11" t="s">
        <v>499</v>
      </c>
      <c r="F2880" s="11" t="s">
        <v>26</v>
      </c>
      <c r="G2880" s="11">
        <v>78955</v>
      </c>
      <c r="H2880" s="12" t="s">
        <v>4470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69" t="s">
        <v>26</v>
      </c>
      <c r="AA2880" s="12" t="s">
        <v>31</v>
      </c>
    </row>
    <row r="2881" spans="1:27" x14ac:dyDescent="0.25">
      <c r="A2881" s="10">
        <v>45700</v>
      </c>
      <c r="B2881" s="11" t="s">
        <v>5297</v>
      </c>
      <c r="C2881" s="11" t="s">
        <v>5298</v>
      </c>
      <c r="D2881" s="11">
        <v>17420</v>
      </c>
      <c r="E2881" s="11" t="s">
        <v>233</v>
      </c>
      <c r="F2881" s="11" t="s">
        <v>26</v>
      </c>
      <c r="G2881" s="11">
        <v>26208</v>
      </c>
      <c r="H2881" s="12" t="s">
        <v>568</v>
      </c>
      <c r="I2881" s="12" t="s">
        <v>55</v>
      </c>
      <c r="J2881" s="12" t="s">
        <v>569</v>
      </c>
      <c r="K2881" s="12" t="s">
        <v>553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69" t="s">
        <v>26</v>
      </c>
      <c r="AA2881" s="12" t="s">
        <v>31</v>
      </c>
    </row>
    <row r="2882" spans="1:27" x14ac:dyDescent="0.25">
      <c r="A2882" s="10">
        <v>45700</v>
      </c>
      <c r="B2882" s="11" t="s">
        <v>5299</v>
      </c>
      <c r="C2882" s="11" t="s">
        <v>5300</v>
      </c>
      <c r="D2882" s="11">
        <v>17421</v>
      </c>
      <c r="E2882" s="11" t="s">
        <v>1221</v>
      </c>
      <c r="F2882" s="11" t="s">
        <v>26</v>
      </c>
      <c r="G2882" s="11">
        <v>2964</v>
      </c>
      <c r="H2882" s="12" t="s">
        <v>166</v>
      </c>
      <c r="I2882" s="12" t="s">
        <v>55</v>
      </c>
      <c r="J2882" s="12" t="s">
        <v>569</v>
      </c>
      <c r="K2882" s="12" t="s">
        <v>553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69" t="s">
        <v>26</v>
      </c>
      <c r="AA2882" s="12" t="s">
        <v>31</v>
      </c>
    </row>
    <row r="2883" spans="1:27" x14ac:dyDescent="0.25">
      <c r="A2883" s="10">
        <v>45700</v>
      </c>
      <c r="B2883" s="11" t="s">
        <v>5301</v>
      </c>
      <c r="C2883" s="11" t="s">
        <v>5302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143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40</v>
      </c>
      <c r="P2883" s="13"/>
      <c r="Q2883" s="13">
        <v>0</v>
      </c>
      <c r="R2883" s="72">
        <f>+L2883*O2883</f>
        <v>1658.4</v>
      </c>
      <c r="S2883" s="72">
        <v>0</v>
      </c>
      <c r="T2883" s="72">
        <f>+L2883*S2883</f>
        <v>0</v>
      </c>
      <c r="U2883" s="72">
        <f>+R2883-T2883</f>
        <v>1658.4</v>
      </c>
      <c r="V2883" s="72">
        <f t="shared" ref="V2883" si="748">+U2883*0</f>
        <v>0</v>
      </c>
      <c r="W2883" s="72">
        <f>+U2883-V2883</f>
        <v>1658.4</v>
      </c>
      <c r="X2883" s="72">
        <v>0</v>
      </c>
      <c r="Y2883" s="14">
        <f t="shared" si="741"/>
        <v>0</v>
      </c>
      <c r="Z2883" s="69" t="s">
        <v>26</v>
      </c>
      <c r="AA2883" s="12" t="s">
        <v>31</v>
      </c>
    </row>
    <row r="2884" spans="1:27" x14ac:dyDescent="0.25">
      <c r="A2884" s="10">
        <v>45700</v>
      </c>
      <c r="B2884" s="11" t="s">
        <v>5303</v>
      </c>
      <c r="C2884" s="11" t="s">
        <v>5304</v>
      </c>
      <c r="D2884" s="11">
        <v>17423</v>
      </c>
      <c r="E2884" s="11" t="s">
        <v>243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69" t="s">
        <v>26</v>
      </c>
      <c r="AA2884" s="12" t="s">
        <v>31</v>
      </c>
    </row>
    <row r="2885" spans="1:27" x14ac:dyDescent="0.25">
      <c r="A2885" s="10">
        <v>45700</v>
      </c>
      <c r="B2885" s="11" t="s">
        <v>5305</v>
      </c>
      <c r="C2885" s="11" t="s">
        <v>5306</v>
      </c>
      <c r="D2885" s="11">
        <v>17424</v>
      </c>
      <c r="E2885" s="11" t="s">
        <v>486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69" t="s">
        <v>26</v>
      </c>
      <c r="AA2885" s="12" t="s">
        <v>31</v>
      </c>
    </row>
    <row r="2886" spans="1:27" x14ac:dyDescent="0.25">
      <c r="A2886" s="10">
        <v>45700</v>
      </c>
      <c r="B2886" s="11" t="s">
        <v>1122</v>
      </c>
      <c r="C2886" s="11" t="s">
        <v>5307</v>
      </c>
      <c r="D2886" s="11">
        <v>17425</v>
      </c>
      <c r="E2886" s="11" t="s">
        <v>464</v>
      </c>
      <c r="F2886" s="11" t="s">
        <v>26</v>
      </c>
      <c r="G2886" s="11">
        <v>130</v>
      </c>
      <c r="H2886" s="12" t="s">
        <v>4466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69" t="s">
        <v>26</v>
      </c>
      <c r="AA2886" s="12" t="s">
        <v>31</v>
      </c>
    </row>
    <row r="2887" spans="1:27" x14ac:dyDescent="0.25">
      <c r="A2887" s="10">
        <v>45700</v>
      </c>
      <c r="B2887" s="11" t="s">
        <v>5308</v>
      </c>
      <c r="C2887" s="11" t="s">
        <v>5309</v>
      </c>
      <c r="D2887" s="11">
        <v>17426</v>
      </c>
      <c r="E2887" s="11" t="s">
        <v>547</v>
      </c>
      <c r="F2887" s="11" t="s">
        <v>26</v>
      </c>
      <c r="G2887" s="11">
        <v>70194</v>
      </c>
      <c r="H2887" s="12" t="s">
        <v>4470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69" t="s">
        <v>26</v>
      </c>
      <c r="AA2887" s="12" t="s">
        <v>31</v>
      </c>
    </row>
    <row r="2888" spans="1:27" x14ac:dyDescent="0.25">
      <c r="A2888" s="10">
        <v>45700</v>
      </c>
      <c r="B2888" s="11" t="s">
        <v>664</v>
      </c>
      <c r="C2888" s="11" t="s">
        <v>5310</v>
      </c>
      <c r="D2888" s="11">
        <v>17427</v>
      </c>
      <c r="E2888" s="11" t="s">
        <v>4619</v>
      </c>
      <c r="F2888" s="11" t="s">
        <v>26</v>
      </c>
      <c r="G2888" s="11">
        <v>78351</v>
      </c>
      <c r="H2888" s="12" t="s">
        <v>4470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69" t="s">
        <v>26</v>
      </c>
      <c r="AA2888" s="12" t="s">
        <v>31</v>
      </c>
    </row>
    <row r="2889" spans="1:27" x14ac:dyDescent="0.25">
      <c r="A2889" s="10">
        <v>45700</v>
      </c>
      <c r="B2889" s="11" t="s">
        <v>5311</v>
      </c>
      <c r="C2889" s="11" t="s">
        <v>5312</v>
      </c>
      <c r="D2889" s="11">
        <v>17428</v>
      </c>
      <c r="E2889" s="11" t="s">
        <v>206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69" t="s">
        <v>26</v>
      </c>
      <c r="AA2889" s="12" t="s">
        <v>31</v>
      </c>
    </row>
    <row r="2890" spans="1:27" x14ac:dyDescent="0.25">
      <c r="A2890" s="10">
        <v>45700</v>
      </c>
      <c r="B2890" s="11" t="s">
        <v>5313</v>
      </c>
      <c r="C2890" s="11" t="s">
        <v>5314</v>
      </c>
      <c r="D2890" s="11">
        <v>17429</v>
      </c>
      <c r="E2890" s="11" t="s">
        <v>504</v>
      </c>
      <c r="F2890" s="11" t="s">
        <v>26</v>
      </c>
      <c r="G2890" s="11">
        <v>821</v>
      </c>
      <c r="H2890" s="12" t="s">
        <v>144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69" t="s">
        <v>26</v>
      </c>
      <c r="AA2890" s="12" t="s">
        <v>31</v>
      </c>
    </row>
    <row r="2891" spans="1:27" x14ac:dyDescent="0.25">
      <c r="A2891" s="10">
        <v>45700</v>
      </c>
      <c r="B2891" s="11" t="s">
        <v>5315</v>
      </c>
      <c r="C2891" s="11" t="s">
        <v>5316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4468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69" t="s">
        <v>26</v>
      </c>
      <c r="AA2891" s="12" t="s">
        <v>31</v>
      </c>
    </row>
    <row r="2892" spans="1:27" x14ac:dyDescent="0.25">
      <c r="A2892" s="10">
        <v>45700</v>
      </c>
      <c r="B2892" s="11" t="s">
        <v>1157</v>
      </c>
      <c r="C2892" s="11" t="s">
        <v>5317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69" t="s">
        <v>26</v>
      </c>
      <c r="AA2892" s="12" t="s">
        <v>31</v>
      </c>
    </row>
    <row r="2893" spans="1:27" x14ac:dyDescent="0.25">
      <c r="A2893" s="10">
        <v>45700</v>
      </c>
      <c r="B2893" s="11" t="s">
        <v>431</v>
      </c>
      <c r="C2893" s="11" t="s">
        <v>5318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69" t="s">
        <v>26</v>
      </c>
      <c r="AA2893" s="12" t="s">
        <v>31</v>
      </c>
    </row>
    <row r="2894" spans="1:27" x14ac:dyDescent="0.25">
      <c r="A2894" s="10">
        <v>45700</v>
      </c>
      <c r="B2894" s="11" t="s">
        <v>283</v>
      </c>
      <c r="C2894" s="11" t="s">
        <v>5319</v>
      </c>
      <c r="D2894" s="11">
        <v>17433</v>
      </c>
      <c r="E2894" s="11" t="s">
        <v>662</v>
      </c>
      <c r="F2894" s="11" t="s">
        <v>26</v>
      </c>
      <c r="G2894" s="11">
        <v>868</v>
      </c>
      <c r="H2894" s="12" t="s">
        <v>144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69" t="s">
        <v>26</v>
      </c>
      <c r="AA2894" s="12" t="s">
        <v>31</v>
      </c>
    </row>
    <row r="2895" spans="1:27" x14ac:dyDescent="0.25">
      <c r="A2895" s="10">
        <v>45700</v>
      </c>
      <c r="B2895" s="11" t="s">
        <v>5320</v>
      </c>
      <c r="C2895" s="11" t="s">
        <v>5321</v>
      </c>
      <c r="D2895" s="11">
        <v>17434</v>
      </c>
      <c r="E2895" s="11" t="s">
        <v>325</v>
      </c>
      <c r="F2895" s="11" t="s">
        <v>26</v>
      </c>
      <c r="G2895" s="11">
        <v>112781</v>
      </c>
      <c r="H2895" s="12" t="s">
        <v>4468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69" t="s">
        <v>26</v>
      </c>
      <c r="AA2895" s="12" t="s">
        <v>31</v>
      </c>
    </row>
    <row r="2896" spans="1:27" x14ac:dyDescent="0.25">
      <c r="A2896" s="10">
        <v>45700</v>
      </c>
      <c r="B2896" s="11" t="s">
        <v>427</v>
      </c>
      <c r="C2896" s="11" t="s">
        <v>5322</v>
      </c>
      <c r="D2896" s="11">
        <v>17435</v>
      </c>
      <c r="E2896" s="11" t="s">
        <v>512</v>
      </c>
      <c r="F2896" s="11" t="s">
        <v>26</v>
      </c>
      <c r="G2896" s="11">
        <v>1315</v>
      </c>
      <c r="H2896" s="12" t="s">
        <v>144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69" t="s">
        <v>26</v>
      </c>
      <c r="AA2896" s="12" t="s">
        <v>31</v>
      </c>
    </row>
    <row r="2897" spans="1:27" x14ac:dyDescent="0.25">
      <c r="A2897" s="10">
        <v>45700</v>
      </c>
      <c r="B2897" s="11" t="s">
        <v>5323</v>
      </c>
      <c r="C2897" s="11" t="s">
        <v>5324</v>
      </c>
      <c r="D2897" s="11">
        <v>17436</v>
      </c>
      <c r="E2897" s="11" t="s">
        <v>2130</v>
      </c>
      <c r="F2897" s="11" t="s">
        <v>26</v>
      </c>
      <c r="G2897" s="11">
        <v>10624</v>
      </c>
      <c r="H2897" s="12" t="s">
        <v>143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40</v>
      </c>
      <c r="P2897" s="13"/>
      <c r="Q2897" s="13">
        <v>0</v>
      </c>
      <c r="R2897" s="72">
        <f>+L2897*O2897</f>
        <v>1672</v>
      </c>
      <c r="S2897" s="72">
        <v>0</v>
      </c>
      <c r="T2897" s="72">
        <f>+L2897*S2897</f>
        <v>0</v>
      </c>
      <c r="U2897" s="72">
        <f>+R2897-T2897</f>
        <v>1672</v>
      </c>
      <c r="V2897" s="72">
        <f t="shared" ref="V2897" si="759">+U2897*0</f>
        <v>0</v>
      </c>
      <c r="W2897" s="72">
        <f>+U2897-V2897</f>
        <v>1672</v>
      </c>
      <c r="X2897" s="72">
        <v>0</v>
      </c>
      <c r="Y2897" s="14">
        <f t="shared" si="741"/>
        <v>0</v>
      </c>
      <c r="Z2897" s="69" t="s">
        <v>26</v>
      </c>
      <c r="AA2897" s="12" t="s">
        <v>31</v>
      </c>
    </row>
    <row r="2898" spans="1:27" x14ac:dyDescent="0.25">
      <c r="A2898" s="10">
        <v>45700</v>
      </c>
      <c r="B2898" s="11" t="s">
        <v>5325</v>
      </c>
      <c r="C2898" s="11" t="s">
        <v>5326</v>
      </c>
      <c r="D2898" s="11">
        <v>17437</v>
      </c>
      <c r="E2898" s="11" t="s">
        <v>608</v>
      </c>
      <c r="F2898" s="11" t="s">
        <v>26</v>
      </c>
      <c r="G2898" s="11">
        <v>1066</v>
      </c>
      <c r="H2898" s="12" t="s">
        <v>144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69" t="s">
        <v>26</v>
      </c>
      <c r="AA2898" s="12" t="s">
        <v>31</v>
      </c>
    </row>
    <row r="2899" spans="1:27" x14ac:dyDescent="0.25">
      <c r="A2899" s="10">
        <v>45700</v>
      </c>
      <c r="B2899" s="11" t="s">
        <v>313</v>
      </c>
      <c r="C2899" s="11" t="s">
        <v>5327</v>
      </c>
      <c r="D2899" s="11">
        <v>17438</v>
      </c>
      <c r="E2899" s="11" t="s">
        <v>233</v>
      </c>
      <c r="F2899" s="11" t="s">
        <v>26</v>
      </c>
      <c r="G2899" s="11">
        <v>26209</v>
      </c>
      <c r="H2899" s="12" t="s">
        <v>568</v>
      </c>
      <c r="I2899" s="12" t="s">
        <v>55</v>
      </c>
      <c r="J2899" s="12" t="s">
        <v>569</v>
      </c>
      <c r="K2899" s="12" t="s">
        <v>553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69" t="s">
        <v>26</v>
      </c>
      <c r="AA2899" s="12" t="s">
        <v>31</v>
      </c>
    </row>
    <row r="2900" spans="1:27" x14ac:dyDescent="0.25">
      <c r="A2900" s="10">
        <v>45700</v>
      </c>
      <c r="B2900" s="11" t="s">
        <v>697</v>
      </c>
      <c r="C2900" s="11" t="s">
        <v>5328</v>
      </c>
      <c r="D2900" s="11">
        <v>17439</v>
      </c>
      <c r="E2900" s="11" t="s">
        <v>464</v>
      </c>
      <c r="F2900" s="11" t="s">
        <v>26</v>
      </c>
      <c r="G2900" s="11">
        <v>41</v>
      </c>
      <c r="H2900" s="12" t="s">
        <v>4466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69" t="s">
        <v>26</v>
      </c>
      <c r="AA2900" s="12" t="s">
        <v>31</v>
      </c>
    </row>
    <row r="2901" spans="1:27" x14ac:dyDescent="0.25">
      <c r="A2901" s="10">
        <v>45700</v>
      </c>
      <c r="B2901" s="11" t="s">
        <v>5329</v>
      </c>
      <c r="C2901" s="11" t="s">
        <v>5330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4470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69" t="s">
        <v>26</v>
      </c>
      <c r="AA2901" s="12" t="s">
        <v>31</v>
      </c>
    </row>
    <row r="2902" spans="1:27" x14ac:dyDescent="0.25">
      <c r="A2902" s="10">
        <v>45700</v>
      </c>
      <c r="B2902" s="11" t="s">
        <v>2930</v>
      </c>
      <c r="C2902" s="11" t="s">
        <v>5331</v>
      </c>
      <c r="D2902" s="11">
        <v>17441</v>
      </c>
      <c r="E2902" s="11" t="s">
        <v>5056</v>
      </c>
      <c r="F2902" s="11" t="s">
        <v>26</v>
      </c>
      <c r="G2902" s="11">
        <v>10802</v>
      </c>
      <c r="H2902" s="12" t="s">
        <v>143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40</v>
      </c>
      <c r="P2902" s="13"/>
      <c r="Q2902" s="13">
        <v>0</v>
      </c>
      <c r="R2902" s="72">
        <f>+L2902*O2902</f>
        <v>1720</v>
      </c>
      <c r="S2902" s="72">
        <v>0</v>
      </c>
      <c r="T2902" s="72">
        <f>+L2902*S2902</f>
        <v>0</v>
      </c>
      <c r="U2902" s="72">
        <f>+R2902-T2902</f>
        <v>1720</v>
      </c>
      <c r="V2902" s="72">
        <f t="shared" ref="V2902" si="764">+U2902*0</f>
        <v>0</v>
      </c>
      <c r="W2902" s="72">
        <f>+U2902-V2902</f>
        <v>1720</v>
      </c>
      <c r="X2902" s="72">
        <v>0</v>
      </c>
      <c r="Y2902" s="14">
        <f t="shared" si="741"/>
        <v>0</v>
      </c>
      <c r="Z2902" s="69" t="s">
        <v>26</v>
      </c>
      <c r="AA2902" s="12" t="s">
        <v>31</v>
      </c>
    </row>
    <row r="2903" spans="1:27" x14ac:dyDescent="0.25">
      <c r="A2903" s="10">
        <v>45700</v>
      </c>
      <c r="B2903" s="11" t="s">
        <v>5332</v>
      </c>
      <c r="C2903" s="11" t="s">
        <v>5333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1930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69" t="s">
        <v>26</v>
      </c>
      <c r="AA2903" s="12" t="s">
        <v>31</v>
      </c>
    </row>
    <row r="2904" spans="1:27" x14ac:dyDescent="0.25">
      <c r="A2904" s="10">
        <v>45700</v>
      </c>
      <c r="B2904" s="11" t="s">
        <v>5334</v>
      </c>
      <c r="C2904" s="11" t="s">
        <v>5335</v>
      </c>
      <c r="D2904" s="11">
        <v>17443</v>
      </c>
      <c r="E2904" s="11" t="s">
        <v>206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69" t="s">
        <v>26</v>
      </c>
      <c r="AA2904" s="12" t="s">
        <v>31</v>
      </c>
    </row>
    <row r="2905" spans="1:27" x14ac:dyDescent="0.25">
      <c r="A2905" s="10">
        <v>45700</v>
      </c>
      <c r="B2905" s="11" t="s">
        <v>737</v>
      </c>
      <c r="C2905" s="11" t="s">
        <v>5336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69" t="s">
        <v>26</v>
      </c>
      <c r="AA2905" s="12" t="s">
        <v>31</v>
      </c>
    </row>
    <row r="2906" spans="1:27" x14ac:dyDescent="0.25">
      <c r="A2906" s="10">
        <v>45700</v>
      </c>
      <c r="B2906" s="11" t="s">
        <v>5337</v>
      </c>
      <c r="C2906" s="11" t="s">
        <v>5338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166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69" t="s">
        <v>26</v>
      </c>
      <c r="AA2906" s="12" t="s">
        <v>31</v>
      </c>
    </row>
    <row r="2907" spans="1:27" x14ac:dyDescent="0.25">
      <c r="A2907" s="10">
        <v>45700</v>
      </c>
      <c r="B2907" s="11" t="s">
        <v>5297</v>
      </c>
      <c r="C2907" s="11" t="s">
        <v>5339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69" t="s">
        <v>26</v>
      </c>
      <c r="AA2907" s="12" t="s">
        <v>31</v>
      </c>
    </row>
    <row r="2908" spans="1:27" x14ac:dyDescent="0.25">
      <c r="A2908" s="10">
        <v>45700</v>
      </c>
      <c r="B2908" s="11" t="s">
        <v>5340</v>
      </c>
      <c r="C2908" s="11" t="s">
        <v>5341</v>
      </c>
      <c r="D2908" s="11">
        <v>17447</v>
      </c>
      <c r="E2908" s="11" t="s">
        <v>227</v>
      </c>
      <c r="F2908" s="11" t="s">
        <v>26</v>
      </c>
      <c r="G2908" s="11">
        <v>3213</v>
      </c>
      <c r="H2908" s="12" t="s">
        <v>4444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69" t="s">
        <v>26</v>
      </c>
      <c r="AA2908" s="12" t="s">
        <v>31</v>
      </c>
    </row>
    <row r="2909" spans="1:27" x14ac:dyDescent="0.25">
      <c r="A2909" s="10">
        <v>45700</v>
      </c>
      <c r="B2909" s="11" t="s">
        <v>5342</v>
      </c>
      <c r="C2909" s="11" t="s">
        <v>5343</v>
      </c>
      <c r="D2909" s="11">
        <v>17448</v>
      </c>
      <c r="E2909" s="11" t="s">
        <v>92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69" t="s">
        <v>26</v>
      </c>
      <c r="AA2909" s="12" t="s">
        <v>31</v>
      </c>
    </row>
    <row r="2910" spans="1:27" x14ac:dyDescent="0.25">
      <c r="A2910" s="10">
        <v>45700</v>
      </c>
      <c r="B2910" s="11" t="s">
        <v>5344</v>
      </c>
      <c r="C2910" s="11" t="s">
        <v>5345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143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40</v>
      </c>
      <c r="P2910" s="13"/>
      <c r="Q2910" s="13">
        <v>0</v>
      </c>
      <c r="R2910" s="72">
        <f>+L2910*O2910</f>
        <v>1763.1999999999998</v>
      </c>
      <c r="S2910" s="72">
        <v>0</v>
      </c>
      <c r="T2910" s="72">
        <f>+L2910*S2910</f>
        <v>0</v>
      </c>
      <c r="U2910" s="72">
        <f>+R2910-T2910</f>
        <v>1763.1999999999998</v>
      </c>
      <c r="V2910" s="72">
        <f t="shared" ref="V2910" si="773">+U2910*0</f>
        <v>0</v>
      </c>
      <c r="W2910" s="72">
        <f>+U2910-V2910</f>
        <v>1763.1999999999998</v>
      </c>
      <c r="X2910" s="72">
        <v>0</v>
      </c>
      <c r="Y2910" s="14">
        <f t="shared" si="741"/>
        <v>0</v>
      </c>
      <c r="Z2910" s="69" t="s">
        <v>26</v>
      </c>
      <c r="AA2910" s="12" t="s">
        <v>31</v>
      </c>
    </row>
    <row r="2911" spans="1:27" x14ac:dyDescent="0.25">
      <c r="A2911" s="10">
        <v>45700</v>
      </c>
      <c r="B2911" s="11" t="s">
        <v>5297</v>
      </c>
      <c r="C2911" s="11" t="s">
        <v>5346</v>
      </c>
      <c r="D2911" s="11">
        <v>17450</v>
      </c>
      <c r="E2911" s="11" t="s">
        <v>4619</v>
      </c>
      <c r="F2911" s="11" t="s">
        <v>26</v>
      </c>
      <c r="G2911" s="11">
        <v>78352</v>
      </c>
      <c r="H2911" s="12" t="s">
        <v>4470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69" t="s">
        <v>26</v>
      </c>
      <c r="AA2911" s="12" t="s">
        <v>31</v>
      </c>
    </row>
    <row r="2912" spans="1:27" x14ac:dyDescent="0.25">
      <c r="A2912" s="10">
        <v>45700</v>
      </c>
      <c r="B2912" s="11" t="s">
        <v>5347</v>
      </c>
      <c r="C2912" s="11" t="s">
        <v>5348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69" t="s">
        <v>26</v>
      </c>
      <c r="AA2912" s="12" t="s">
        <v>31</v>
      </c>
    </row>
    <row r="2913" spans="1:27" x14ac:dyDescent="0.25">
      <c r="A2913" s="10">
        <v>45700</v>
      </c>
      <c r="B2913" s="11" t="s">
        <v>5349</v>
      </c>
      <c r="C2913" s="11" t="s">
        <v>5350</v>
      </c>
      <c r="D2913" s="11">
        <v>17452</v>
      </c>
      <c r="E2913" s="11" t="s">
        <v>592</v>
      </c>
      <c r="F2913" s="11" t="s">
        <v>26</v>
      </c>
      <c r="G2913" s="11">
        <v>56917</v>
      </c>
      <c r="H2913" s="12" t="s">
        <v>4444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69" t="s">
        <v>26</v>
      </c>
      <c r="AA2913" s="12" t="s">
        <v>31</v>
      </c>
    </row>
    <row r="2914" spans="1:27" x14ac:dyDescent="0.25">
      <c r="A2914" s="10">
        <v>45700</v>
      </c>
      <c r="B2914" s="11" t="s">
        <v>1389</v>
      </c>
      <c r="C2914" s="11" t="s">
        <v>5351</v>
      </c>
      <c r="D2914" s="11">
        <v>17453</v>
      </c>
      <c r="E2914" s="11" t="s">
        <v>492</v>
      </c>
      <c r="F2914" s="11" t="s">
        <v>26</v>
      </c>
      <c r="G2914" s="11">
        <v>77496</v>
      </c>
      <c r="H2914" s="12" t="s">
        <v>4470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69" t="s">
        <v>26</v>
      </c>
      <c r="AA2914" s="12" t="s">
        <v>31</v>
      </c>
    </row>
    <row r="2915" spans="1:27" x14ac:dyDescent="0.25">
      <c r="A2915" s="10">
        <v>45700</v>
      </c>
      <c r="B2915" s="11" t="s">
        <v>305</v>
      </c>
      <c r="C2915" s="11" t="s">
        <v>5352</v>
      </c>
      <c r="D2915" s="11">
        <v>17454</v>
      </c>
      <c r="E2915" s="11" t="s">
        <v>206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69" t="s">
        <v>26</v>
      </c>
      <c r="AA2915" s="12" t="s">
        <v>31</v>
      </c>
    </row>
    <row r="2916" spans="1:27" x14ac:dyDescent="0.25">
      <c r="A2916" s="10">
        <v>45700</v>
      </c>
      <c r="B2916" s="11" t="s">
        <v>5353</v>
      </c>
      <c r="C2916" s="11" t="s">
        <v>5354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143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69" t="s">
        <v>26</v>
      </c>
      <c r="AA2916" s="12" t="s">
        <v>31</v>
      </c>
    </row>
    <row r="2917" spans="1:27" x14ac:dyDescent="0.25">
      <c r="A2917" s="10">
        <v>45700</v>
      </c>
      <c r="B2917" s="11" t="s">
        <v>5355</v>
      </c>
      <c r="C2917" s="11" t="s">
        <v>5356</v>
      </c>
      <c r="D2917" s="11">
        <v>17456</v>
      </c>
      <c r="E2917" s="11" t="s">
        <v>573</v>
      </c>
      <c r="F2917" s="11" t="s">
        <v>26</v>
      </c>
      <c r="G2917" s="11" t="s">
        <v>26</v>
      </c>
      <c r="H2917" s="12" t="s">
        <v>4443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69" t="s">
        <v>143</v>
      </c>
      <c r="AA2917" s="12" t="s">
        <v>78</v>
      </c>
    </row>
    <row r="2918" spans="1:27" x14ac:dyDescent="0.25">
      <c r="A2918" s="10">
        <v>45700</v>
      </c>
      <c r="B2918" s="11" t="s">
        <v>5357</v>
      </c>
      <c r="C2918" s="11" t="s">
        <v>5358</v>
      </c>
      <c r="D2918" s="11">
        <v>17457</v>
      </c>
      <c r="E2918" s="11" t="s">
        <v>438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69" t="s">
        <v>26</v>
      </c>
      <c r="AA2918" s="12" t="s">
        <v>31</v>
      </c>
    </row>
    <row r="2919" spans="1:27" x14ac:dyDescent="0.25">
      <c r="A2919" s="10">
        <v>45700</v>
      </c>
      <c r="B2919" s="11" t="s">
        <v>5359</v>
      </c>
      <c r="C2919" s="11" t="s">
        <v>5360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69" t="s">
        <v>26</v>
      </c>
      <c r="AA2919" s="12" t="s">
        <v>31</v>
      </c>
    </row>
    <row r="2920" spans="1:27" x14ac:dyDescent="0.25">
      <c r="A2920" s="10">
        <v>45700</v>
      </c>
      <c r="B2920" s="11" t="s">
        <v>5361</v>
      </c>
      <c r="C2920" s="11" t="s">
        <v>5362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568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69" t="s">
        <v>26</v>
      </c>
      <c r="AA2920" s="12" t="s">
        <v>31</v>
      </c>
    </row>
    <row r="2921" spans="1:27" x14ac:dyDescent="0.25">
      <c r="A2921" s="10">
        <v>45700</v>
      </c>
      <c r="B2921" s="11" t="s">
        <v>5363</v>
      </c>
      <c r="C2921" s="11" t="s">
        <v>5364</v>
      </c>
      <c r="D2921" s="11">
        <v>17460</v>
      </c>
      <c r="E2921" s="11" t="s">
        <v>208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69" t="s">
        <v>26</v>
      </c>
      <c r="AA2921" s="12" t="s">
        <v>31</v>
      </c>
    </row>
    <row r="2922" spans="1:27" x14ac:dyDescent="0.25">
      <c r="A2922" s="10">
        <v>45700</v>
      </c>
      <c r="B2922" s="11" t="s">
        <v>5365</v>
      </c>
      <c r="C2922" s="11" t="s">
        <v>5366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69" t="s">
        <v>26</v>
      </c>
      <c r="AA2922" s="12" t="s">
        <v>31</v>
      </c>
    </row>
    <row r="2923" spans="1:27" x14ac:dyDescent="0.25">
      <c r="A2923" s="10">
        <v>45700</v>
      </c>
      <c r="B2923" s="11" t="s">
        <v>5367</v>
      </c>
      <c r="C2923" s="11" t="s">
        <v>5368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149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69" t="s">
        <v>41</v>
      </c>
      <c r="AA2923" s="12" t="s">
        <v>79</v>
      </c>
    </row>
    <row r="2924" spans="1:27" x14ac:dyDescent="0.25">
      <c r="A2924" s="10">
        <v>45700</v>
      </c>
      <c r="B2924" s="11" t="s">
        <v>5369</v>
      </c>
      <c r="C2924" s="11" t="s">
        <v>5370</v>
      </c>
      <c r="D2924" s="11">
        <v>17463</v>
      </c>
      <c r="E2924" s="11" t="s">
        <v>2130</v>
      </c>
      <c r="F2924" s="11" t="s">
        <v>26</v>
      </c>
      <c r="G2924" s="11">
        <v>10625</v>
      </c>
      <c r="H2924" s="12" t="s">
        <v>143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40</v>
      </c>
      <c r="P2924" s="13"/>
      <c r="Q2924" s="13">
        <v>0</v>
      </c>
      <c r="R2924" s="72">
        <f>+L2924*O2924</f>
        <v>1716.8000000000002</v>
      </c>
      <c r="S2924" s="72">
        <v>0</v>
      </c>
      <c r="T2924" s="72">
        <f>+L2924*S2924</f>
        <v>0</v>
      </c>
      <c r="U2924" s="72">
        <f>+R2924-T2924</f>
        <v>1716.8000000000002</v>
      </c>
      <c r="V2924" s="72">
        <f t="shared" ref="V2924:V2926" si="790">+U2924*0</f>
        <v>0</v>
      </c>
      <c r="W2924" s="72">
        <f>+U2924-V2924</f>
        <v>1716.8000000000002</v>
      </c>
      <c r="X2924" s="72">
        <v>0</v>
      </c>
      <c r="Y2924" s="14">
        <f t="shared" ref="Y2924:Y2926" si="791">T2924-X2924</f>
        <v>0</v>
      </c>
      <c r="Z2924" s="69" t="s">
        <v>26</v>
      </c>
      <c r="AA2924" s="12" t="s">
        <v>31</v>
      </c>
    </row>
    <row r="2925" spans="1:27" x14ac:dyDescent="0.25">
      <c r="A2925" s="10">
        <v>45700</v>
      </c>
      <c r="B2925" s="11" t="s">
        <v>5371</v>
      </c>
      <c r="C2925" s="11" t="s">
        <v>5372</v>
      </c>
      <c r="D2925" s="11">
        <v>17464</v>
      </c>
      <c r="E2925" s="11" t="s">
        <v>5373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69" t="s">
        <v>26</v>
      </c>
      <c r="AA2925" s="12" t="s">
        <v>31</v>
      </c>
    </row>
    <row r="2926" spans="1:27" x14ac:dyDescent="0.25">
      <c r="A2926" s="10">
        <v>45700</v>
      </c>
      <c r="B2926" s="11" t="s">
        <v>5374</v>
      </c>
      <c r="C2926" s="11" t="s">
        <v>5375</v>
      </c>
      <c r="D2926" s="11">
        <v>17465</v>
      </c>
      <c r="E2926" s="11" t="s">
        <v>206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69" t="s">
        <v>26</v>
      </c>
      <c r="AA2926" s="12" t="s">
        <v>31</v>
      </c>
    </row>
    <row r="2927" spans="1:27" x14ac:dyDescent="0.25">
      <c r="A2927" s="10">
        <v>45700</v>
      </c>
      <c r="B2927" s="11" t="s">
        <v>5376</v>
      </c>
      <c r="C2927" s="11" t="s">
        <v>5377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69" t="s">
        <v>26</v>
      </c>
      <c r="AA2927" s="12" t="s">
        <v>31</v>
      </c>
    </row>
    <row r="2928" spans="1:27" x14ac:dyDescent="0.25">
      <c r="A2928" s="10">
        <v>45700</v>
      </c>
      <c r="B2928" s="11" t="s">
        <v>5378</v>
      </c>
      <c r="C2928" s="11" t="s">
        <v>5379</v>
      </c>
      <c r="D2928" s="11">
        <v>17467</v>
      </c>
      <c r="E2928" s="11" t="s">
        <v>508</v>
      </c>
      <c r="F2928" s="11" t="s">
        <v>26</v>
      </c>
      <c r="G2928" s="11">
        <v>1262</v>
      </c>
      <c r="H2928" s="12" t="s">
        <v>144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69" t="s">
        <v>26</v>
      </c>
      <c r="AA2928" s="12" t="s">
        <v>31</v>
      </c>
    </row>
    <row r="2929" spans="1:27" x14ac:dyDescent="0.25">
      <c r="A2929" s="10">
        <v>45700</v>
      </c>
      <c r="B2929" s="11" t="s">
        <v>5380</v>
      </c>
      <c r="C2929" s="11" t="s">
        <v>5381</v>
      </c>
      <c r="D2929" s="11">
        <v>17468</v>
      </c>
      <c r="E2929" s="11" t="s">
        <v>243</v>
      </c>
      <c r="F2929" s="11" t="s">
        <v>26</v>
      </c>
      <c r="G2929" s="11" t="s">
        <v>26</v>
      </c>
      <c r="H2929" s="12" t="s">
        <v>149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69" t="s">
        <v>41</v>
      </c>
      <c r="AA2929" s="12" t="s">
        <v>79</v>
      </c>
    </row>
    <row r="2930" spans="1:27" x14ac:dyDescent="0.25">
      <c r="A2930" s="10">
        <v>45700</v>
      </c>
      <c r="B2930" s="11" t="s">
        <v>5382</v>
      </c>
      <c r="C2930" s="11" t="s">
        <v>5383</v>
      </c>
      <c r="D2930" s="11">
        <v>17469</v>
      </c>
      <c r="E2930" s="11" t="s">
        <v>4344</v>
      </c>
      <c r="F2930" s="11" t="s">
        <v>26</v>
      </c>
      <c r="G2930" s="11">
        <v>2959</v>
      </c>
      <c r="H2930" s="12" t="s">
        <v>4464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69" t="s">
        <v>26</v>
      </c>
      <c r="AA2930" s="12" t="s">
        <v>31</v>
      </c>
    </row>
    <row r="2931" spans="1:27" x14ac:dyDescent="0.25">
      <c r="A2931" s="10">
        <v>45700</v>
      </c>
      <c r="B2931" s="11" t="s">
        <v>4355</v>
      </c>
      <c r="C2931" s="11" t="s">
        <v>5384</v>
      </c>
      <c r="D2931" s="11">
        <v>17470</v>
      </c>
      <c r="E2931" s="11" t="s">
        <v>187</v>
      </c>
      <c r="F2931" s="11" t="s">
        <v>26</v>
      </c>
      <c r="G2931" s="11">
        <v>1012</v>
      </c>
      <c r="H2931" s="12" t="s">
        <v>144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69" t="s">
        <v>26</v>
      </c>
      <c r="AA2931" s="12" t="s">
        <v>31</v>
      </c>
    </row>
    <row r="2932" spans="1:27" x14ac:dyDescent="0.25">
      <c r="A2932" s="10">
        <v>45700</v>
      </c>
      <c r="B2932" s="11" t="s">
        <v>5385</v>
      </c>
      <c r="C2932" s="11" t="s">
        <v>5386</v>
      </c>
      <c r="D2932" s="11">
        <v>17471</v>
      </c>
      <c r="E2932" s="11" t="s">
        <v>3658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69" t="s">
        <v>26</v>
      </c>
      <c r="AA2932" s="12" t="s">
        <v>31</v>
      </c>
    </row>
    <row r="2933" spans="1:27" x14ac:dyDescent="0.25">
      <c r="A2933" s="10">
        <v>45700</v>
      </c>
      <c r="B2933" s="11" t="s">
        <v>5387</v>
      </c>
      <c r="C2933" s="11" t="s">
        <v>5388</v>
      </c>
      <c r="D2933" s="11">
        <v>17472</v>
      </c>
      <c r="E2933" s="11" t="s">
        <v>208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69" t="s">
        <v>26</v>
      </c>
      <c r="AA2933" s="12" t="s">
        <v>31</v>
      </c>
    </row>
    <row r="2934" spans="1:27" x14ac:dyDescent="0.25">
      <c r="A2934" s="10">
        <v>45700</v>
      </c>
      <c r="B2934" s="11" t="s">
        <v>5389</v>
      </c>
      <c r="C2934" s="11" t="s">
        <v>5390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69" t="s">
        <v>26</v>
      </c>
      <c r="AA2934" s="12" t="s">
        <v>31</v>
      </c>
    </row>
    <row r="2935" spans="1:27" x14ac:dyDescent="0.25">
      <c r="A2935" s="10">
        <v>45700</v>
      </c>
      <c r="B2935" s="11" t="s">
        <v>473</v>
      </c>
      <c r="C2935" s="11" t="s">
        <v>5391</v>
      </c>
      <c r="D2935" s="11">
        <v>17474</v>
      </c>
      <c r="E2935" s="11" t="s">
        <v>5056</v>
      </c>
      <c r="F2935" s="11" t="s">
        <v>26</v>
      </c>
      <c r="G2935" s="11">
        <v>10803</v>
      </c>
      <c r="H2935" s="12" t="s">
        <v>143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40</v>
      </c>
      <c r="P2935" s="13"/>
      <c r="Q2935" s="13">
        <v>0</v>
      </c>
      <c r="R2935" s="72">
        <f>+L2935*O2935</f>
        <v>1658.4</v>
      </c>
      <c r="S2935" s="72">
        <v>0</v>
      </c>
      <c r="T2935" s="72">
        <f>+L2935*S2935</f>
        <v>0</v>
      </c>
      <c r="U2935" s="72">
        <f>+R2935-T2935</f>
        <v>1658.4</v>
      </c>
      <c r="V2935" s="72">
        <f t="shared" ref="V2935:V2936" si="805">+U2935*0</f>
        <v>0</v>
      </c>
      <c r="W2935" s="72">
        <f>+U2935-V2935</f>
        <v>1658.4</v>
      </c>
      <c r="X2935" s="72">
        <v>0</v>
      </c>
      <c r="Y2935" s="14">
        <f t="shared" si="804"/>
        <v>0</v>
      </c>
      <c r="Z2935" s="69" t="s">
        <v>26</v>
      </c>
      <c r="AA2935" s="12" t="s">
        <v>31</v>
      </c>
    </row>
    <row r="2936" spans="1:27" x14ac:dyDescent="0.25">
      <c r="A2936" s="10">
        <v>45700</v>
      </c>
      <c r="B2936" s="11" t="s">
        <v>2726</v>
      </c>
      <c r="C2936" s="11" t="s">
        <v>5392</v>
      </c>
      <c r="D2936" s="11">
        <v>17475</v>
      </c>
      <c r="E2936" s="11" t="s">
        <v>5393</v>
      </c>
      <c r="F2936" s="11" t="s">
        <v>26</v>
      </c>
      <c r="G2936" s="11">
        <v>10192</v>
      </c>
      <c r="H2936" s="12" t="s">
        <v>143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40</v>
      </c>
      <c r="P2936" s="13"/>
      <c r="Q2936" s="13">
        <v>0</v>
      </c>
      <c r="R2936" s="72">
        <f>+L2936*O2936</f>
        <v>1716</v>
      </c>
      <c r="S2936" s="72">
        <v>0</v>
      </c>
      <c r="T2936" s="72">
        <f>+L2936*S2936</f>
        <v>0</v>
      </c>
      <c r="U2936" s="72">
        <f>+R2936-T2936</f>
        <v>1716</v>
      </c>
      <c r="V2936" s="72">
        <f t="shared" si="805"/>
        <v>0</v>
      </c>
      <c r="W2936" s="72">
        <f>+U2936-V2936</f>
        <v>1716</v>
      </c>
      <c r="X2936" s="72">
        <v>0</v>
      </c>
      <c r="Y2936" s="14">
        <f t="shared" si="804"/>
        <v>0</v>
      </c>
      <c r="Z2936" s="69" t="s">
        <v>26</v>
      </c>
      <c r="AA2936" s="12" t="s">
        <v>31</v>
      </c>
    </row>
    <row r="2937" spans="1:27" x14ac:dyDescent="0.25">
      <c r="A2937" s="10">
        <v>45700</v>
      </c>
      <c r="B2937" s="11" t="s">
        <v>5394</v>
      </c>
      <c r="C2937" s="11" t="s">
        <v>5395</v>
      </c>
      <c r="D2937" s="11">
        <v>17476</v>
      </c>
      <c r="E2937" s="11" t="s">
        <v>565</v>
      </c>
      <c r="F2937" s="11" t="s">
        <v>26</v>
      </c>
      <c r="G2937" s="11">
        <v>949</v>
      </c>
      <c r="H2937" s="12" t="s">
        <v>166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69" t="s">
        <v>26</v>
      </c>
      <c r="AA2937" s="12" t="s">
        <v>31</v>
      </c>
    </row>
    <row r="2938" spans="1:27" x14ac:dyDescent="0.25">
      <c r="A2938" s="10">
        <v>45700</v>
      </c>
      <c r="B2938" s="11" t="s">
        <v>4035</v>
      </c>
      <c r="C2938" s="11" t="s">
        <v>5396</v>
      </c>
      <c r="D2938" s="11">
        <v>17477</v>
      </c>
      <c r="E2938" s="11" t="s">
        <v>5397</v>
      </c>
      <c r="F2938" s="11" t="s">
        <v>26</v>
      </c>
      <c r="G2938" s="11">
        <v>26210</v>
      </c>
      <c r="H2938" s="12" t="s">
        <v>568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69" t="s">
        <v>26</v>
      </c>
      <c r="AA2938" s="12" t="s">
        <v>31</v>
      </c>
    </row>
    <row r="2939" spans="1:27" x14ac:dyDescent="0.25">
      <c r="A2939" s="10">
        <v>45701</v>
      </c>
      <c r="B2939" s="11" t="s">
        <v>319</v>
      </c>
      <c r="C2939" s="11" t="s">
        <v>5398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69" t="s">
        <v>26</v>
      </c>
      <c r="AA2939" s="12" t="s">
        <v>31</v>
      </c>
    </row>
    <row r="2940" spans="1:27" x14ac:dyDescent="0.25">
      <c r="A2940" s="10">
        <v>45701</v>
      </c>
      <c r="B2940" s="11" t="s">
        <v>3034</v>
      </c>
      <c r="C2940" s="11" t="s">
        <v>5399</v>
      </c>
      <c r="D2940" s="11">
        <v>17479</v>
      </c>
      <c r="E2940" s="11" t="s">
        <v>434</v>
      </c>
      <c r="F2940" s="11" t="s">
        <v>26</v>
      </c>
      <c r="G2940" s="11" t="s">
        <v>26</v>
      </c>
      <c r="H2940" s="12" t="s">
        <v>4443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69" t="s">
        <v>115</v>
      </c>
      <c r="AA2940" s="12" t="s">
        <v>78</v>
      </c>
    </row>
    <row r="2941" spans="1:27" x14ac:dyDescent="0.25">
      <c r="A2941" s="10">
        <v>45701</v>
      </c>
      <c r="B2941" s="11" t="s">
        <v>5400</v>
      </c>
      <c r="C2941" s="11" t="s">
        <v>5401</v>
      </c>
      <c r="D2941" s="11">
        <v>17480</v>
      </c>
      <c r="E2941" s="11" t="s">
        <v>187</v>
      </c>
      <c r="F2941" s="11" t="s">
        <v>26</v>
      </c>
      <c r="G2941" s="11">
        <v>1013</v>
      </c>
      <c r="H2941" s="12" t="s">
        <v>144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69" t="s">
        <v>26</v>
      </c>
      <c r="AA2941" s="12" t="s">
        <v>31</v>
      </c>
    </row>
    <row r="2942" spans="1:27" x14ac:dyDescent="0.25">
      <c r="A2942" s="10">
        <v>45701</v>
      </c>
      <c r="B2942" s="11" t="s">
        <v>5402</v>
      </c>
      <c r="C2942" s="11" t="s">
        <v>5403</v>
      </c>
      <c r="D2942" s="11">
        <v>17481</v>
      </c>
      <c r="E2942" s="11" t="s">
        <v>504</v>
      </c>
      <c r="F2942" s="11" t="s">
        <v>26</v>
      </c>
      <c r="G2942" s="11" t="s">
        <v>26</v>
      </c>
      <c r="H2942" s="12" t="s">
        <v>149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69" t="s">
        <v>144</v>
      </c>
      <c r="AA2942" s="12" t="s">
        <v>79</v>
      </c>
    </row>
    <row r="2943" spans="1:27" x14ac:dyDescent="0.25">
      <c r="A2943" s="10">
        <v>45701</v>
      </c>
      <c r="B2943" s="11" t="s">
        <v>5404</v>
      </c>
      <c r="C2943" s="11" t="s">
        <v>5405</v>
      </c>
      <c r="D2943" s="11">
        <v>17482</v>
      </c>
      <c r="E2943" s="11" t="s">
        <v>227</v>
      </c>
      <c r="F2943" s="11" t="s">
        <v>26</v>
      </c>
      <c r="G2943" s="11">
        <v>3214</v>
      </c>
      <c r="H2943" s="12" t="s">
        <v>4444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69" t="s">
        <v>26</v>
      </c>
      <c r="AA2943" s="12" t="s">
        <v>31</v>
      </c>
    </row>
    <row r="2944" spans="1:27" x14ac:dyDescent="0.25">
      <c r="A2944" s="10">
        <v>45701</v>
      </c>
      <c r="B2944" s="11" t="s">
        <v>4161</v>
      </c>
      <c r="C2944" s="11" t="s">
        <v>5406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143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69" t="s">
        <v>26</v>
      </c>
      <c r="AA2944" s="12" t="s">
        <v>31</v>
      </c>
    </row>
    <row r="2945" spans="1:27" x14ac:dyDescent="0.25">
      <c r="A2945" s="10">
        <v>45701</v>
      </c>
      <c r="B2945" s="11" t="s">
        <v>5407</v>
      </c>
      <c r="C2945" s="11" t="s">
        <v>5408</v>
      </c>
      <c r="D2945" s="11">
        <v>17484</v>
      </c>
      <c r="E2945" s="11" t="s">
        <v>499</v>
      </c>
      <c r="F2945" s="11" t="s">
        <v>26</v>
      </c>
      <c r="G2945" s="11">
        <v>78956</v>
      </c>
      <c r="H2945" s="12" t="s">
        <v>4470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69" t="s">
        <v>26</v>
      </c>
      <c r="AA2945" s="12" t="s">
        <v>31</v>
      </c>
    </row>
    <row r="2946" spans="1:27" x14ac:dyDescent="0.25">
      <c r="A2946" s="10">
        <v>45701</v>
      </c>
      <c r="B2946" s="11" t="s">
        <v>5409</v>
      </c>
      <c r="C2946" s="11" t="s">
        <v>5410</v>
      </c>
      <c r="D2946" s="11">
        <v>17485</v>
      </c>
      <c r="E2946" s="11" t="s">
        <v>542</v>
      </c>
      <c r="F2946" s="11" t="s">
        <v>26</v>
      </c>
      <c r="G2946" s="11" t="s">
        <v>26</v>
      </c>
      <c r="H2946" s="12" t="s">
        <v>4443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69" t="s">
        <v>41</v>
      </c>
      <c r="AA2946" s="12" t="s">
        <v>78</v>
      </c>
    </row>
    <row r="2947" spans="1:27" x14ac:dyDescent="0.25">
      <c r="A2947" s="10">
        <v>45701</v>
      </c>
      <c r="B2947" s="11" t="s">
        <v>1290</v>
      </c>
      <c r="C2947" s="11" t="s">
        <v>5411</v>
      </c>
      <c r="D2947" s="11">
        <v>17486</v>
      </c>
      <c r="E2947" s="11" t="s">
        <v>4619</v>
      </c>
      <c r="F2947" s="11" t="s">
        <v>26</v>
      </c>
      <c r="G2947" s="11">
        <v>78353</v>
      </c>
      <c r="H2947" s="12" t="s">
        <v>4470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69" t="s">
        <v>26</v>
      </c>
      <c r="AA2947" s="12" t="s">
        <v>31</v>
      </c>
    </row>
    <row r="2948" spans="1:27" x14ac:dyDescent="0.25">
      <c r="A2948" s="10">
        <v>45701</v>
      </c>
      <c r="B2948" s="11" t="s">
        <v>5412</v>
      </c>
      <c r="C2948" s="11" t="s">
        <v>5413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69" t="s">
        <v>26</v>
      </c>
      <c r="AA2948" s="12" t="s">
        <v>31</v>
      </c>
    </row>
    <row r="2949" spans="1:27" x14ac:dyDescent="0.25">
      <c r="A2949" s="10">
        <v>45701</v>
      </c>
      <c r="B2949" s="11" t="s">
        <v>5414</v>
      </c>
      <c r="C2949" s="11" t="s">
        <v>5415</v>
      </c>
      <c r="D2949" s="11">
        <v>17488</v>
      </c>
      <c r="E2949" s="11" t="s">
        <v>482</v>
      </c>
      <c r="F2949" s="11" t="s">
        <v>26</v>
      </c>
      <c r="G2949" s="11">
        <v>78354</v>
      </c>
      <c r="H2949" s="12" t="s">
        <v>4470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69" t="s">
        <v>26</v>
      </c>
      <c r="AA2949" s="12" t="s">
        <v>31</v>
      </c>
    </row>
    <row r="2950" spans="1:27" x14ac:dyDescent="0.25">
      <c r="A2950" s="10">
        <v>45701</v>
      </c>
      <c r="B2950" s="11" t="s">
        <v>5416</v>
      </c>
      <c r="C2950" s="11" t="s">
        <v>5417</v>
      </c>
      <c r="D2950" s="11">
        <v>17489</v>
      </c>
      <c r="E2950" s="11" t="s">
        <v>249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69" t="s">
        <v>26</v>
      </c>
      <c r="AA2950" s="12" t="s">
        <v>31</v>
      </c>
    </row>
    <row r="2951" spans="1:27" x14ac:dyDescent="0.25">
      <c r="A2951" s="10">
        <v>45701</v>
      </c>
      <c r="B2951" s="11" t="s">
        <v>5418</v>
      </c>
      <c r="C2951" s="11" t="s">
        <v>5419</v>
      </c>
      <c r="D2951" s="11">
        <v>17490</v>
      </c>
      <c r="E2951" s="11" t="s">
        <v>1221</v>
      </c>
      <c r="F2951" s="11" t="s">
        <v>26</v>
      </c>
      <c r="G2951" s="11">
        <v>2965</v>
      </c>
      <c r="H2951" s="12" t="s">
        <v>166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69" t="s">
        <v>26</v>
      </c>
      <c r="AA2951" s="12" t="s">
        <v>31</v>
      </c>
    </row>
    <row r="2952" spans="1:27" x14ac:dyDescent="0.25">
      <c r="A2952" s="10">
        <v>45701</v>
      </c>
      <c r="B2952" s="11" t="s">
        <v>1385</v>
      </c>
      <c r="C2952" s="11" t="s">
        <v>5420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569</v>
      </c>
      <c r="K2952" s="12" t="s">
        <v>553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69" t="s">
        <v>26</v>
      </c>
      <c r="AA2952" s="12" t="s">
        <v>31</v>
      </c>
    </row>
    <row r="2953" spans="1:27" x14ac:dyDescent="0.25">
      <c r="A2953" s="10">
        <v>45701</v>
      </c>
      <c r="B2953" s="11" t="s">
        <v>5421</v>
      </c>
      <c r="C2953" s="11" t="s">
        <v>5422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69" t="s">
        <v>26</v>
      </c>
      <c r="AA2953" s="12" t="s">
        <v>31</v>
      </c>
    </row>
    <row r="2954" spans="1:27" x14ac:dyDescent="0.25">
      <c r="A2954" s="10">
        <v>45701</v>
      </c>
      <c r="B2954" s="11" t="s">
        <v>5423</v>
      </c>
      <c r="C2954" s="11" t="s">
        <v>5424</v>
      </c>
      <c r="D2954" s="11">
        <v>17493</v>
      </c>
      <c r="E2954" s="11" t="s">
        <v>438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569</v>
      </c>
      <c r="K2954" s="12" t="s">
        <v>553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69" t="s">
        <v>26</v>
      </c>
      <c r="AA2954" s="12" t="s">
        <v>31</v>
      </c>
    </row>
    <row r="2955" spans="1:27" x14ac:dyDescent="0.25">
      <c r="A2955" s="10">
        <v>45701</v>
      </c>
      <c r="B2955" s="11" t="s">
        <v>5425</v>
      </c>
      <c r="C2955" s="11" t="s">
        <v>5426</v>
      </c>
      <c r="D2955" s="11">
        <v>17494</v>
      </c>
      <c r="E2955" s="11" t="s">
        <v>486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69" t="s">
        <v>26</v>
      </c>
      <c r="AA2955" s="12" t="s">
        <v>31</v>
      </c>
    </row>
    <row r="2956" spans="1:27" x14ac:dyDescent="0.25">
      <c r="A2956" s="10">
        <v>45701</v>
      </c>
      <c r="B2956" s="11" t="s">
        <v>1120</v>
      </c>
      <c r="C2956" s="11" t="s">
        <v>5427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4470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69" t="s">
        <v>26</v>
      </c>
      <c r="AA2956" s="12" t="s">
        <v>31</v>
      </c>
    </row>
    <row r="2957" spans="1:27" x14ac:dyDescent="0.25">
      <c r="A2957" s="10">
        <v>45701</v>
      </c>
      <c r="B2957" s="11" t="s">
        <v>5428</v>
      </c>
      <c r="C2957" s="11" t="s">
        <v>5429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69" t="s">
        <v>26</v>
      </c>
      <c r="AA2957" s="12" t="s">
        <v>31</v>
      </c>
    </row>
    <row r="2958" spans="1:27" x14ac:dyDescent="0.25">
      <c r="A2958" s="10">
        <v>45701</v>
      </c>
      <c r="B2958" s="11" t="s">
        <v>1391</v>
      </c>
      <c r="C2958" s="11" t="s">
        <v>5430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568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69" t="s">
        <v>26</v>
      </c>
      <c r="AA2958" s="12" t="s">
        <v>31</v>
      </c>
    </row>
    <row r="2959" spans="1:27" x14ac:dyDescent="0.25">
      <c r="A2959" s="10">
        <v>45701</v>
      </c>
      <c r="B2959" s="11" t="s">
        <v>5431</v>
      </c>
      <c r="C2959" s="11" t="s">
        <v>5432</v>
      </c>
      <c r="D2959" s="11">
        <v>17498</v>
      </c>
      <c r="E2959" s="11" t="s">
        <v>592</v>
      </c>
      <c r="F2959" s="11" t="s">
        <v>26</v>
      </c>
      <c r="G2959" s="11">
        <v>56918</v>
      </c>
      <c r="H2959" s="12" t="s">
        <v>4444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69" t="s">
        <v>26</v>
      </c>
      <c r="AA2959" s="12" t="s">
        <v>31</v>
      </c>
    </row>
    <row r="2960" spans="1:27" x14ac:dyDescent="0.25">
      <c r="A2960" s="10">
        <v>45701</v>
      </c>
      <c r="B2960" s="11" t="s">
        <v>5433</v>
      </c>
      <c r="C2960" s="11" t="s">
        <v>5434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166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69" t="s">
        <v>26</v>
      </c>
      <c r="AA2960" s="12" t="s">
        <v>31</v>
      </c>
    </row>
    <row r="2961" spans="1:27" x14ac:dyDescent="0.25">
      <c r="A2961" s="10">
        <v>45701</v>
      </c>
      <c r="B2961" s="11" t="s">
        <v>698</v>
      </c>
      <c r="C2961" s="11" t="s">
        <v>5435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1930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69" t="s">
        <v>26</v>
      </c>
      <c r="AA2961" s="12" t="s">
        <v>31</v>
      </c>
    </row>
    <row r="2962" spans="1:27" x14ac:dyDescent="0.25">
      <c r="A2962" s="10">
        <v>45701</v>
      </c>
      <c r="B2962" s="11" t="s">
        <v>5436</v>
      </c>
      <c r="C2962" s="11" t="s">
        <v>5437</v>
      </c>
      <c r="D2962" s="11">
        <v>17501</v>
      </c>
      <c r="E2962" s="11" t="s">
        <v>654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69" t="s">
        <v>26</v>
      </c>
      <c r="AA2962" s="12" t="s">
        <v>31</v>
      </c>
    </row>
    <row r="2963" spans="1:27" x14ac:dyDescent="0.25">
      <c r="A2963" s="10">
        <v>45701</v>
      </c>
      <c r="B2963" s="11" t="s">
        <v>5438</v>
      </c>
      <c r="C2963" s="11" t="s">
        <v>5439</v>
      </c>
      <c r="D2963" s="11">
        <v>17502</v>
      </c>
      <c r="E2963" s="11" t="s">
        <v>528</v>
      </c>
      <c r="F2963" s="11" t="s">
        <v>26</v>
      </c>
      <c r="G2963" s="11">
        <v>73155</v>
      </c>
      <c r="H2963" s="12" t="s">
        <v>4470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69" t="s">
        <v>26</v>
      </c>
      <c r="AA2963" s="12" t="s">
        <v>31</v>
      </c>
    </row>
    <row r="2964" spans="1:27" x14ac:dyDescent="0.25">
      <c r="A2964" s="10">
        <v>45701</v>
      </c>
      <c r="B2964" s="11" t="s">
        <v>5440</v>
      </c>
      <c r="C2964" s="11" t="s">
        <v>5441</v>
      </c>
      <c r="D2964" s="11">
        <v>17503</v>
      </c>
      <c r="E2964" s="11" t="s">
        <v>5442</v>
      </c>
      <c r="F2964" s="11" t="s">
        <v>26</v>
      </c>
      <c r="G2964" s="11">
        <v>44332</v>
      </c>
      <c r="H2964" s="12" t="s">
        <v>4444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69" t="s">
        <v>26</v>
      </c>
      <c r="AA2964" s="12" t="s">
        <v>31</v>
      </c>
    </row>
    <row r="2965" spans="1:27" x14ac:dyDescent="0.25">
      <c r="A2965" s="10">
        <v>45701</v>
      </c>
      <c r="B2965" s="11" t="s">
        <v>5443</v>
      </c>
      <c r="C2965" s="11" t="s">
        <v>5444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4468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69" t="s">
        <v>26</v>
      </c>
      <c r="AA2965" s="12" t="s">
        <v>31</v>
      </c>
    </row>
    <row r="2966" spans="1:27" x14ac:dyDescent="0.25">
      <c r="A2966" s="10">
        <v>45701</v>
      </c>
      <c r="B2966" s="11" t="s">
        <v>5445</v>
      </c>
      <c r="C2966" s="11" t="s">
        <v>5446</v>
      </c>
      <c r="D2966" s="11">
        <v>17505</v>
      </c>
      <c r="E2966" s="11" t="s">
        <v>504</v>
      </c>
      <c r="F2966" s="11" t="s">
        <v>26</v>
      </c>
      <c r="G2966" s="11" t="s">
        <v>26</v>
      </c>
      <c r="H2966" s="12" t="s">
        <v>149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69" t="s">
        <v>144</v>
      </c>
      <c r="AA2966" s="12" t="s">
        <v>79</v>
      </c>
    </row>
    <row r="2967" spans="1:27" x14ac:dyDescent="0.25">
      <c r="A2967" s="10">
        <v>45701</v>
      </c>
      <c r="B2967" s="11" t="s">
        <v>5447</v>
      </c>
      <c r="C2967" s="11" t="s">
        <v>5448</v>
      </c>
      <c r="D2967" s="11">
        <v>17506</v>
      </c>
      <c r="E2967" s="11" t="s">
        <v>5233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69" t="s">
        <v>26</v>
      </c>
      <c r="AA2967" s="12" t="s">
        <v>31</v>
      </c>
    </row>
    <row r="2968" spans="1:27" x14ac:dyDescent="0.25">
      <c r="A2968" s="10">
        <v>45701</v>
      </c>
      <c r="B2968" s="11" t="s">
        <v>5449</v>
      </c>
      <c r="C2968" s="11" t="s">
        <v>5450</v>
      </c>
      <c r="D2968" s="11">
        <v>17507</v>
      </c>
      <c r="E2968" s="11" t="s">
        <v>573</v>
      </c>
      <c r="F2968" s="11" t="s">
        <v>26</v>
      </c>
      <c r="G2968" s="11">
        <v>10753</v>
      </c>
      <c r="H2968" s="12" t="s">
        <v>143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69" t="s">
        <v>26</v>
      </c>
      <c r="AA2968" s="12" t="s">
        <v>31</v>
      </c>
    </row>
    <row r="2969" spans="1:27" x14ac:dyDescent="0.25">
      <c r="A2969" s="10">
        <v>45701</v>
      </c>
      <c r="B2969" s="11" t="s">
        <v>345</v>
      </c>
      <c r="C2969" s="11" t="s">
        <v>5451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143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40</v>
      </c>
      <c r="P2969" s="13"/>
      <c r="Q2969" s="13">
        <v>0</v>
      </c>
      <c r="R2969" s="72">
        <f>+L2969*O2969</f>
        <v>1733.6000000000001</v>
      </c>
      <c r="S2969" s="72">
        <v>0</v>
      </c>
      <c r="T2969" s="72">
        <f>+L2969*S2969</f>
        <v>0</v>
      </c>
      <c r="U2969" s="72">
        <f>+R2969-T2969</f>
        <v>1733.6000000000001</v>
      </c>
      <c r="V2969" s="72">
        <f t="shared" si="843"/>
        <v>0</v>
      </c>
      <c r="W2969" s="72">
        <f>+U2969-V2969</f>
        <v>1733.6000000000001</v>
      </c>
      <c r="X2969" s="72">
        <v>0</v>
      </c>
      <c r="Y2969" s="14">
        <f t="shared" si="812"/>
        <v>0</v>
      </c>
      <c r="Z2969" s="69" t="s">
        <v>26</v>
      </c>
      <c r="AA2969" s="12" t="s">
        <v>31</v>
      </c>
    </row>
    <row r="2970" spans="1:27" x14ac:dyDescent="0.25">
      <c r="A2970" s="10">
        <v>45701</v>
      </c>
      <c r="B2970" s="11" t="s">
        <v>5452</v>
      </c>
      <c r="C2970" s="11" t="s">
        <v>5453</v>
      </c>
      <c r="D2970" s="11">
        <v>17509</v>
      </c>
      <c r="E2970" s="11" t="s">
        <v>483</v>
      </c>
      <c r="F2970" s="11" t="s">
        <v>26</v>
      </c>
      <c r="G2970" s="11">
        <v>70419</v>
      </c>
      <c r="H2970" s="12" t="s">
        <v>4470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69" t="s">
        <v>26</v>
      </c>
      <c r="AA2970" s="12" t="s">
        <v>31</v>
      </c>
    </row>
    <row r="2971" spans="1:27" x14ac:dyDescent="0.25">
      <c r="A2971" s="10">
        <v>45701</v>
      </c>
      <c r="B2971" s="11" t="s">
        <v>5454</v>
      </c>
      <c r="C2971" s="11" t="s">
        <v>5455</v>
      </c>
      <c r="D2971" s="11">
        <v>17510</v>
      </c>
      <c r="E2971" s="11" t="s">
        <v>114</v>
      </c>
      <c r="F2971" s="11" t="s">
        <v>26</v>
      </c>
      <c r="G2971" s="11">
        <v>691</v>
      </c>
      <c r="H2971" s="12" t="s">
        <v>115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69" t="s">
        <v>26</v>
      </c>
      <c r="AA2971" s="12" t="s">
        <v>31</v>
      </c>
    </row>
    <row r="2972" spans="1:27" x14ac:dyDescent="0.25">
      <c r="A2972" s="10">
        <v>45701</v>
      </c>
      <c r="B2972" s="11" t="s">
        <v>2523</v>
      </c>
      <c r="C2972" s="11" t="s">
        <v>5456</v>
      </c>
      <c r="D2972" s="11">
        <v>17511</v>
      </c>
      <c r="E2972" s="11" t="s">
        <v>522</v>
      </c>
      <c r="F2972" s="11" t="s">
        <v>26</v>
      </c>
      <c r="G2972" s="11">
        <v>21776</v>
      </c>
      <c r="H2972" s="12" t="s">
        <v>4470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69" t="s">
        <v>26</v>
      </c>
      <c r="AA2972" s="12" t="s">
        <v>31</v>
      </c>
    </row>
    <row r="2973" spans="1:27" x14ac:dyDescent="0.25">
      <c r="A2973" s="10">
        <v>45701</v>
      </c>
      <c r="B2973" s="11" t="s">
        <v>5457</v>
      </c>
      <c r="C2973" s="11" t="s">
        <v>5458</v>
      </c>
      <c r="D2973" s="11">
        <v>17512</v>
      </c>
      <c r="E2973" s="11" t="s">
        <v>434</v>
      </c>
      <c r="F2973" s="11" t="s">
        <v>26</v>
      </c>
      <c r="G2973" s="11" t="s">
        <v>26</v>
      </c>
      <c r="H2973" s="12" t="s">
        <v>4443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69" t="s">
        <v>115</v>
      </c>
      <c r="AA2973" s="12" t="s">
        <v>78</v>
      </c>
    </row>
    <row r="2974" spans="1:27" x14ac:dyDescent="0.25">
      <c r="A2974" s="10">
        <v>45701</v>
      </c>
      <c r="B2974" s="11" t="s">
        <v>5459</v>
      </c>
      <c r="C2974" s="11" t="s">
        <v>5460</v>
      </c>
      <c r="D2974" s="11">
        <v>17513</v>
      </c>
      <c r="E2974" s="11" t="s">
        <v>1221</v>
      </c>
      <c r="F2974" s="11" t="s">
        <v>26</v>
      </c>
      <c r="G2974" s="11">
        <v>2966</v>
      </c>
      <c r="H2974" s="12" t="s">
        <v>166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69" t="s">
        <v>26</v>
      </c>
      <c r="AA2974" s="12" t="s">
        <v>31</v>
      </c>
    </row>
    <row r="2975" spans="1:27" x14ac:dyDescent="0.25">
      <c r="A2975" s="10">
        <v>45701</v>
      </c>
      <c r="B2975" s="11" t="s">
        <v>5461</v>
      </c>
      <c r="C2975" s="11" t="s">
        <v>5462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69" t="s">
        <v>26</v>
      </c>
      <c r="AA2975" s="12" t="s">
        <v>31</v>
      </c>
    </row>
    <row r="2976" spans="1:27" x14ac:dyDescent="0.25">
      <c r="A2976" s="10">
        <v>45701</v>
      </c>
      <c r="B2976" s="11" t="s">
        <v>453</v>
      </c>
      <c r="C2976" s="11" t="s">
        <v>5463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69" t="s">
        <v>26</v>
      </c>
      <c r="AA2976" s="12" t="s">
        <v>31</v>
      </c>
    </row>
    <row r="2977" spans="1:27" x14ac:dyDescent="0.25">
      <c r="A2977" s="10">
        <v>45701</v>
      </c>
      <c r="B2977" s="11" t="s">
        <v>2726</v>
      </c>
      <c r="C2977" s="11" t="s">
        <v>5464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144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69" t="s">
        <v>26</v>
      </c>
      <c r="AA2977" s="12" t="s">
        <v>31</v>
      </c>
    </row>
    <row r="2978" spans="1:27" x14ac:dyDescent="0.25">
      <c r="A2978" s="10">
        <v>45701</v>
      </c>
      <c r="B2978" s="11" t="s">
        <v>5465</v>
      </c>
      <c r="C2978" s="11" t="s">
        <v>5466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69" t="s">
        <v>26</v>
      </c>
      <c r="AA2978" s="12" t="s">
        <v>31</v>
      </c>
    </row>
    <row r="2979" spans="1:27" x14ac:dyDescent="0.25">
      <c r="A2979" s="10">
        <v>45701</v>
      </c>
      <c r="B2979" s="11" t="s">
        <v>455</v>
      </c>
      <c r="C2979" s="11" t="s">
        <v>5467</v>
      </c>
      <c r="D2979" s="11">
        <v>17519</v>
      </c>
      <c r="E2979" s="11" t="s">
        <v>4344</v>
      </c>
      <c r="F2979" s="11" t="s">
        <v>26</v>
      </c>
      <c r="G2979" s="11">
        <v>2961</v>
      </c>
      <c r="H2979" s="12" t="s">
        <v>4464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69" t="s">
        <v>26</v>
      </c>
      <c r="AA2979" s="12" t="s">
        <v>31</v>
      </c>
    </row>
    <row r="2980" spans="1:27" x14ac:dyDescent="0.25">
      <c r="A2980" s="10">
        <v>45701</v>
      </c>
      <c r="B2980" s="11" t="s">
        <v>5468</v>
      </c>
      <c r="C2980" s="11" t="s">
        <v>5469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69" t="s">
        <v>26</v>
      </c>
      <c r="AA2980" s="12" t="s">
        <v>31</v>
      </c>
    </row>
    <row r="2981" spans="1:27" x14ac:dyDescent="0.25">
      <c r="A2981" s="10">
        <v>45701</v>
      </c>
      <c r="B2981" s="11" t="s">
        <v>1448</v>
      </c>
      <c r="C2981" s="11" t="s">
        <v>5470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1930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69" t="s">
        <v>26</v>
      </c>
      <c r="AA2981" s="12" t="s">
        <v>31</v>
      </c>
    </row>
    <row r="2982" spans="1:27" x14ac:dyDescent="0.25">
      <c r="A2982" s="10">
        <v>45701</v>
      </c>
      <c r="B2982" s="11" t="s">
        <v>753</v>
      </c>
      <c r="C2982" s="11" t="s">
        <v>5471</v>
      </c>
      <c r="D2982" s="11">
        <v>17522</v>
      </c>
      <c r="E2982" s="11" t="s">
        <v>592</v>
      </c>
      <c r="F2982" s="11" t="s">
        <v>26</v>
      </c>
      <c r="G2982" s="11">
        <v>56919</v>
      </c>
      <c r="H2982" s="12" t="s">
        <v>4444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69" t="s">
        <v>26</v>
      </c>
      <c r="AA2982" s="12" t="s">
        <v>31</v>
      </c>
    </row>
    <row r="2983" spans="1:27" x14ac:dyDescent="0.25">
      <c r="A2983" s="10">
        <v>45701</v>
      </c>
      <c r="B2983" s="11" t="s">
        <v>726</v>
      </c>
      <c r="C2983" s="11" t="s">
        <v>5472</v>
      </c>
      <c r="D2983" s="11">
        <v>17523</v>
      </c>
      <c r="E2983" s="11" t="s">
        <v>662</v>
      </c>
      <c r="F2983" s="11" t="s">
        <v>26</v>
      </c>
      <c r="G2983" s="11">
        <v>869</v>
      </c>
      <c r="H2983" s="12" t="s">
        <v>144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69" t="s">
        <v>26</v>
      </c>
      <c r="AA2983" s="12" t="s">
        <v>31</v>
      </c>
    </row>
    <row r="2984" spans="1:27" x14ac:dyDescent="0.25">
      <c r="A2984" s="10">
        <v>45701</v>
      </c>
      <c r="B2984" s="11" t="s">
        <v>5473</v>
      </c>
      <c r="C2984" s="11" t="s">
        <v>5474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568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69" t="s">
        <v>26</v>
      </c>
      <c r="AA2984" s="12" t="s">
        <v>31</v>
      </c>
    </row>
    <row r="2985" spans="1:27" x14ac:dyDescent="0.25">
      <c r="A2985" s="10">
        <v>45701</v>
      </c>
      <c r="B2985" s="11" t="s">
        <v>1829</v>
      </c>
      <c r="C2985" s="11" t="s">
        <v>5475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166</v>
      </c>
      <c r="I2985" s="12" t="s">
        <v>55</v>
      </c>
      <c r="J2985" s="12" t="s">
        <v>569</v>
      </c>
      <c r="K2985" s="12" t="s">
        <v>553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69" t="s">
        <v>26</v>
      </c>
      <c r="AA2985" s="12" t="s">
        <v>31</v>
      </c>
    </row>
    <row r="2986" spans="1:27" x14ac:dyDescent="0.25">
      <c r="A2986" s="10">
        <v>45701</v>
      </c>
      <c r="B2986" s="11" t="s">
        <v>377</v>
      </c>
      <c r="C2986" s="11" t="s">
        <v>5476</v>
      </c>
      <c r="D2986" s="11">
        <v>17526</v>
      </c>
      <c r="E2986" s="11" t="s">
        <v>102</v>
      </c>
      <c r="F2986" s="11" t="s">
        <v>26</v>
      </c>
      <c r="G2986" s="11">
        <v>62028</v>
      </c>
      <c r="H2986" s="12" t="s">
        <v>4444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69" t="s">
        <v>26</v>
      </c>
      <c r="AA2986" s="12" t="s">
        <v>31</v>
      </c>
    </row>
    <row r="2987" spans="1:27" x14ac:dyDescent="0.25">
      <c r="A2987" s="10">
        <v>45701</v>
      </c>
      <c r="B2987" s="11" t="s">
        <v>5477</v>
      </c>
      <c r="C2987" s="11" t="s">
        <v>5478</v>
      </c>
      <c r="D2987" s="11">
        <v>17527</v>
      </c>
      <c r="E2987" s="11" t="s">
        <v>504</v>
      </c>
      <c r="F2987" s="11" t="s">
        <v>26</v>
      </c>
      <c r="G2987" s="11" t="s">
        <v>26</v>
      </c>
      <c r="H2987" s="12" t="s">
        <v>149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69" t="s">
        <v>144</v>
      </c>
      <c r="AA2987" s="12" t="s">
        <v>79</v>
      </c>
    </row>
    <row r="2988" spans="1:27" x14ac:dyDescent="0.25">
      <c r="A2988" s="10">
        <v>45701</v>
      </c>
      <c r="B2988" s="11" t="s">
        <v>5479</v>
      </c>
      <c r="C2988" s="11" t="s">
        <v>5480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69" t="s">
        <v>26</v>
      </c>
      <c r="AA2988" s="12" t="s">
        <v>31</v>
      </c>
    </row>
    <row r="2989" spans="1:27" x14ac:dyDescent="0.25">
      <c r="A2989" s="10">
        <v>45701</v>
      </c>
      <c r="B2989" s="11" t="s">
        <v>5481</v>
      </c>
      <c r="C2989" s="11" t="s">
        <v>5482</v>
      </c>
      <c r="D2989" s="11">
        <v>17529</v>
      </c>
      <c r="E2989" s="11" t="s">
        <v>239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69" t="s">
        <v>26</v>
      </c>
      <c r="AA2989" s="12" t="s">
        <v>31</v>
      </c>
    </row>
    <row r="2990" spans="1:27" x14ac:dyDescent="0.25">
      <c r="A2990" s="10">
        <v>45701</v>
      </c>
      <c r="B2990" s="11" t="s">
        <v>5483</v>
      </c>
      <c r="C2990" s="11" t="s">
        <v>5484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69" t="s">
        <v>26</v>
      </c>
      <c r="AA2990" s="12" t="s">
        <v>31</v>
      </c>
    </row>
    <row r="2991" spans="1:27" x14ac:dyDescent="0.25">
      <c r="A2991" s="10">
        <v>45701</v>
      </c>
      <c r="B2991" s="11" t="s">
        <v>348</v>
      </c>
      <c r="C2991" s="11" t="s">
        <v>5485</v>
      </c>
      <c r="D2991" s="11">
        <v>17531</v>
      </c>
      <c r="E2991" s="11" t="s">
        <v>5233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69" t="s">
        <v>26</v>
      </c>
      <c r="AA2991" s="12" t="s">
        <v>31</v>
      </c>
    </row>
    <row r="2992" spans="1:27" x14ac:dyDescent="0.25">
      <c r="A2992" s="10">
        <v>45701</v>
      </c>
      <c r="B2992" s="11" t="s">
        <v>5486</v>
      </c>
      <c r="C2992" s="11" t="s">
        <v>5487</v>
      </c>
      <c r="D2992" s="11">
        <v>17532</v>
      </c>
      <c r="E2992" s="11" t="s">
        <v>596</v>
      </c>
      <c r="F2992" s="11" t="s">
        <v>26</v>
      </c>
      <c r="G2992" s="11">
        <v>44333</v>
      </c>
      <c r="H2992" s="12" t="s">
        <v>4444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69" t="s">
        <v>26</v>
      </c>
      <c r="AA2992" s="12" t="s">
        <v>31</v>
      </c>
    </row>
    <row r="2993" spans="1:27" x14ac:dyDescent="0.25">
      <c r="A2993" s="10">
        <v>45701</v>
      </c>
      <c r="B2993" s="11" t="s">
        <v>407</v>
      </c>
      <c r="C2993" s="11" t="s">
        <v>5488</v>
      </c>
      <c r="D2993" s="11">
        <v>17533</v>
      </c>
      <c r="E2993" s="11" t="s">
        <v>3807</v>
      </c>
      <c r="F2993" s="11" t="s">
        <v>26</v>
      </c>
      <c r="G2993" s="11">
        <v>24341</v>
      </c>
      <c r="H2993" s="12" t="s">
        <v>4470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69" t="s">
        <v>26</v>
      </c>
      <c r="AA2993" s="12" t="s">
        <v>31</v>
      </c>
    </row>
    <row r="2994" spans="1:27" x14ac:dyDescent="0.25">
      <c r="A2994" s="10">
        <v>45701</v>
      </c>
      <c r="B2994" s="11" t="s">
        <v>135</v>
      </c>
      <c r="C2994" s="11" t="s">
        <v>5489</v>
      </c>
      <c r="D2994" s="11">
        <v>17534</v>
      </c>
      <c r="E2994" s="11" t="s">
        <v>434</v>
      </c>
      <c r="F2994" s="11" t="s">
        <v>26</v>
      </c>
      <c r="G2994" s="11">
        <v>149</v>
      </c>
      <c r="H2994" s="12" t="s">
        <v>115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69" t="s">
        <v>26</v>
      </c>
      <c r="AA2994" s="12" t="s">
        <v>31</v>
      </c>
    </row>
    <row r="2995" spans="1:27" x14ac:dyDescent="0.25">
      <c r="A2995" s="10">
        <v>45701</v>
      </c>
      <c r="B2995" s="11" t="s">
        <v>5490</v>
      </c>
      <c r="C2995" s="11" t="s">
        <v>5491</v>
      </c>
      <c r="D2995" s="11">
        <v>17535</v>
      </c>
      <c r="E2995" s="11" t="s">
        <v>573</v>
      </c>
      <c r="F2995" s="11" t="s">
        <v>26</v>
      </c>
      <c r="G2995" s="11">
        <v>10754</v>
      </c>
      <c r="H2995" s="12" t="s">
        <v>143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69" t="s">
        <v>26</v>
      </c>
      <c r="AA2995" s="12" t="s">
        <v>31</v>
      </c>
    </row>
    <row r="2996" spans="1:27" x14ac:dyDescent="0.25">
      <c r="A2996" s="10">
        <v>45701</v>
      </c>
      <c r="B2996" s="11" t="s">
        <v>5492</v>
      </c>
      <c r="C2996" s="11" t="s">
        <v>5493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69" t="s">
        <v>26</v>
      </c>
      <c r="AA2996" s="12" t="s">
        <v>31</v>
      </c>
    </row>
    <row r="2997" spans="1:27" x14ac:dyDescent="0.25">
      <c r="A2997" s="10">
        <v>45701</v>
      </c>
      <c r="B2997" s="11" t="s">
        <v>5494</v>
      </c>
      <c r="C2997" s="11" t="s">
        <v>5495</v>
      </c>
      <c r="D2997" s="11">
        <v>17537</v>
      </c>
      <c r="E2997" s="11" t="s">
        <v>5496</v>
      </c>
      <c r="F2997" s="11" t="s">
        <v>26</v>
      </c>
      <c r="G2997" s="11">
        <v>112858</v>
      </c>
      <c r="H2997" s="12" t="s">
        <v>4468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69" t="s">
        <v>26</v>
      </c>
      <c r="AA2997" s="12" t="s">
        <v>31</v>
      </c>
    </row>
    <row r="2998" spans="1:27" x14ac:dyDescent="0.25">
      <c r="A2998" s="10">
        <v>45701</v>
      </c>
      <c r="B2998" s="11" t="s">
        <v>5497</v>
      </c>
      <c r="C2998" s="11" t="s">
        <v>5498</v>
      </c>
      <c r="D2998" s="11">
        <v>17539</v>
      </c>
      <c r="E2998" s="11" t="s">
        <v>98</v>
      </c>
      <c r="F2998" s="11" t="s">
        <v>26</v>
      </c>
      <c r="G2998" s="11">
        <v>9857</v>
      </c>
      <c r="H2998" s="12" t="s">
        <v>4469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69" t="s">
        <v>26</v>
      </c>
      <c r="AA2998" s="12" t="s">
        <v>31</v>
      </c>
    </row>
    <row r="2999" spans="1:27" x14ac:dyDescent="0.25">
      <c r="A2999" s="10">
        <v>45701</v>
      </c>
      <c r="B2999" s="11" t="s">
        <v>1404</v>
      </c>
      <c r="C2999" s="11" t="s">
        <v>5499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69" t="s">
        <v>26</v>
      </c>
      <c r="AA2999" s="12" t="s">
        <v>31</v>
      </c>
    </row>
    <row r="3000" spans="1:27" x14ac:dyDescent="0.25">
      <c r="A3000" s="10">
        <v>45701</v>
      </c>
      <c r="B3000" s="11" t="s">
        <v>468</v>
      </c>
      <c r="C3000" s="11" t="s">
        <v>5500</v>
      </c>
      <c r="D3000" s="11">
        <v>17541</v>
      </c>
      <c r="E3000" s="11" t="s">
        <v>114</v>
      </c>
      <c r="F3000" s="11" t="s">
        <v>26</v>
      </c>
      <c r="G3000" s="11">
        <v>694</v>
      </c>
      <c r="H3000" s="12" t="s">
        <v>115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69" t="s">
        <v>26</v>
      </c>
      <c r="AA3000" s="12" t="s">
        <v>31</v>
      </c>
    </row>
    <row r="3001" spans="1:27" x14ac:dyDescent="0.25">
      <c r="A3001" s="10">
        <v>45701</v>
      </c>
      <c r="B3001" s="11" t="s">
        <v>5501</v>
      </c>
      <c r="C3001" s="11" t="s">
        <v>5502</v>
      </c>
      <c r="D3001" s="11">
        <v>17542</v>
      </c>
      <c r="E3001" s="11" t="s">
        <v>243</v>
      </c>
      <c r="F3001" s="11" t="s">
        <v>26</v>
      </c>
      <c r="G3001" s="11" t="s">
        <v>26</v>
      </c>
      <c r="H3001" s="12" t="s">
        <v>4443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69" t="s">
        <v>41</v>
      </c>
      <c r="AA3001" s="12" t="s">
        <v>78</v>
      </c>
    </row>
    <row r="3002" spans="1:27" x14ac:dyDescent="0.25">
      <c r="A3002" s="10">
        <v>45701</v>
      </c>
      <c r="B3002" s="11" t="s">
        <v>326</v>
      </c>
      <c r="C3002" s="11" t="s">
        <v>5503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69" t="s">
        <v>26</v>
      </c>
      <c r="AA3002" s="12" t="s">
        <v>31</v>
      </c>
    </row>
    <row r="3003" spans="1:27" x14ac:dyDescent="0.25">
      <c r="A3003" s="10">
        <v>45701</v>
      </c>
      <c r="B3003" s="11" t="s">
        <v>5504</v>
      </c>
      <c r="C3003" s="11" t="s">
        <v>5505</v>
      </c>
      <c r="D3003" s="11">
        <v>17544</v>
      </c>
      <c r="E3003" s="11" t="s">
        <v>227</v>
      </c>
      <c r="F3003" s="11" t="s">
        <v>26</v>
      </c>
      <c r="G3003" s="11">
        <v>3216</v>
      </c>
      <c r="H3003" s="12" t="s">
        <v>4444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69" t="s">
        <v>26</v>
      </c>
      <c r="AA3003" s="12" t="s">
        <v>31</v>
      </c>
    </row>
    <row r="3004" spans="1:27" x14ac:dyDescent="0.25">
      <c r="A3004" s="10">
        <v>45701</v>
      </c>
      <c r="B3004" s="11" t="s">
        <v>711</v>
      </c>
      <c r="C3004" s="11" t="s">
        <v>5506</v>
      </c>
      <c r="D3004" s="11">
        <v>17545</v>
      </c>
      <c r="E3004" s="11" t="s">
        <v>5233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69" t="s">
        <v>26</v>
      </c>
      <c r="AA3004" s="12" t="s">
        <v>31</v>
      </c>
    </row>
    <row r="3005" spans="1:27" x14ac:dyDescent="0.25">
      <c r="A3005" s="10">
        <v>45701</v>
      </c>
      <c r="B3005" s="11" t="s">
        <v>5507</v>
      </c>
      <c r="C3005" s="11" t="s">
        <v>5508</v>
      </c>
      <c r="D3005" s="11">
        <v>17546</v>
      </c>
      <c r="E3005" s="11" t="s">
        <v>325</v>
      </c>
      <c r="F3005" s="11" t="s">
        <v>26</v>
      </c>
      <c r="G3005" s="11">
        <v>112857</v>
      </c>
      <c r="H3005" s="12" t="s">
        <v>4468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69" t="s">
        <v>26</v>
      </c>
      <c r="AA3005" s="12" t="s">
        <v>31</v>
      </c>
    </row>
    <row r="3006" spans="1:27" x14ac:dyDescent="0.25">
      <c r="A3006" s="10">
        <v>45701</v>
      </c>
      <c r="B3006" s="11" t="s">
        <v>5509</v>
      </c>
      <c r="C3006" s="11" t="s">
        <v>5510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144</v>
      </c>
      <c r="I3006" s="12" t="s">
        <v>55</v>
      </c>
      <c r="J3006" s="12" t="s">
        <v>569</v>
      </c>
      <c r="K3006" s="12" t="s">
        <v>553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69" t="s">
        <v>26</v>
      </c>
      <c r="AA3006" s="12" t="s">
        <v>31</v>
      </c>
    </row>
    <row r="3007" spans="1:27" x14ac:dyDescent="0.25">
      <c r="A3007" s="10">
        <v>45701</v>
      </c>
      <c r="B3007" s="11" t="s">
        <v>5511</v>
      </c>
      <c r="C3007" s="11" t="s">
        <v>5512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69" t="s">
        <v>26</v>
      </c>
      <c r="AA3007" s="12" t="s">
        <v>31</v>
      </c>
    </row>
    <row r="3008" spans="1:27" x14ac:dyDescent="0.25">
      <c r="A3008" s="10">
        <v>45701</v>
      </c>
      <c r="B3008" s="11" t="s">
        <v>5513</v>
      </c>
      <c r="C3008" s="11" t="s">
        <v>5514</v>
      </c>
      <c r="D3008" s="11">
        <v>17549</v>
      </c>
      <c r="E3008" s="11" t="s">
        <v>2085</v>
      </c>
      <c r="F3008" s="11" t="s">
        <v>26</v>
      </c>
      <c r="G3008" s="11">
        <v>40658</v>
      </c>
      <c r="H3008" s="12" t="s">
        <v>568</v>
      </c>
      <c r="I3008" s="12" t="s">
        <v>55</v>
      </c>
      <c r="J3008" s="12" t="s">
        <v>569</v>
      </c>
      <c r="K3008" s="12" t="s">
        <v>553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69" t="s">
        <v>26</v>
      </c>
      <c r="AA3008" s="12" t="s">
        <v>31</v>
      </c>
    </row>
    <row r="3009" spans="1:27" x14ac:dyDescent="0.25">
      <c r="A3009" s="10">
        <v>45701</v>
      </c>
      <c r="B3009" s="11" t="s">
        <v>5515</v>
      </c>
      <c r="C3009" s="11" t="s">
        <v>5516</v>
      </c>
      <c r="D3009" s="11">
        <v>17550</v>
      </c>
      <c r="E3009" s="11" t="s">
        <v>2074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569</v>
      </c>
      <c r="K3009" s="12" t="s">
        <v>553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69" t="s">
        <v>26</v>
      </c>
      <c r="AA3009" s="12" t="s">
        <v>31</v>
      </c>
    </row>
    <row r="3010" spans="1:27" x14ac:dyDescent="0.25">
      <c r="A3010" s="10">
        <v>45701</v>
      </c>
      <c r="B3010" s="11" t="s">
        <v>5517</v>
      </c>
      <c r="C3010" s="11" t="s">
        <v>5518</v>
      </c>
      <c r="D3010" s="11">
        <v>17551</v>
      </c>
      <c r="E3010" s="11" t="s">
        <v>5519</v>
      </c>
      <c r="F3010" s="11" t="s">
        <v>26</v>
      </c>
      <c r="G3010" s="11">
        <v>1263</v>
      </c>
      <c r="H3010" s="12" t="s">
        <v>144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69" t="s">
        <v>26</v>
      </c>
      <c r="AA3010" s="12" t="s">
        <v>31</v>
      </c>
    </row>
    <row r="3011" spans="1:27" x14ac:dyDescent="0.25">
      <c r="A3011" s="10">
        <v>45701</v>
      </c>
      <c r="B3011" s="11" t="s">
        <v>5520</v>
      </c>
      <c r="C3011" s="11" t="s">
        <v>5521</v>
      </c>
      <c r="D3011" s="11">
        <v>17552</v>
      </c>
      <c r="E3011" s="11" t="s">
        <v>5243</v>
      </c>
      <c r="F3011" s="11" t="s">
        <v>26</v>
      </c>
      <c r="G3011" s="11">
        <v>56920</v>
      </c>
      <c r="H3011" s="12" t="s">
        <v>4444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69" t="s">
        <v>26</v>
      </c>
      <c r="AA3011" s="12" t="s">
        <v>31</v>
      </c>
    </row>
    <row r="3012" spans="1:27" x14ac:dyDescent="0.25">
      <c r="A3012" s="10">
        <v>45701</v>
      </c>
      <c r="B3012" s="11" t="s">
        <v>323</v>
      </c>
      <c r="C3012" s="11" t="s">
        <v>5522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69" t="s">
        <v>26</v>
      </c>
      <c r="AA3012" s="12" t="s">
        <v>31</v>
      </c>
    </row>
    <row r="3013" spans="1:27" x14ac:dyDescent="0.25">
      <c r="A3013" s="10">
        <v>45701</v>
      </c>
      <c r="B3013" s="11" t="s">
        <v>4307</v>
      </c>
      <c r="C3013" s="11" t="s">
        <v>5523</v>
      </c>
      <c r="D3013" s="11">
        <v>17554</v>
      </c>
      <c r="E3013" s="11" t="s">
        <v>565</v>
      </c>
      <c r="F3013" s="11" t="s">
        <v>26</v>
      </c>
      <c r="G3013" s="11">
        <v>752</v>
      </c>
      <c r="H3013" s="12" t="s">
        <v>166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69" t="s">
        <v>26</v>
      </c>
      <c r="AA3013" s="12" t="s">
        <v>31</v>
      </c>
    </row>
    <row r="3014" spans="1:27" x14ac:dyDescent="0.25">
      <c r="A3014" s="10">
        <v>45701</v>
      </c>
      <c r="B3014" s="11" t="s">
        <v>5524</v>
      </c>
      <c r="C3014" s="11" t="s">
        <v>5525</v>
      </c>
      <c r="D3014" s="11">
        <v>17555</v>
      </c>
      <c r="E3014" s="11" t="s">
        <v>1302</v>
      </c>
      <c r="F3014" s="11" t="s">
        <v>26</v>
      </c>
      <c r="G3014" s="11">
        <v>1014</v>
      </c>
      <c r="H3014" s="12" t="s">
        <v>144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69" t="s">
        <v>26</v>
      </c>
      <c r="AA3014" s="12" t="s">
        <v>31</v>
      </c>
    </row>
    <row r="3015" spans="1:27" x14ac:dyDescent="0.25">
      <c r="A3015" s="10">
        <v>45702</v>
      </c>
      <c r="B3015" s="11" t="s">
        <v>5526</v>
      </c>
      <c r="C3015" s="11" t="s">
        <v>5527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69" t="s">
        <v>26</v>
      </c>
      <c r="AA3015" s="12" t="s">
        <v>31</v>
      </c>
    </row>
    <row r="3016" spans="1:27" x14ac:dyDescent="0.25">
      <c r="A3016" s="10">
        <v>45702</v>
      </c>
      <c r="B3016" s="11" t="s">
        <v>2683</v>
      </c>
      <c r="C3016" s="11" t="s">
        <v>5528</v>
      </c>
      <c r="D3016" s="11">
        <v>17557</v>
      </c>
      <c r="E3016" s="11" t="s">
        <v>187</v>
      </c>
      <c r="F3016" s="11" t="s">
        <v>26</v>
      </c>
      <c r="G3016" s="11">
        <v>1015</v>
      </c>
      <c r="H3016" s="12" t="s">
        <v>144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69" t="s">
        <v>26</v>
      </c>
      <c r="AA3016" s="12" t="s">
        <v>31</v>
      </c>
    </row>
    <row r="3017" spans="1:27" x14ac:dyDescent="0.25">
      <c r="A3017" s="10">
        <v>45702</v>
      </c>
      <c r="B3017" s="11" t="s">
        <v>366</v>
      </c>
      <c r="C3017" s="11" t="s">
        <v>5529</v>
      </c>
      <c r="D3017" s="11">
        <v>17558</v>
      </c>
      <c r="E3017" s="11" t="s">
        <v>499</v>
      </c>
      <c r="F3017" s="11" t="s">
        <v>26</v>
      </c>
      <c r="G3017" s="11">
        <v>78957</v>
      </c>
      <c r="H3017" s="12" t="s">
        <v>4470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69" t="s">
        <v>26</v>
      </c>
      <c r="AA3017" s="12" t="s">
        <v>31</v>
      </c>
    </row>
    <row r="3018" spans="1:27" x14ac:dyDescent="0.25">
      <c r="A3018" s="10">
        <v>45702</v>
      </c>
      <c r="B3018" s="11" t="s">
        <v>477</v>
      </c>
      <c r="C3018" s="11" t="s">
        <v>5530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149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69" t="s">
        <v>41</v>
      </c>
      <c r="AA3018" s="12" t="s">
        <v>79</v>
      </c>
    </row>
    <row r="3019" spans="1:27" x14ac:dyDescent="0.25">
      <c r="A3019" s="10">
        <v>45702</v>
      </c>
      <c r="B3019" s="11" t="s">
        <v>5409</v>
      </c>
      <c r="C3019" s="11" t="s">
        <v>5531</v>
      </c>
      <c r="D3019" s="11">
        <v>17560</v>
      </c>
      <c r="E3019" s="11" t="s">
        <v>101</v>
      </c>
      <c r="F3019" s="11" t="s">
        <v>26</v>
      </c>
      <c r="G3019" s="11">
        <v>78251</v>
      </c>
      <c r="H3019" s="12" t="s">
        <v>4470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69" t="s">
        <v>26</v>
      </c>
      <c r="AA3019" s="12" t="s">
        <v>31</v>
      </c>
    </row>
    <row r="3020" spans="1:27" x14ac:dyDescent="0.25">
      <c r="A3020" s="10">
        <v>45702</v>
      </c>
      <c r="B3020" s="11" t="s">
        <v>2945</v>
      </c>
      <c r="C3020" s="11" t="s">
        <v>5532</v>
      </c>
      <c r="D3020" s="11">
        <v>17561</v>
      </c>
      <c r="E3020" s="11" t="s">
        <v>504</v>
      </c>
      <c r="F3020" s="11" t="s">
        <v>26</v>
      </c>
      <c r="G3020" s="11" t="s">
        <v>26</v>
      </c>
      <c r="H3020" s="12" t="s">
        <v>4443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69" t="s">
        <v>144</v>
      </c>
      <c r="AA3020" s="12" t="s">
        <v>78</v>
      </c>
    </row>
    <row r="3021" spans="1:27" x14ac:dyDescent="0.25">
      <c r="A3021" s="10">
        <v>45702</v>
      </c>
      <c r="B3021" s="11" t="s">
        <v>5533</v>
      </c>
      <c r="C3021" s="11" t="s">
        <v>5534</v>
      </c>
      <c r="D3021" s="11">
        <v>17562</v>
      </c>
      <c r="E3021" s="11" t="s">
        <v>555</v>
      </c>
      <c r="F3021" s="11" t="s">
        <v>26</v>
      </c>
      <c r="G3021" s="11">
        <v>44169</v>
      </c>
      <c r="H3021" s="12" t="s">
        <v>4444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69" t="s">
        <v>26</v>
      </c>
      <c r="AA3021" s="12" t="s">
        <v>31</v>
      </c>
    </row>
    <row r="3022" spans="1:27" x14ac:dyDescent="0.25">
      <c r="A3022" s="10">
        <v>45702</v>
      </c>
      <c r="B3022" s="11" t="s">
        <v>5535</v>
      </c>
      <c r="C3022" s="11" t="s">
        <v>5536</v>
      </c>
      <c r="D3022" s="11">
        <v>17563</v>
      </c>
      <c r="E3022" s="11" t="s">
        <v>434</v>
      </c>
      <c r="F3022" s="11" t="s">
        <v>26</v>
      </c>
      <c r="G3022" s="11">
        <v>150</v>
      </c>
      <c r="H3022" s="12" t="s">
        <v>115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Y3022" s="14">
        <f t="shared" si="904"/>
        <v>0</v>
      </c>
      <c r="Z3022" s="69" t="s">
        <v>26</v>
      </c>
      <c r="AA3022" s="12" t="s">
        <v>31</v>
      </c>
    </row>
    <row r="3023" spans="1:27" x14ac:dyDescent="0.25">
      <c r="A3023" s="10">
        <v>45702</v>
      </c>
      <c r="B3023" s="11" t="s">
        <v>250</v>
      </c>
      <c r="C3023" s="11" t="s">
        <v>5537</v>
      </c>
      <c r="D3023" s="11">
        <v>17564</v>
      </c>
      <c r="E3023" s="11" t="s">
        <v>657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69" t="s">
        <v>26</v>
      </c>
      <c r="AA3023" s="12" t="s">
        <v>31</v>
      </c>
    </row>
    <row r="3024" spans="1:27" x14ac:dyDescent="0.25">
      <c r="A3024" s="10">
        <v>45702</v>
      </c>
      <c r="B3024" s="11" t="s">
        <v>5538</v>
      </c>
      <c r="C3024" s="11" t="s">
        <v>5539</v>
      </c>
      <c r="D3024" s="11">
        <v>17565</v>
      </c>
      <c r="E3024" s="11" t="s">
        <v>562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69" t="s">
        <v>26</v>
      </c>
      <c r="AA3024" s="12" t="s">
        <v>31</v>
      </c>
    </row>
    <row r="3025" spans="1:27" x14ac:dyDescent="0.25">
      <c r="A3025" s="10">
        <v>45702</v>
      </c>
      <c r="B3025" s="11" t="s">
        <v>5540</v>
      </c>
      <c r="C3025" s="11" t="s">
        <v>5541</v>
      </c>
      <c r="D3025" s="11">
        <v>17566</v>
      </c>
      <c r="E3025" s="11" t="s">
        <v>486</v>
      </c>
      <c r="F3025" s="11" t="s">
        <v>26</v>
      </c>
      <c r="G3025" s="11" t="s">
        <v>26</v>
      </c>
      <c r="H3025" s="12" t="s">
        <v>4443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69" t="s">
        <v>41</v>
      </c>
      <c r="AA3025" s="12" t="s">
        <v>78</v>
      </c>
    </row>
    <row r="3026" spans="1:27" x14ac:dyDescent="0.25">
      <c r="A3026" s="10">
        <v>45702</v>
      </c>
      <c r="B3026" s="11" t="s">
        <v>5542</v>
      </c>
      <c r="C3026" s="11" t="s">
        <v>5543</v>
      </c>
      <c r="D3026" s="11">
        <v>17567</v>
      </c>
      <c r="E3026" s="11" t="s">
        <v>4182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69" t="s">
        <v>26</v>
      </c>
      <c r="AA3026" s="12" t="s">
        <v>31</v>
      </c>
    </row>
    <row r="3027" spans="1:27" x14ac:dyDescent="0.25">
      <c r="A3027" s="10">
        <v>45702</v>
      </c>
      <c r="B3027" s="11" t="s">
        <v>5544</v>
      </c>
      <c r="C3027" s="11" t="s">
        <v>5545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4443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69" t="s">
        <v>144</v>
      </c>
      <c r="AA3027" s="12" t="s">
        <v>78</v>
      </c>
    </row>
    <row r="3028" spans="1:27" x14ac:dyDescent="0.25">
      <c r="A3028" s="10">
        <v>45702</v>
      </c>
      <c r="B3028" s="11" t="s">
        <v>5546</v>
      </c>
      <c r="C3028" s="11" t="s">
        <v>5547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166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69" t="s">
        <v>26</v>
      </c>
      <c r="AA3028" s="12" t="s">
        <v>31</v>
      </c>
    </row>
    <row r="3029" spans="1:27" x14ac:dyDescent="0.25">
      <c r="A3029" s="10">
        <v>45702</v>
      </c>
      <c r="B3029" s="11" t="s">
        <v>5548</v>
      </c>
      <c r="C3029" s="11" t="s">
        <v>5549</v>
      </c>
      <c r="D3029" s="11">
        <v>17570</v>
      </c>
      <c r="E3029" s="11" t="s">
        <v>608</v>
      </c>
      <c r="F3029" s="11" t="s">
        <v>26</v>
      </c>
      <c r="G3029" s="11" t="s">
        <v>26</v>
      </c>
      <c r="H3029" s="12" t="s">
        <v>4443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69" t="s">
        <v>144</v>
      </c>
      <c r="AA3029" s="12" t="s">
        <v>78</v>
      </c>
    </row>
    <row r="3030" spans="1:27" x14ac:dyDescent="0.25">
      <c r="A3030" s="10">
        <v>45702</v>
      </c>
      <c r="B3030" s="11" t="s">
        <v>5550</v>
      </c>
      <c r="C3030" s="11" t="s">
        <v>5551</v>
      </c>
      <c r="D3030" s="11">
        <v>17571</v>
      </c>
      <c r="E3030" s="11" t="s">
        <v>239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69" t="s">
        <v>26</v>
      </c>
      <c r="AA3030" s="12" t="s">
        <v>31</v>
      </c>
    </row>
    <row r="3031" spans="1:27" x14ac:dyDescent="0.25">
      <c r="A3031" s="10">
        <v>45702</v>
      </c>
      <c r="B3031" s="11" t="s">
        <v>5552</v>
      </c>
      <c r="C3031" s="11" t="s">
        <v>5553</v>
      </c>
      <c r="D3031" s="11">
        <v>17572</v>
      </c>
      <c r="E3031" s="11" t="s">
        <v>5127</v>
      </c>
      <c r="F3031" s="11" t="s">
        <v>26</v>
      </c>
      <c r="G3031" s="11">
        <v>78102</v>
      </c>
      <c r="H3031" s="12" t="s">
        <v>4470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69" t="s">
        <v>26</v>
      </c>
      <c r="AA3031" s="12" t="s">
        <v>31</v>
      </c>
    </row>
    <row r="3032" spans="1:27" x14ac:dyDescent="0.25">
      <c r="A3032" s="10">
        <v>45702</v>
      </c>
      <c r="B3032" s="11" t="s">
        <v>5554</v>
      </c>
      <c r="C3032" s="11" t="s">
        <v>5555</v>
      </c>
      <c r="D3032" s="11">
        <v>17573</v>
      </c>
      <c r="E3032" s="11" t="s">
        <v>249</v>
      </c>
      <c r="F3032" s="11" t="s">
        <v>26</v>
      </c>
      <c r="G3032" s="11" t="s">
        <v>26</v>
      </c>
      <c r="H3032" s="12" t="s">
        <v>4443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69" t="s">
        <v>41</v>
      </c>
      <c r="AA3032" s="12" t="s">
        <v>78</v>
      </c>
    </row>
    <row r="3033" spans="1:27" x14ac:dyDescent="0.25">
      <c r="A3033" s="10">
        <v>45702</v>
      </c>
      <c r="B3033" s="11" t="s">
        <v>5556</v>
      </c>
      <c r="C3033" s="11" t="s">
        <v>5557</v>
      </c>
      <c r="D3033" s="11">
        <v>17574</v>
      </c>
      <c r="E3033" s="11" t="s">
        <v>99</v>
      </c>
      <c r="F3033" s="11" t="s">
        <v>26</v>
      </c>
      <c r="G3033" s="11">
        <v>10723</v>
      </c>
      <c r="H3033" s="12" t="s">
        <v>143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40</v>
      </c>
      <c r="P3033" s="13"/>
      <c r="Q3033" s="13">
        <v>0</v>
      </c>
      <c r="R3033" s="72">
        <f>+L3033*O3033</f>
        <v>1787.2</v>
      </c>
      <c r="S3033" s="72">
        <v>0</v>
      </c>
      <c r="T3033" s="72">
        <f>+L3033*S3033</f>
        <v>0</v>
      </c>
      <c r="U3033" s="72">
        <f>+R3033-T3033</f>
        <v>1787.2</v>
      </c>
      <c r="V3033" s="72">
        <f t="shared" ref="V3033" si="915">+U3033*0</f>
        <v>0</v>
      </c>
      <c r="W3033" s="72">
        <f>+U3033-V3033</f>
        <v>1787.2</v>
      </c>
      <c r="X3033" s="72">
        <v>0</v>
      </c>
      <c r="Y3033" s="14">
        <f t="shared" ref="Y3033:Y3036" si="916">T3033-X3033</f>
        <v>0</v>
      </c>
      <c r="Z3033" s="69" t="s">
        <v>26</v>
      </c>
      <c r="AA3033" s="12" t="s">
        <v>31</v>
      </c>
    </row>
    <row r="3034" spans="1:27" x14ac:dyDescent="0.25">
      <c r="A3034" s="10">
        <v>45702</v>
      </c>
      <c r="B3034" s="11" t="s">
        <v>5558</v>
      </c>
      <c r="C3034" s="11" t="s">
        <v>5559</v>
      </c>
      <c r="D3034" s="11">
        <v>17575</v>
      </c>
      <c r="E3034" s="11" t="s">
        <v>542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69" t="s">
        <v>26</v>
      </c>
      <c r="AA3034" s="12" t="s">
        <v>31</v>
      </c>
    </row>
    <row r="3035" spans="1:27" x14ac:dyDescent="0.25">
      <c r="A3035" s="10">
        <v>45702</v>
      </c>
      <c r="B3035" s="11" t="s">
        <v>5560</v>
      </c>
      <c r="C3035" s="11" t="s">
        <v>5561</v>
      </c>
      <c r="D3035" s="11">
        <v>17576</v>
      </c>
      <c r="E3035" s="11" t="s">
        <v>1221</v>
      </c>
      <c r="F3035" s="11" t="s">
        <v>26</v>
      </c>
      <c r="G3035" s="11">
        <v>2967</v>
      </c>
      <c r="H3035" s="12" t="s">
        <v>166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69" t="s">
        <v>26</v>
      </c>
      <c r="AA3035" s="12" t="s">
        <v>31</v>
      </c>
    </row>
    <row r="3036" spans="1:27" x14ac:dyDescent="0.25">
      <c r="A3036" s="10">
        <v>45702</v>
      </c>
      <c r="B3036" s="11" t="s">
        <v>622</v>
      </c>
      <c r="C3036" s="11" t="s">
        <v>5562</v>
      </c>
      <c r="D3036" s="11">
        <v>17577</v>
      </c>
      <c r="E3036" s="11" t="s">
        <v>592</v>
      </c>
      <c r="F3036" s="11" t="s">
        <v>26</v>
      </c>
      <c r="G3036" s="11">
        <v>56921</v>
      </c>
      <c r="H3036" s="12" t="s">
        <v>4444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69" t="s">
        <v>26</v>
      </c>
      <c r="AA3036" s="12" t="s">
        <v>31</v>
      </c>
    </row>
    <row r="3037" spans="1:27" x14ac:dyDescent="0.25">
      <c r="A3037" s="10">
        <v>45702</v>
      </c>
      <c r="B3037" s="11" t="s">
        <v>5563</v>
      </c>
      <c r="C3037" s="11" t="s">
        <v>5564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4443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69" t="s">
        <v>41</v>
      </c>
      <c r="AA3037" s="12" t="s">
        <v>78</v>
      </c>
    </row>
    <row r="3038" spans="1:27" x14ac:dyDescent="0.25">
      <c r="A3038" s="10">
        <v>45702</v>
      </c>
      <c r="B3038" s="11" t="s">
        <v>1946</v>
      </c>
      <c r="C3038" s="11" t="s">
        <v>5565</v>
      </c>
      <c r="D3038" s="11">
        <v>17579</v>
      </c>
      <c r="E3038" s="11" t="s">
        <v>654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69" t="s">
        <v>26</v>
      </c>
      <c r="AA3038" s="12" t="s">
        <v>31</v>
      </c>
    </row>
    <row r="3039" spans="1:27" x14ac:dyDescent="0.25">
      <c r="A3039" s="10">
        <v>45702</v>
      </c>
      <c r="B3039" s="11" t="s">
        <v>5566</v>
      </c>
      <c r="C3039" s="11" t="s">
        <v>5567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143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40</v>
      </c>
      <c r="P3039" s="13"/>
      <c r="Q3039" s="13">
        <v>0</v>
      </c>
      <c r="R3039" s="72">
        <f>+L3039*O3039</f>
        <v>1777.6</v>
      </c>
      <c r="S3039" s="72">
        <v>0</v>
      </c>
      <c r="T3039" s="72">
        <f>+L3039*S3039</f>
        <v>0</v>
      </c>
      <c r="U3039" s="72">
        <f>+R3039-T3039</f>
        <v>1777.6</v>
      </c>
      <c r="V3039" s="72">
        <f t="shared" si="925"/>
        <v>0</v>
      </c>
      <c r="W3039" s="72">
        <f>+U3039-V3039</f>
        <v>1777.6</v>
      </c>
      <c r="X3039" s="72">
        <v>0</v>
      </c>
      <c r="Y3039" s="14">
        <f t="shared" si="927"/>
        <v>0</v>
      </c>
      <c r="Z3039" s="69" t="s">
        <v>26</v>
      </c>
      <c r="AA3039" s="12" t="s">
        <v>31</v>
      </c>
    </row>
    <row r="3040" spans="1:27" x14ac:dyDescent="0.25">
      <c r="A3040" s="10">
        <v>45702</v>
      </c>
      <c r="B3040" s="11" t="s">
        <v>667</v>
      </c>
      <c r="C3040" s="11" t="s">
        <v>5568</v>
      </c>
      <c r="D3040" s="11">
        <v>17581</v>
      </c>
      <c r="E3040" s="11" t="s">
        <v>183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69" t="s">
        <v>26</v>
      </c>
      <c r="AA3040" s="12" t="s">
        <v>31</v>
      </c>
    </row>
    <row r="3041" spans="1:27" x14ac:dyDescent="0.25">
      <c r="A3041" s="10">
        <v>45702</v>
      </c>
      <c r="B3041" s="11" t="s">
        <v>5569</v>
      </c>
      <c r="C3041" s="11" t="s">
        <v>5570</v>
      </c>
      <c r="D3041" s="11">
        <v>17582</v>
      </c>
      <c r="E3041" s="11" t="s">
        <v>227</v>
      </c>
      <c r="F3041" s="11" t="s">
        <v>26</v>
      </c>
      <c r="G3041" s="11">
        <v>3217</v>
      </c>
      <c r="H3041" s="12" t="s">
        <v>4444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69" t="s">
        <v>26</v>
      </c>
      <c r="AA3041" s="12" t="s">
        <v>31</v>
      </c>
    </row>
    <row r="3042" spans="1:27" x14ac:dyDescent="0.25">
      <c r="A3042" s="10">
        <v>45702</v>
      </c>
      <c r="B3042" s="11" t="s">
        <v>5571</v>
      </c>
      <c r="C3042" s="11" t="s">
        <v>5572</v>
      </c>
      <c r="D3042" s="11">
        <v>17583</v>
      </c>
      <c r="E3042" s="11" t="s">
        <v>438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569</v>
      </c>
      <c r="K3042" s="12" t="s">
        <v>553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69" t="s">
        <v>26</v>
      </c>
      <c r="AA3042" s="12" t="s">
        <v>31</v>
      </c>
    </row>
    <row r="3043" spans="1:27" x14ac:dyDescent="0.25">
      <c r="A3043" s="10">
        <v>45702</v>
      </c>
      <c r="B3043" s="11" t="s">
        <v>5573</v>
      </c>
      <c r="C3043" s="11" t="s">
        <v>5574</v>
      </c>
      <c r="D3043" s="11">
        <v>17584</v>
      </c>
      <c r="E3043" s="11" t="s">
        <v>2130</v>
      </c>
      <c r="F3043" s="11" t="s">
        <v>26</v>
      </c>
      <c r="G3043" s="11">
        <v>10626</v>
      </c>
      <c r="H3043" s="12" t="s">
        <v>143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40</v>
      </c>
      <c r="P3043" s="13"/>
      <c r="Q3043" s="13">
        <v>0</v>
      </c>
      <c r="R3043" s="72">
        <f>+L3043*O3043</f>
        <v>1845.6</v>
      </c>
      <c r="S3043" s="72">
        <v>0</v>
      </c>
      <c r="T3043" s="72">
        <f>+L3043*S3043</f>
        <v>0</v>
      </c>
      <c r="U3043" s="72">
        <f>+R3043-T3043</f>
        <v>1845.6</v>
      </c>
      <c r="V3043" s="72">
        <f t="shared" ref="V3043" si="932">+U3043*0</f>
        <v>0</v>
      </c>
      <c r="W3043" s="72">
        <f>+U3043-V3043</f>
        <v>1845.6</v>
      </c>
      <c r="X3043" s="72">
        <v>0</v>
      </c>
      <c r="Y3043" s="14">
        <f t="shared" si="927"/>
        <v>0</v>
      </c>
      <c r="Z3043" s="69" t="s">
        <v>26</v>
      </c>
      <c r="AA3043" s="12" t="s">
        <v>31</v>
      </c>
    </row>
    <row r="3044" spans="1:27" x14ac:dyDescent="0.25">
      <c r="A3044" s="10">
        <v>45702</v>
      </c>
      <c r="B3044" s="11" t="s">
        <v>5575</v>
      </c>
      <c r="C3044" s="11" t="s">
        <v>5576</v>
      </c>
      <c r="D3044" s="11">
        <v>17585</v>
      </c>
      <c r="E3044" s="11" t="s">
        <v>325</v>
      </c>
      <c r="F3044" s="11" t="s">
        <v>26</v>
      </c>
      <c r="G3044" s="11">
        <v>112864</v>
      </c>
      <c r="H3044" s="12" t="s">
        <v>4468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69" t="s">
        <v>26</v>
      </c>
      <c r="AA3044" s="12" t="s">
        <v>31</v>
      </c>
    </row>
    <row r="3045" spans="1:27" x14ac:dyDescent="0.25">
      <c r="A3045" s="10">
        <v>45702</v>
      </c>
      <c r="B3045" s="11" t="s">
        <v>5577</v>
      </c>
      <c r="C3045" s="11" t="s">
        <v>5578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569</v>
      </c>
      <c r="K3045" s="12" t="s">
        <v>553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69" t="s">
        <v>26</v>
      </c>
      <c r="AA3045" s="12" t="s">
        <v>31</v>
      </c>
    </row>
    <row r="3046" spans="1:27" x14ac:dyDescent="0.25">
      <c r="A3046" s="10">
        <v>45702</v>
      </c>
      <c r="B3046" s="11" t="s">
        <v>5579</v>
      </c>
      <c r="C3046" s="11" t="s">
        <v>5580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4470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69" t="s">
        <v>26</v>
      </c>
      <c r="AA3046" s="12" t="s">
        <v>31</v>
      </c>
    </row>
    <row r="3047" spans="1:27" x14ac:dyDescent="0.25">
      <c r="A3047" s="10">
        <v>45702</v>
      </c>
      <c r="B3047" s="11" t="s">
        <v>4127</v>
      </c>
      <c r="C3047" s="11" t="s">
        <v>5581</v>
      </c>
      <c r="D3047" s="11">
        <v>17588</v>
      </c>
      <c r="E3047" s="11" t="s">
        <v>443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69" t="s">
        <v>26</v>
      </c>
      <c r="AA3047" s="12" t="s">
        <v>31</v>
      </c>
    </row>
    <row r="3048" spans="1:27" x14ac:dyDescent="0.25">
      <c r="A3048" s="10">
        <v>45702</v>
      </c>
      <c r="B3048" s="11" t="s">
        <v>478</v>
      </c>
      <c r="C3048" s="11" t="s">
        <v>5582</v>
      </c>
      <c r="D3048" s="11">
        <v>17589</v>
      </c>
      <c r="E3048" s="11" t="s">
        <v>243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569</v>
      </c>
      <c r="K3048" s="12" t="s">
        <v>553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69" t="s">
        <v>26</v>
      </c>
      <c r="AA3048" s="12" t="s">
        <v>31</v>
      </c>
    </row>
    <row r="3049" spans="1:27" x14ac:dyDescent="0.25">
      <c r="A3049" s="10">
        <v>45702</v>
      </c>
      <c r="B3049" s="11" t="s">
        <v>331</v>
      </c>
      <c r="C3049" s="11" t="s">
        <v>5583</v>
      </c>
      <c r="D3049" s="11">
        <v>17590</v>
      </c>
      <c r="E3049" s="11" t="s">
        <v>92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69" t="s">
        <v>26</v>
      </c>
      <c r="AA3049" s="12" t="s">
        <v>31</v>
      </c>
    </row>
    <row r="3050" spans="1:27" x14ac:dyDescent="0.25">
      <c r="A3050" s="10">
        <v>45702</v>
      </c>
      <c r="B3050" s="11" t="s">
        <v>5584</v>
      </c>
      <c r="C3050" s="11" t="s">
        <v>5585</v>
      </c>
      <c r="D3050" s="11">
        <v>17591</v>
      </c>
      <c r="E3050" s="11" t="s">
        <v>5233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69" t="s">
        <v>26</v>
      </c>
      <c r="AA3050" s="12" t="s">
        <v>31</v>
      </c>
    </row>
    <row r="3051" spans="1:27" x14ac:dyDescent="0.25">
      <c r="A3051" s="10">
        <v>45702</v>
      </c>
      <c r="B3051" s="11" t="s">
        <v>1769</v>
      </c>
      <c r="C3051" s="11" t="s">
        <v>5586</v>
      </c>
      <c r="D3051" s="11">
        <v>17592</v>
      </c>
      <c r="E3051" s="11" t="s">
        <v>528</v>
      </c>
      <c r="F3051" s="11" t="s">
        <v>26</v>
      </c>
      <c r="G3051" s="11">
        <v>78551</v>
      </c>
      <c r="H3051" s="12" t="s">
        <v>4470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69" t="s">
        <v>26</v>
      </c>
      <c r="AA3051" s="12" t="s">
        <v>31</v>
      </c>
    </row>
    <row r="3052" spans="1:27" x14ac:dyDescent="0.25">
      <c r="A3052" s="10">
        <v>45702</v>
      </c>
      <c r="B3052" s="11" t="s">
        <v>2570</v>
      </c>
      <c r="C3052" s="11" t="s">
        <v>5587</v>
      </c>
      <c r="D3052" s="11">
        <v>17593</v>
      </c>
      <c r="E3052" s="11" t="s">
        <v>489</v>
      </c>
      <c r="F3052" s="11" t="s">
        <v>26</v>
      </c>
      <c r="G3052" s="11">
        <v>78004</v>
      </c>
      <c r="H3052" s="12" t="s">
        <v>4470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69" t="s">
        <v>26</v>
      </c>
      <c r="AA3052" s="12" t="s">
        <v>31</v>
      </c>
    </row>
    <row r="3053" spans="1:27" x14ac:dyDescent="0.25">
      <c r="A3053" s="10">
        <v>45702</v>
      </c>
      <c r="B3053" s="11" t="s">
        <v>1811</v>
      </c>
      <c r="C3053" s="11" t="s">
        <v>5588</v>
      </c>
      <c r="D3053" s="11">
        <v>17594</v>
      </c>
      <c r="E3053" s="11" t="s">
        <v>555</v>
      </c>
      <c r="F3053" s="11" t="s">
        <v>26</v>
      </c>
      <c r="G3053" s="11">
        <v>44170</v>
      </c>
      <c r="H3053" s="12" t="s">
        <v>4444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69" t="s">
        <v>26</v>
      </c>
      <c r="AA3053" s="12" t="s">
        <v>31</v>
      </c>
    </row>
    <row r="3054" spans="1:27" x14ac:dyDescent="0.25">
      <c r="A3054" s="10">
        <v>45702</v>
      </c>
      <c r="B3054" s="11" t="s">
        <v>713</v>
      </c>
      <c r="C3054" s="11" t="s">
        <v>5589</v>
      </c>
      <c r="D3054" s="11">
        <v>17595</v>
      </c>
      <c r="E3054" s="11" t="s">
        <v>114</v>
      </c>
      <c r="F3054" s="11" t="s">
        <v>26</v>
      </c>
      <c r="G3054" s="11">
        <v>695</v>
      </c>
      <c r="H3054" s="12" t="s">
        <v>115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Y3054" s="14">
        <f t="shared" si="927"/>
        <v>0</v>
      </c>
      <c r="Z3054" s="69" t="s">
        <v>26</v>
      </c>
      <c r="AA3054" s="12" t="s">
        <v>31</v>
      </c>
    </row>
    <row r="3055" spans="1:27" x14ac:dyDescent="0.25">
      <c r="A3055" s="10">
        <v>45702</v>
      </c>
      <c r="B3055" s="11" t="s">
        <v>5590</v>
      </c>
      <c r="C3055" s="11" t="s">
        <v>5591</v>
      </c>
      <c r="D3055" s="11">
        <v>17596</v>
      </c>
      <c r="E3055" s="11" t="s">
        <v>2147</v>
      </c>
      <c r="F3055" s="11" t="s">
        <v>26</v>
      </c>
      <c r="G3055" s="11">
        <v>112861</v>
      </c>
      <c r="H3055" s="12" t="s">
        <v>4468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69" t="s">
        <v>26</v>
      </c>
      <c r="AA3055" s="12" t="s">
        <v>31</v>
      </c>
    </row>
    <row r="3056" spans="1:27" x14ac:dyDescent="0.25">
      <c r="A3056" s="10">
        <v>45702</v>
      </c>
      <c r="B3056" s="11" t="s">
        <v>5592</v>
      </c>
      <c r="C3056" s="11" t="s">
        <v>5593</v>
      </c>
      <c r="D3056" s="11">
        <v>17597</v>
      </c>
      <c r="E3056" s="11" t="s">
        <v>573</v>
      </c>
      <c r="F3056" s="11" t="s">
        <v>26</v>
      </c>
      <c r="G3056" s="11">
        <v>10755</v>
      </c>
      <c r="H3056" s="12" t="s">
        <v>143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69" t="s">
        <v>26</v>
      </c>
      <c r="AA3056" s="12" t="s">
        <v>31</v>
      </c>
    </row>
    <row r="3057" spans="1:27" x14ac:dyDescent="0.25">
      <c r="A3057" s="10">
        <v>45702</v>
      </c>
      <c r="B3057" s="11" t="s">
        <v>4210</v>
      </c>
      <c r="C3057" s="11" t="s">
        <v>5594</v>
      </c>
      <c r="D3057" s="11">
        <v>17598</v>
      </c>
      <c r="E3057" s="11" t="s">
        <v>443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69" t="s">
        <v>26</v>
      </c>
      <c r="AA3057" s="12" t="s">
        <v>31</v>
      </c>
    </row>
    <row r="3058" spans="1:27" x14ac:dyDescent="0.25">
      <c r="A3058" s="10">
        <v>45702</v>
      </c>
      <c r="B3058" s="11" t="s">
        <v>4409</v>
      </c>
      <c r="C3058" s="11" t="s">
        <v>5595</v>
      </c>
      <c r="D3058" s="11">
        <v>17599</v>
      </c>
      <c r="E3058" s="11" t="s">
        <v>99</v>
      </c>
      <c r="F3058" s="11" t="s">
        <v>26</v>
      </c>
      <c r="G3058" s="11">
        <v>10724</v>
      </c>
      <c r="H3058" s="12" t="s">
        <v>143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40</v>
      </c>
      <c r="P3058" s="13"/>
      <c r="Q3058" s="13">
        <v>0</v>
      </c>
      <c r="R3058" s="72">
        <f>+L3058*O3058</f>
        <v>1758.4</v>
      </c>
      <c r="S3058" s="72">
        <v>0</v>
      </c>
      <c r="T3058" s="72">
        <f>+L3058*S3058</f>
        <v>0</v>
      </c>
      <c r="U3058" s="72">
        <f>+R3058-T3058</f>
        <v>1758.4</v>
      </c>
      <c r="V3058" s="72">
        <f t="shared" si="948"/>
        <v>0</v>
      </c>
      <c r="W3058" s="72">
        <f>+U3058-V3058</f>
        <v>1758.4</v>
      </c>
      <c r="X3058" s="72">
        <v>0</v>
      </c>
      <c r="Y3058" s="14">
        <f t="shared" si="927"/>
        <v>0</v>
      </c>
      <c r="Z3058" s="69" t="s">
        <v>26</v>
      </c>
      <c r="AA3058" s="12" t="s">
        <v>31</v>
      </c>
    </row>
    <row r="3059" spans="1:27" x14ac:dyDescent="0.25">
      <c r="A3059" s="10">
        <v>45702</v>
      </c>
      <c r="B3059" s="11" t="s">
        <v>2026</v>
      </c>
      <c r="C3059" s="11" t="s">
        <v>5596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69" t="s">
        <v>26</v>
      </c>
      <c r="AA3059" s="12" t="s">
        <v>31</v>
      </c>
    </row>
    <row r="3060" spans="1:27" x14ac:dyDescent="0.25">
      <c r="A3060" s="10">
        <v>45702</v>
      </c>
      <c r="B3060" s="11" t="s">
        <v>5597</v>
      </c>
      <c r="C3060" s="11" t="s">
        <v>5598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69" t="s">
        <v>26</v>
      </c>
      <c r="AA3060" s="12" t="s">
        <v>31</v>
      </c>
    </row>
    <row r="3061" spans="1:27" x14ac:dyDescent="0.25">
      <c r="A3061" s="10">
        <v>45702</v>
      </c>
      <c r="B3061" s="11" t="s">
        <v>5599</v>
      </c>
      <c r="C3061" s="11" t="s">
        <v>5600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143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69" t="s">
        <v>26</v>
      </c>
      <c r="AA3061" s="12" t="s">
        <v>31</v>
      </c>
    </row>
    <row r="3062" spans="1:27" x14ac:dyDescent="0.25">
      <c r="A3062" s="10">
        <v>45702</v>
      </c>
      <c r="B3062" s="11" t="s">
        <v>1877</v>
      </c>
      <c r="C3062" s="11" t="s">
        <v>5601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69" t="s">
        <v>26</v>
      </c>
      <c r="AA3062" s="12" t="s">
        <v>31</v>
      </c>
    </row>
    <row r="3063" spans="1:27" x14ac:dyDescent="0.25">
      <c r="A3063" s="10">
        <v>45702</v>
      </c>
      <c r="B3063" s="11" t="s">
        <v>5602</v>
      </c>
      <c r="C3063" s="11" t="s">
        <v>5603</v>
      </c>
      <c r="D3063" s="11">
        <v>17604</v>
      </c>
      <c r="E3063" s="11" t="s">
        <v>596</v>
      </c>
      <c r="F3063" s="11" t="s">
        <v>26</v>
      </c>
      <c r="G3063" s="11">
        <v>44334</v>
      </c>
      <c r="H3063" s="12" t="s">
        <v>4444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69" t="s">
        <v>26</v>
      </c>
      <c r="AA3063" s="12" t="s">
        <v>31</v>
      </c>
    </row>
    <row r="3064" spans="1:27" x14ac:dyDescent="0.25">
      <c r="A3064" s="10">
        <v>45702</v>
      </c>
      <c r="B3064" s="11" t="s">
        <v>2757</v>
      </c>
      <c r="C3064" s="11" t="s">
        <v>5604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166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69" t="s">
        <v>26</v>
      </c>
      <c r="AA3064" s="12" t="s">
        <v>31</v>
      </c>
    </row>
    <row r="3065" spans="1:27" x14ac:dyDescent="0.25">
      <c r="A3065" s="10">
        <v>45702</v>
      </c>
      <c r="B3065" s="11" t="s">
        <v>266</v>
      </c>
      <c r="C3065" s="11" t="s">
        <v>5605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69" t="s">
        <v>26</v>
      </c>
      <c r="AA3065" s="12" t="s">
        <v>31</v>
      </c>
    </row>
    <row r="3066" spans="1:27" x14ac:dyDescent="0.25">
      <c r="A3066" s="10">
        <v>45702</v>
      </c>
      <c r="B3066" s="11" t="s">
        <v>5606</v>
      </c>
      <c r="C3066" s="11" t="s">
        <v>5607</v>
      </c>
      <c r="D3066" s="11">
        <v>17607</v>
      </c>
      <c r="E3066" s="11" t="s">
        <v>592</v>
      </c>
      <c r="F3066" s="11" t="s">
        <v>26</v>
      </c>
      <c r="G3066" s="11">
        <v>56922</v>
      </c>
      <c r="H3066" s="12" t="s">
        <v>4444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69" t="s">
        <v>26</v>
      </c>
      <c r="AA3066" s="12" t="s">
        <v>31</v>
      </c>
    </row>
    <row r="3067" spans="1:27" x14ac:dyDescent="0.25">
      <c r="A3067" s="10">
        <v>45702</v>
      </c>
      <c r="B3067" s="11" t="s">
        <v>2835</v>
      </c>
      <c r="C3067" s="11" t="s">
        <v>5608</v>
      </c>
      <c r="D3067" s="11">
        <v>17608</v>
      </c>
      <c r="E3067" s="11" t="s">
        <v>5233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69" t="s">
        <v>26</v>
      </c>
      <c r="AA3067" s="12" t="s">
        <v>31</v>
      </c>
    </row>
    <row r="3068" spans="1:27" x14ac:dyDescent="0.25">
      <c r="A3068" s="10">
        <v>45702</v>
      </c>
      <c r="B3068" s="11" t="s">
        <v>5609</v>
      </c>
      <c r="C3068" s="11" t="s">
        <v>5610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69" t="s">
        <v>26</v>
      </c>
      <c r="AA3068" s="12" t="s">
        <v>31</v>
      </c>
    </row>
    <row r="3069" spans="1:27" x14ac:dyDescent="0.25">
      <c r="A3069" s="10">
        <v>45702</v>
      </c>
      <c r="B3069" s="11" t="s">
        <v>5611</v>
      </c>
      <c r="C3069" s="11" t="s">
        <v>5612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4468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69" t="s">
        <v>26</v>
      </c>
      <c r="AA3069" s="12" t="s">
        <v>31</v>
      </c>
    </row>
    <row r="3070" spans="1:27" x14ac:dyDescent="0.25">
      <c r="A3070" s="10">
        <v>45702</v>
      </c>
      <c r="B3070" s="11" t="s">
        <v>5613</v>
      </c>
      <c r="C3070" s="11" t="s">
        <v>5614</v>
      </c>
      <c r="D3070" s="11">
        <v>17611</v>
      </c>
      <c r="E3070" s="11" t="s">
        <v>608</v>
      </c>
      <c r="F3070" s="11" t="s">
        <v>26</v>
      </c>
      <c r="G3070" s="11" t="s">
        <v>26</v>
      </c>
      <c r="H3070" s="12" t="s">
        <v>4443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69" t="s">
        <v>144</v>
      </c>
      <c r="AA3070" s="12" t="s">
        <v>78</v>
      </c>
    </row>
    <row r="3071" spans="1:27" x14ac:dyDescent="0.25">
      <c r="A3071" s="10">
        <v>45702</v>
      </c>
      <c r="B3071" s="11" t="s">
        <v>389</v>
      </c>
      <c r="C3071" s="11" t="s">
        <v>5615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69" t="s">
        <v>26</v>
      </c>
      <c r="AA3071" s="12" t="s">
        <v>31</v>
      </c>
    </row>
    <row r="3072" spans="1:27" x14ac:dyDescent="0.25">
      <c r="A3072" s="10">
        <v>45702</v>
      </c>
      <c r="B3072" s="11" t="s">
        <v>5616</v>
      </c>
      <c r="C3072" s="11" t="s">
        <v>5617</v>
      </c>
      <c r="D3072" s="11">
        <v>17613</v>
      </c>
      <c r="E3072" s="11" t="s">
        <v>187</v>
      </c>
      <c r="F3072" s="11" t="s">
        <v>26</v>
      </c>
      <c r="G3072" s="11">
        <v>1016</v>
      </c>
      <c r="H3072" s="12" t="s">
        <v>144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69" t="s">
        <v>26</v>
      </c>
      <c r="AA3072" s="12" t="s">
        <v>31</v>
      </c>
    </row>
    <row r="3073" spans="1:27" x14ac:dyDescent="0.25">
      <c r="A3073" s="10">
        <v>45702</v>
      </c>
      <c r="B3073" s="11" t="s">
        <v>631</v>
      </c>
      <c r="C3073" s="11" t="s">
        <v>5618</v>
      </c>
      <c r="D3073" s="11">
        <v>17614</v>
      </c>
      <c r="E3073" s="11" t="s">
        <v>512</v>
      </c>
      <c r="F3073" s="11" t="s">
        <v>26</v>
      </c>
      <c r="G3073" s="11">
        <v>1316</v>
      </c>
      <c r="H3073" s="12" t="s">
        <v>144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69" t="s">
        <v>26</v>
      </c>
      <c r="AA3073" s="12" t="s">
        <v>31</v>
      </c>
    </row>
    <row r="3074" spans="1:27" x14ac:dyDescent="0.25">
      <c r="A3074" s="10">
        <v>45702</v>
      </c>
      <c r="B3074" s="11" t="s">
        <v>3993</v>
      </c>
      <c r="C3074" s="11" t="s">
        <v>5619</v>
      </c>
      <c r="D3074" s="11">
        <v>17615</v>
      </c>
      <c r="E3074" s="11" t="s">
        <v>1221</v>
      </c>
      <c r="F3074" s="11" t="s">
        <v>26</v>
      </c>
      <c r="G3074" s="11">
        <v>2968</v>
      </c>
      <c r="H3074" s="12" t="s">
        <v>166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69" t="s">
        <v>26</v>
      </c>
      <c r="AA3074" s="12" t="s">
        <v>31</v>
      </c>
    </row>
    <row r="3075" spans="1:27" x14ac:dyDescent="0.25">
      <c r="A3075" s="10">
        <v>45702</v>
      </c>
      <c r="B3075" s="11" t="s">
        <v>1815</v>
      </c>
      <c r="C3075" s="11" t="s">
        <v>5620</v>
      </c>
      <c r="D3075" s="11">
        <v>17616</v>
      </c>
      <c r="E3075" s="11" t="s">
        <v>434</v>
      </c>
      <c r="F3075" s="11" t="s">
        <v>26</v>
      </c>
      <c r="G3075" s="11">
        <v>1051</v>
      </c>
      <c r="H3075" s="12" t="s">
        <v>115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Y3075" s="14">
        <f t="shared" si="966"/>
        <v>0</v>
      </c>
      <c r="Z3075" s="69" t="s">
        <v>26</v>
      </c>
      <c r="AA3075" s="12" t="s">
        <v>31</v>
      </c>
    </row>
    <row r="3076" spans="1:27" x14ac:dyDescent="0.25">
      <c r="A3076" s="10">
        <v>45702</v>
      </c>
      <c r="B3076" s="11" t="s">
        <v>5621</v>
      </c>
      <c r="C3076" s="11" t="s">
        <v>5622</v>
      </c>
      <c r="D3076" s="11">
        <v>17617</v>
      </c>
      <c r="E3076" s="11" t="s">
        <v>325</v>
      </c>
      <c r="F3076" s="11" t="s">
        <v>26</v>
      </c>
      <c r="G3076" s="11">
        <v>112865</v>
      </c>
      <c r="H3076" s="12" t="s">
        <v>4468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69" t="s">
        <v>26</v>
      </c>
      <c r="AA3076" s="12" t="s">
        <v>31</v>
      </c>
    </row>
    <row r="3077" spans="1:27" x14ac:dyDescent="0.25">
      <c r="A3077" s="10">
        <v>45702</v>
      </c>
      <c r="B3077" s="11" t="s">
        <v>5623</v>
      </c>
      <c r="C3077" s="11" t="s">
        <v>5624</v>
      </c>
      <c r="D3077" s="11">
        <v>17618</v>
      </c>
      <c r="E3077" s="11" t="s">
        <v>243</v>
      </c>
      <c r="F3077" s="11" t="s">
        <v>26</v>
      </c>
      <c r="G3077" s="11" t="s">
        <v>26</v>
      </c>
      <c r="H3077" s="12" t="s">
        <v>149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69" t="s">
        <v>41</v>
      </c>
      <c r="AA3077" s="12" t="s">
        <v>79</v>
      </c>
    </row>
    <row r="3078" spans="1:27" x14ac:dyDescent="0.25">
      <c r="A3078" s="10">
        <v>45702</v>
      </c>
      <c r="B3078" s="11" t="s">
        <v>5625</v>
      </c>
      <c r="C3078" s="11" t="s">
        <v>5626</v>
      </c>
      <c r="D3078" s="11">
        <v>17619</v>
      </c>
      <c r="E3078" s="11" t="s">
        <v>2147</v>
      </c>
      <c r="F3078" s="11" t="s">
        <v>26</v>
      </c>
      <c r="G3078" s="11">
        <v>112868</v>
      </c>
      <c r="H3078" s="12" t="s">
        <v>4468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69" t="s">
        <v>26</v>
      </c>
      <c r="AA3078" s="12" t="s">
        <v>31</v>
      </c>
    </row>
    <row r="3079" spans="1:27" x14ac:dyDescent="0.25">
      <c r="A3079" s="10">
        <v>45702</v>
      </c>
      <c r="B3079" s="11" t="s">
        <v>3346</v>
      </c>
      <c r="C3079" s="11" t="s">
        <v>5627</v>
      </c>
      <c r="D3079" s="11">
        <v>17620</v>
      </c>
      <c r="E3079" s="11" t="s">
        <v>564</v>
      </c>
      <c r="F3079" s="11" t="s">
        <v>26</v>
      </c>
      <c r="G3079" s="11">
        <v>112866</v>
      </c>
      <c r="H3079" s="12" t="s">
        <v>4468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69" t="s">
        <v>26</v>
      </c>
      <c r="AA3079" s="12" t="s">
        <v>31</v>
      </c>
    </row>
    <row r="3080" spans="1:27" x14ac:dyDescent="0.25">
      <c r="A3080" s="10">
        <v>45702</v>
      </c>
      <c r="B3080" s="11" t="s">
        <v>326</v>
      </c>
      <c r="C3080" s="11" t="s">
        <v>5628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69" t="s">
        <v>26</v>
      </c>
      <c r="AA3080" s="12" t="s">
        <v>31</v>
      </c>
    </row>
    <row r="3081" spans="1:27" x14ac:dyDescent="0.25">
      <c r="A3081" s="10">
        <v>45702</v>
      </c>
      <c r="B3081" s="11" t="s">
        <v>5629</v>
      </c>
      <c r="C3081" s="11" t="s">
        <v>5630</v>
      </c>
      <c r="D3081" s="11">
        <v>17622</v>
      </c>
      <c r="E3081" s="11" t="s">
        <v>573</v>
      </c>
      <c r="F3081" s="11" t="s">
        <v>26</v>
      </c>
      <c r="G3081" s="11">
        <v>10756</v>
      </c>
      <c r="H3081" s="12" t="s">
        <v>143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40</v>
      </c>
      <c r="P3081" s="13"/>
      <c r="Q3081" s="13">
        <v>0</v>
      </c>
      <c r="R3081" s="72">
        <f>+L3081*O3081</f>
        <v>1687.2</v>
      </c>
      <c r="S3081" s="72">
        <v>0</v>
      </c>
      <c r="T3081" s="72">
        <f>+L3081*S3081</f>
        <v>0</v>
      </c>
      <c r="U3081" s="72">
        <f>+R3081-T3081</f>
        <v>1687.2</v>
      </c>
      <c r="V3081" s="72">
        <f t="shared" si="976"/>
        <v>0</v>
      </c>
      <c r="W3081" s="72">
        <f>+U3081-V3081</f>
        <v>1687.2</v>
      </c>
      <c r="X3081" s="72">
        <v>0</v>
      </c>
      <c r="Y3081" s="14">
        <f t="shared" si="973"/>
        <v>0</v>
      </c>
      <c r="Z3081" s="69" t="s">
        <v>26</v>
      </c>
      <c r="AA3081" s="12" t="s">
        <v>31</v>
      </c>
    </row>
    <row r="3082" spans="1:27" x14ac:dyDescent="0.25">
      <c r="A3082" s="10">
        <v>45702</v>
      </c>
      <c r="B3082" s="11" t="s">
        <v>5631</v>
      </c>
      <c r="C3082" s="11" t="s">
        <v>5632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69" t="s">
        <v>26</v>
      </c>
      <c r="AA3082" s="12" t="s">
        <v>31</v>
      </c>
    </row>
    <row r="3083" spans="1:27" x14ac:dyDescent="0.25">
      <c r="A3083" s="10">
        <v>45702</v>
      </c>
      <c r="B3083" s="11" t="s">
        <v>470</v>
      </c>
      <c r="C3083" s="11" t="s">
        <v>5633</v>
      </c>
      <c r="D3083" s="11">
        <v>17624</v>
      </c>
      <c r="E3083" s="11" t="s">
        <v>5233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69" t="s">
        <v>26</v>
      </c>
      <c r="AA3083" s="12" t="s">
        <v>31</v>
      </c>
    </row>
    <row r="3084" spans="1:27" x14ac:dyDescent="0.25">
      <c r="A3084" s="10">
        <v>45702</v>
      </c>
      <c r="B3084" s="11" t="s">
        <v>740</v>
      </c>
      <c r="C3084" s="11" t="s">
        <v>5634</v>
      </c>
      <c r="D3084" s="11">
        <v>17625</v>
      </c>
      <c r="E3084" s="11" t="s">
        <v>488</v>
      </c>
      <c r="F3084" s="11" t="s">
        <v>26</v>
      </c>
      <c r="G3084" s="11">
        <v>78401</v>
      </c>
      <c r="H3084" s="12" t="s">
        <v>4470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69" t="s">
        <v>26</v>
      </c>
      <c r="AA3084" s="12" t="s">
        <v>31</v>
      </c>
    </row>
    <row r="3085" spans="1:27" x14ac:dyDescent="0.25">
      <c r="A3085" s="10">
        <v>45702</v>
      </c>
      <c r="B3085" s="11" t="s">
        <v>5635</v>
      </c>
      <c r="C3085" s="11" t="s">
        <v>5636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69" t="s">
        <v>26</v>
      </c>
      <c r="AA3085" s="12" t="s">
        <v>31</v>
      </c>
    </row>
    <row r="3086" spans="1:27" x14ac:dyDescent="0.25">
      <c r="A3086" s="10">
        <v>45702</v>
      </c>
      <c r="B3086" s="11" t="s">
        <v>5637</v>
      </c>
      <c r="C3086" s="11" t="s">
        <v>5638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569</v>
      </c>
      <c r="K3086" s="12" t="s">
        <v>553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69" t="s">
        <v>26</v>
      </c>
      <c r="AA3086" s="12" t="s">
        <v>31</v>
      </c>
    </row>
    <row r="3087" spans="1:27" x14ac:dyDescent="0.25">
      <c r="A3087" s="10">
        <v>45702</v>
      </c>
      <c r="B3087" s="11" t="s">
        <v>5639</v>
      </c>
      <c r="C3087" s="11" t="s">
        <v>5640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143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69" t="s">
        <v>26</v>
      </c>
      <c r="AA3087" s="12" t="s">
        <v>31</v>
      </c>
    </row>
    <row r="3088" spans="1:27" x14ac:dyDescent="0.25">
      <c r="A3088" s="10">
        <v>45702</v>
      </c>
      <c r="B3088" s="11" t="s">
        <v>5641</v>
      </c>
      <c r="C3088" s="11" t="s">
        <v>5642</v>
      </c>
      <c r="D3088" s="11">
        <v>17629</v>
      </c>
      <c r="E3088" s="11" t="s">
        <v>241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69" t="s">
        <v>26</v>
      </c>
      <c r="AA3088" s="12" t="s">
        <v>31</v>
      </c>
    </row>
    <row r="3089" spans="1:27" x14ac:dyDescent="0.25">
      <c r="A3089" s="10">
        <v>45702</v>
      </c>
      <c r="B3089" s="11" t="s">
        <v>5299</v>
      </c>
      <c r="C3089" s="11" t="s">
        <v>5643</v>
      </c>
      <c r="D3089" s="11">
        <v>17630</v>
      </c>
      <c r="E3089" s="11" t="s">
        <v>662</v>
      </c>
      <c r="F3089" s="11" t="s">
        <v>26</v>
      </c>
      <c r="G3089" s="11">
        <v>870</v>
      </c>
      <c r="H3089" s="12" t="s">
        <v>144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69" t="s">
        <v>26</v>
      </c>
      <c r="AA3089" s="12" t="s">
        <v>31</v>
      </c>
    </row>
    <row r="3090" spans="1:27" x14ac:dyDescent="0.25">
      <c r="A3090" s="10">
        <v>45702</v>
      </c>
      <c r="B3090" s="11" t="s">
        <v>5644</v>
      </c>
      <c r="C3090" s="11" t="s">
        <v>5645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143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40</v>
      </c>
      <c r="P3090" s="13"/>
      <c r="Q3090" s="13">
        <v>0</v>
      </c>
      <c r="R3090" s="72">
        <f>+L3090*O3090</f>
        <v>1802.4</v>
      </c>
      <c r="S3090" s="72">
        <v>0</v>
      </c>
      <c r="T3090" s="72">
        <f>+L3090*S3090</f>
        <v>0</v>
      </c>
      <c r="U3090" s="72">
        <f>+R3090-T3090</f>
        <v>1802.4</v>
      </c>
      <c r="V3090" s="72">
        <f t="shared" ref="V3090" si="989">+U3090*0</f>
        <v>0</v>
      </c>
      <c r="W3090" s="72">
        <f>+U3090-V3090</f>
        <v>1802.4</v>
      </c>
      <c r="X3090" s="72">
        <v>0</v>
      </c>
      <c r="Y3090" s="14">
        <f t="shared" si="973"/>
        <v>0</v>
      </c>
      <c r="Z3090" s="69" t="s">
        <v>26</v>
      </c>
      <c r="AA3090" s="12" t="s">
        <v>31</v>
      </c>
    </row>
    <row r="3091" spans="1:27" x14ac:dyDescent="0.25">
      <c r="A3091" s="10">
        <v>45702</v>
      </c>
      <c r="B3091" s="11" t="s">
        <v>5646</v>
      </c>
      <c r="C3091" s="11" t="s">
        <v>5647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144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69" t="s">
        <v>26</v>
      </c>
      <c r="AA3091" s="12" t="s">
        <v>31</v>
      </c>
    </row>
    <row r="3092" spans="1:27" x14ac:dyDescent="0.25">
      <c r="A3092" s="10">
        <v>45702</v>
      </c>
      <c r="B3092" s="11" t="s">
        <v>5648</v>
      </c>
      <c r="C3092" s="11" t="s">
        <v>5649</v>
      </c>
      <c r="D3092" s="11">
        <v>17633</v>
      </c>
      <c r="E3092" s="11" t="s">
        <v>2130</v>
      </c>
      <c r="F3092" s="11" t="s">
        <v>26</v>
      </c>
      <c r="G3092" s="11">
        <v>10627</v>
      </c>
      <c r="H3092" s="12" t="s">
        <v>143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69" t="s">
        <v>26</v>
      </c>
      <c r="AA3092" s="12" t="s">
        <v>31</v>
      </c>
    </row>
    <row r="3093" spans="1:27" x14ac:dyDescent="0.25">
      <c r="A3093" s="10">
        <v>45702</v>
      </c>
      <c r="B3093" s="11" t="s">
        <v>5650</v>
      </c>
      <c r="C3093" s="11" t="s">
        <v>5651</v>
      </c>
      <c r="D3093" s="11">
        <v>17634</v>
      </c>
      <c r="E3093" s="11" t="s">
        <v>596</v>
      </c>
      <c r="F3093" s="11" t="s">
        <v>26</v>
      </c>
      <c r="G3093" s="11">
        <v>44335</v>
      </c>
      <c r="H3093" s="12" t="s">
        <v>4444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69" t="s">
        <v>26</v>
      </c>
      <c r="AA3093" s="12" t="s">
        <v>31</v>
      </c>
    </row>
    <row r="3094" spans="1:27" x14ac:dyDescent="0.25">
      <c r="A3094" s="10">
        <v>45702</v>
      </c>
      <c r="B3094" s="11" t="s">
        <v>5652</v>
      </c>
      <c r="C3094" s="11" t="s">
        <v>5653</v>
      </c>
      <c r="D3094" s="11">
        <v>17635</v>
      </c>
      <c r="E3094" s="11" t="s">
        <v>5056</v>
      </c>
      <c r="F3094" s="11" t="s">
        <v>26</v>
      </c>
      <c r="G3094" s="11">
        <v>10804</v>
      </c>
      <c r="H3094" s="12" t="s">
        <v>143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40</v>
      </c>
      <c r="P3094" s="13"/>
      <c r="Q3094" s="13">
        <v>0</v>
      </c>
      <c r="R3094" s="72">
        <f>+L3094*O3094</f>
        <v>1727.2</v>
      </c>
      <c r="S3094" s="72">
        <v>0</v>
      </c>
      <c r="T3094" s="72">
        <f>+L3094*S3094</f>
        <v>0</v>
      </c>
      <c r="U3094" s="72">
        <f>+R3094-T3094</f>
        <v>1727.2</v>
      </c>
      <c r="V3094" s="72">
        <f t="shared" ref="V3094" si="993">+U3094*0</f>
        <v>0</v>
      </c>
      <c r="W3094" s="72">
        <f>+U3094-V3094</f>
        <v>1727.2</v>
      </c>
      <c r="X3094" s="72">
        <v>0</v>
      </c>
      <c r="Y3094" s="14">
        <f t="shared" si="973"/>
        <v>0</v>
      </c>
      <c r="Z3094" s="69" t="s">
        <v>26</v>
      </c>
      <c r="AA3094" s="12" t="s">
        <v>31</v>
      </c>
    </row>
    <row r="3095" spans="1:27" x14ac:dyDescent="0.25">
      <c r="A3095" s="10">
        <v>45702</v>
      </c>
      <c r="B3095" s="11" t="s">
        <v>349</v>
      </c>
      <c r="C3095" s="11" t="s">
        <v>5654</v>
      </c>
      <c r="D3095" s="11">
        <v>17636</v>
      </c>
      <c r="E3095" s="11" t="s">
        <v>243</v>
      </c>
      <c r="F3095" s="11" t="s">
        <v>26</v>
      </c>
      <c r="G3095" s="11" t="s">
        <v>26</v>
      </c>
      <c r="H3095" s="12" t="s">
        <v>4443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69" t="s">
        <v>41</v>
      </c>
      <c r="AA3095" s="12" t="s">
        <v>78</v>
      </c>
    </row>
    <row r="3096" spans="1:27" x14ac:dyDescent="0.25">
      <c r="A3096" s="10">
        <v>45702</v>
      </c>
      <c r="B3096" s="11" t="s">
        <v>3355</v>
      </c>
      <c r="C3096" s="11" t="s">
        <v>5655</v>
      </c>
      <c r="D3096" s="11">
        <v>17637</v>
      </c>
      <c r="E3096" s="11" t="s">
        <v>5656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69" t="s">
        <v>26</v>
      </c>
      <c r="AA3096" s="12" t="s">
        <v>31</v>
      </c>
    </row>
    <row r="3097" spans="1:27" x14ac:dyDescent="0.25">
      <c r="A3097" s="10">
        <v>45702</v>
      </c>
      <c r="B3097" s="11" t="s">
        <v>5657</v>
      </c>
      <c r="C3097" s="11" t="s">
        <v>5658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4468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69" t="s">
        <v>26</v>
      </c>
      <c r="AA3097" s="12" t="s">
        <v>31</v>
      </c>
    </row>
    <row r="3098" spans="1:27" x14ac:dyDescent="0.25">
      <c r="A3098" s="10">
        <v>45702</v>
      </c>
      <c r="B3098" s="11" t="s">
        <v>5659</v>
      </c>
      <c r="C3098" s="11" t="s">
        <v>5660</v>
      </c>
      <c r="D3098" s="11">
        <v>17639</v>
      </c>
      <c r="E3098" s="11" t="s">
        <v>528</v>
      </c>
      <c r="F3098" s="11" t="s">
        <v>26</v>
      </c>
      <c r="G3098" s="11">
        <v>78552</v>
      </c>
      <c r="H3098" s="12" t="s">
        <v>4470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69" t="s">
        <v>26</v>
      </c>
      <c r="AA3098" s="12" t="s">
        <v>31</v>
      </c>
    </row>
    <row r="3099" spans="1:27" x14ac:dyDescent="0.25">
      <c r="A3099" s="10">
        <v>45702</v>
      </c>
      <c r="B3099" s="11" t="s">
        <v>1244</v>
      </c>
      <c r="C3099" s="11" t="s">
        <v>5661</v>
      </c>
      <c r="D3099" s="11">
        <v>17640</v>
      </c>
      <c r="E3099" s="11" t="s">
        <v>1221</v>
      </c>
      <c r="F3099" s="11" t="s">
        <v>26</v>
      </c>
      <c r="G3099" s="11">
        <v>2969</v>
      </c>
      <c r="H3099" s="12" t="s">
        <v>166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69" t="s">
        <v>26</v>
      </c>
      <c r="AA3099" s="12" t="s">
        <v>31</v>
      </c>
    </row>
    <row r="3100" spans="1:27" x14ac:dyDescent="0.25">
      <c r="A3100" s="10">
        <v>45702</v>
      </c>
      <c r="B3100" s="11" t="s">
        <v>5662</v>
      </c>
      <c r="C3100" s="11" t="s">
        <v>5663</v>
      </c>
      <c r="D3100" s="11">
        <v>17641</v>
      </c>
      <c r="E3100" s="11" t="s">
        <v>564</v>
      </c>
      <c r="F3100" s="11" t="s">
        <v>26</v>
      </c>
      <c r="G3100" s="11">
        <v>112872</v>
      </c>
      <c r="H3100" s="12" t="s">
        <v>4468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69" t="s">
        <v>26</v>
      </c>
      <c r="AA3100" s="12" t="s">
        <v>31</v>
      </c>
    </row>
    <row r="3101" spans="1:27" x14ac:dyDescent="0.25">
      <c r="A3101" s="10">
        <v>45702</v>
      </c>
      <c r="B3101" s="11" t="s">
        <v>3669</v>
      </c>
      <c r="C3101" s="11" t="s">
        <v>5664</v>
      </c>
      <c r="D3101" s="11">
        <v>17642</v>
      </c>
      <c r="E3101" s="11" t="s">
        <v>5496</v>
      </c>
      <c r="F3101" s="11" t="s">
        <v>26</v>
      </c>
      <c r="G3101" s="11">
        <v>112871</v>
      </c>
      <c r="H3101" s="12" t="s">
        <v>4468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69" t="s">
        <v>26</v>
      </c>
      <c r="AA3101" s="12" t="s">
        <v>31</v>
      </c>
    </row>
    <row r="3102" spans="1:27" x14ac:dyDescent="0.25">
      <c r="A3102" s="10">
        <v>45702</v>
      </c>
      <c r="B3102" s="11" t="s">
        <v>5665</v>
      </c>
      <c r="C3102" s="11" t="s">
        <v>5666</v>
      </c>
      <c r="D3102" s="11">
        <v>17643</v>
      </c>
      <c r="E3102" s="11" t="s">
        <v>1302</v>
      </c>
      <c r="F3102" s="11" t="s">
        <v>26</v>
      </c>
      <c r="G3102" s="11">
        <v>1017</v>
      </c>
      <c r="H3102" s="12" t="s">
        <v>144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69" t="s">
        <v>26</v>
      </c>
      <c r="AA3102" s="12" t="s">
        <v>31</v>
      </c>
    </row>
    <row r="3103" spans="1:27" x14ac:dyDescent="0.25">
      <c r="A3103" s="10">
        <v>45703</v>
      </c>
      <c r="B3103" s="11" t="s">
        <v>465</v>
      </c>
      <c r="C3103" s="11" t="s">
        <v>5667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4470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69" t="s">
        <v>26</v>
      </c>
      <c r="AA3103" s="12" t="s">
        <v>31</v>
      </c>
    </row>
    <row r="3104" spans="1:27" x14ac:dyDescent="0.25">
      <c r="A3104" s="10">
        <v>45703</v>
      </c>
      <c r="B3104" s="11" t="s">
        <v>5668</v>
      </c>
      <c r="C3104" s="11" t="s">
        <v>5669</v>
      </c>
      <c r="D3104" s="11">
        <v>17645</v>
      </c>
      <c r="E3104" s="11" t="s">
        <v>101</v>
      </c>
      <c r="F3104" s="11" t="s">
        <v>26</v>
      </c>
      <c r="G3104" s="11">
        <v>78252</v>
      </c>
      <c r="H3104" s="12" t="s">
        <v>4470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69" t="s">
        <v>26</v>
      </c>
      <c r="AA3104" s="12" t="s">
        <v>31</v>
      </c>
    </row>
    <row r="3105" spans="1:27" x14ac:dyDescent="0.25">
      <c r="A3105" s="10">
        <v>45703</v>
      </c>
      <c r="B3105" s="11" t="s">
        <v>2252</v>
      </c>
      <c r="C3105" s="11" t="s">
        <v>5670</v>
      </c>
      <c r="D3105" s="11">
        <v>17646</v>
      </c>
      <c r="E3105" s="11" t="s">
        <v>499</v>
      </c>
      <c r="F3105" s="11" t="s">
        <v>26</v>
      </c>
      <c r="G3105" s="11">
        <v>78958</v>
      </c>
      <c r="H3105" s="12" t="s">
        <v>4470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69" t="s">
        <v>26</v>
      </c>
      <c r="AA3105" s="12" t="s">
        <v>31</v>
      </c>
    </row>
    <row r="3106" spans="1:27" x14ac:dyDescent="0.25">
      <c r="A3106" s="10">
        <v>45703</v>
      </c>
      <c r="B3106" s="11" t="s">
        <v>473</v>
      </c>
      <c r="C3106" s="11" t="s">
        <v>5671</v>
      </c>
      <c r="D3106" s="11">
        <v>17647</v>
      </c>
      <c r="E3106" s="11" t="s">
        <v>187</v>
      </c>
      <c r="F3106" s="11" t="s">
        <v>26</v>
      </c>
      <c r="G3106" s="11" t="s">
        <v>26</v>
      </c>
      <c r="H3106" s="12" t="s">
        <v>4443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69" t="s">
        <v>144</v>
      </c>
      <c r="AA3106" s="12" t="s">
        <v>78</v>
      </c>
    </row>
    <row r="3107" spans="1:27" x14ac:dyDescent="0.25">
      <c r="A3107" s="10">
        <v>45703</v>
      </c>
      <c r="B3107" s="11" t="s">
        <v>3703</v>
      </c>
      <c r="C3107" s="11" t="s">
        <v>5672</v>
      </c>
      <c r="D3107" s="11">
        <v>17648</v>
      </c>
      <c r="E3107" s="11" t="s">
        <v>434</v>
      </c>
      <c r="F3107" s="11" t="s">
        <v>26</v>
      </c>
      <c r="G3107" s="11">
        <v>1052</v>
      </c>
      <c r="H3107" s="12" t="s">
        <v>115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Y3107" s="14">
        <f t="shared" ref="Y3107" si="1003">T3107-X3107</f>
        <v>0</v>
      </c>
      <c r="Z3107" s="69" t="s">
        <v>26</v>
      </c>
      <c r="AA3107" s="12" t="s">
        <v>31</v>
      </c>
    </row>
    <row r="3108" spans="1:27" x14ac:dyDescent="0.25">
      <c r="A3108" s="10">
        <v>45703</v>
      </c>
      <c r="B3108" s="11" t="s">
        <v>5673</v>
      </c>
      <c r="C3108" s="11" t="s">
        <v>5674</v>
      </c>
      <c r="D3108" s="11">
        <v>17649</v>
      </c>
      <c r="E3108" s="11" t="s">
        <v>486</v>
      </c>
      <c r="F3108" s="11" t="s">
        <v>26</v>
      </c>
      <c r="G3108" s="11" t="s">
        <v>26</v>
      </c>
      <c r="H3108" s="12" t="s">
        <v>4443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69" t="s">
        <v>41</v>
      </c>
      <c r="AA3108" s="12" t="s">
        <v>78</v>
      </c>
    </row>
    <row r="3109" spans="1:27" x14ac:dyDescent="0.25">
      <c r="A3109" s="10">
        <v>45703</v>
      </c>
      <c r="B3109" s="11" t="s">
        <v>5675</v>
      </c>
      <c r="C3109" s="11" t="s">
        <v>5676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4443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69" t="s">
        <v>144</v>
      </c>
      <c r="AA3109" s="12" t="s">
        <v>78</v>
      </c>
    </row>
    <row r="3110" spans="1:27" x14ac:dyDescent="0.25">
      <c r="A3110" s="10">
        <v>45703</v>
      </c>
      <c r="B3110" s="11" t="s">
        <v>5677</v>
      </c>
      <c r="C3110" s="11" t="s">
        <v>5678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4443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69" t="s">
        <v>41</v>
      </c>
      <c r="AA3110" s="12" t="s">
        <v>78</v>
      </c>
    </row>
    <row r="3111" spans="1:27" x14ac:dyDescent="0.25">
      <c r="A3111" s="10">
        <v>45703</v>
      </c>
      <c r="B3111" s="11" t="s">
        <v>5679</v>
      </c>
      <c r="C3111" s="11" t="s">
        <v>5680</v>
      </c>
      <c r="D3111" s="11">
        <v>17652</v>
      </c>
      <c r="E3111" s="11" t="s">
        <v>504</v>
      </c>
      <c r="F3111" s="11" t="s">
        <v>26</v>
      </c>
      <c r="G3111" s="11" t="s">
        <v>26</v>
      </c>
      <c r="H3111" s="12" t="s">
        <v>4443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69" t="s">
        <v>144</v>
      </c>
      <c r="AA3111" s="12" t="s">
        <v>78</v>
      </c>
    </row>
    <row r="3112" spans="1:27" x14ac:dyDescent="0.25">
      <c r="A3112" s="10">
        <v>45703</v>
      </c>
      <c r="B3112" s="11" t="s">
        <v>5681</v>
      </c>
      <c r="C3112" s="11" t="s">
        <v>5682</v>
      </c>
      <c r="D3112" s="11">
        <v>17653</v>
      </c>
      <c r="E3112" s="11" t="s">
        <v>5127</v>
      </c>
      <c r="F3112" s="11" t="s">
        <v>26</v>
      </c>
      <c r="G3112" s="11">
        <v>78104</v>
      </c>
      <c r="H3112" s="12" t="s">
        <v>4470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69" t="s">
        <v>26</v>
      </c>
      <c r="AA3112" s="12" t="s">
        <v>31</v>
      </c>
    </row>
    <row r="3113" spans="1:27" x14ac:dyDescent="0.25">
      <c r="A3113" s="10">
        <v>45703</v>
      </c>
      <c r="B3113" s="11" t="s">
        <v>5683</v>
      </c>
      <c r="C3113" s="11" t="s">
        <v>5684</v>
      </c>
      <c r="D3113" s="11">
        <v>17654</v>
      </c>
      <c r="E3113" s="11" t="s">
        <v>542</v>
      </c>
      <c r="F3113" s="11" t="s">
        <v>26</v>
      </c>
      <c r="G3113" s="11" t="s">
        <v>26</v>
      </c>
      <c r="H3113" s="12" t="s">
        <v>4443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69" t="s">
        <v>41</v>
      </c>
      <c r="AA3113" s="12" t="s">
        <v>78</v>
      </c>
    </row>
    <row r="3114" spans="1:27" x14ac:dyDescent="0.25">
      <c r="A3114" s="10">
        <v>45703</v>
      </c>
      <c r="B3114" s="11" t="s">
        <v>5685</v>
      </c>
      <c r="C3114" s="11" t="s">
        <v>5686</v>
      </c>
      <c r="D3114" s="11">
        <v>17655</v>
      </c>
      <c r="E3114" s="11" t="s">
        <v>249</v>
      </c>
      <c r="F3114" s="11" t="s">
        <v>26</v>
      </c>
      <c r="G3114" s="11" t="s">
        <v>26</v>
      </c>
      <c r="H3114" s="12" t="s">
        <v>4443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69" t="s">
        <v>41</v>
      </c>
      <c r="AA3114" s="12" t="s">
        <v>78</v>
      </c>
    </row>
    <row r="3115" spans="1:27" x14ac:dyDescent="0.25">
      <c r="A3115" s="10">
        <v>45703</v>
      </c>
      <c r="B3115" s="11" t="s">
        <v>696</v>
      </c>
      <c r="C3115" s="11" t="s">
        <v>5687</v>
      </c>
      <c r="D3115" s="11">
        <v>17656</v>
      </c>
      <c r="E3115" s="11" t="s">
        <v>438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569</v>
      </c>
      <c r="K3115" s="12" t="s">
        <v>553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69" t="s">
        <v>26</v>
      </c>
      <c r="AA3115" s="12" t="s">
        <v>31</v>
      </c>
    </row>
    <row r="3116" spans="1:27" x14ac:dyDescent="0.25">
      <c r="A3116" s="10">
        <v>45703</v>
      </c>
      <c r="B3116" s="11" t="s">
        <v>5688</v>
      </c>
      <c r="C3116" s="11" t="s">
        <v>5689</v>
      </c>
      <c r="D3116" s="11">
        <v>17657</v>
      </c>
      <c r="E3116" s="11" t="s">
        <v>1221</v>
      </c>
      <c r="F3116" s="11" t="s">
        <v>26</v>
      </c>
      <c r="G3116" s="11">
        <v>2970</v>
      </c>
      <c r="H3116" s="12" t="s">
        <v>166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69" t="s">
        <v>26</v>
      </c>
      <c r="AA3116" s="12" t="s">
        <v>31</v>
      </c>
    </row>
    <row r="3117" spans="1:27" x14ac:dyDescent="0.25">
      <c r="A3117" s="10">
        <v>45703</v>
      </c>
      <c r="B3117" s="11" t="s">
        <v>3338</v>
      </c>
      <c r="C3117" s="11" t="s">
        <v>5690</v>
      </c>
      <c r="D3117" s="11">
        <v>17658</v>
      </c>
      <c r="E3117" s="11" t="s">
        <v>92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69" t="s">
        <v>26</v>
      </c>
      <c r="AA3117" s="12" t="s">
        <v>31</v>
      </c>
    </row>
    <row r="3118" spans="1:27" x14ac:dyDescent="0.25">
      <c r="A3118" s="10">
        <v>45703</v>
      </c>
      <c r="B3118" s="11" t="s">
        <v>4282</v>
      </c>
      <c r="C3118" s="11" t="s">
        <v>5691</v>
      </c>
      <c r="D3118" s="11">
        <v>17659</v>
      </c>
      <c r="E3118" s="11" t="s">
        <v>243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69" t="s">
        <v>26</v>
      </c>
      <c r="AA3118" s="12" t="s">
        <v>31</v>
      </c>
    </row>
    <row r="3119" spans="1:27" x14ac:dyDescent="0.25">
      <c r="A3119" s="10">
        <v>45703</v>
      </c>
      <c r="B3119" s="11" t="s">
        <v>5692</v>
      </c>
      <c r="C3119" s="11" t="s">
        <v>5693</v>
      </c>
      <c r="D3119" s="11">
        <v>17660</v>
      </c>
      <c r="E3119" s="11" t="s">
        <v>449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69" t="s">
        <v>26</v>
      </c>
      <c r="AA3119" s="12" t="s">
        <v>31</v>
      </c>
    </row>
    <row r="3120" spans="1:27" x14ac:dyDescent="0.25">
      <c r="A3120" s="10">
        <v>45703</v>
      </c>
      <c r="B3120" s="11" t="s">
        <v>5694</v>
      </c>
      <c r="C3120" s="11" t="s">
        <v>5695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69" t="s">
        <v>26</v>
      </c>
      <c r="AA3120" s="12" t="s">
        <v>31</v>
      </c>
    </row>
    <row r="3121" spans="1:27" x14ac:dyDescent="0.25">
      <c r="A3121" s="10">
        <v>45703</v>
      </c>
      <c r="B3121" s="11" t="s">
        <v>5696</v>
      </c>
      <c r="C3121" s="11" t="s">
        <v>5697</v>
      </c>
      <c r="D3121" s="11">
        <v>17662</v>
      </c>
      <c r="E3121" s="11" t="s">
        <v>608</v>
      </c>
      <c r="F3121" s="11" t="s">
        <v>26</v>
      </c>
      <c r="G3121" s="11">
        <v>1067</v>
      </c>
      <c r="H3121" s="12" t="s">
        <v>144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69" t="s">
        <v>26</v>
      </c>
      <c r="AA3121" s="12" t="s">
        <v>31</v>
      </c>
    </row>
    <row r="3122" spans="1:27" x14ac:dyDescent="0.25">
      <c r="A3122" s="10">
        <v>45703</v>
      </c>
      <c r="B3122" s="11" t="s">
        <v>5297</v>
      </c>
      <c r="C3122" s="11" t="s">
        <v>5698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69" t="s">
        <v>26</v>
      </c>
      <c r="AA3122" s="12" t="s">
        <v>31</v>
      </c>
    </row>
    <row r="3123" spans="1:27" x14ac:dyDescent="0.25">
      <c r="A3123" s="10">
        <v>45703</v>
      </c>
      <c r="B3123" s="11" t="s">
        <v>5699</v>
      </c>
      <c r="C3123" s="11" t="s">
        <v>5700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69" t="s">
        <v>26</v>
      </c>
      <c r="AA3123" s="12" t="s">
        <v>31</v>
      </c>
    </row>
    <row r="3124" spans="1:27" x14ac:dyDescent="0.25">
      <c r="A3124" s="10">
        <v>45703</v>
      </c>
      <c r="B3124" s="11" t="s">
        <v>5701</v>
      </c>
      <c r="C3124" s="11" t="s">
        <v>5702</v>
      </c>
      <c r="D3124" s="11">
        <v>17665</v>
      </c>
      <c r="E3124" s="11" t="s">
        <v>564</v>
      </c>
      <c r="F3124" s="11" t="s">
        <v>26</v>
      </c>
      <c r="G3124" s="11">
        <v>112876</v>
      </c>
      <c r="H3124" s="12" t="s">
        <v>4468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69" t="s">
        <v>26</v>
      </c>
      <c r="AA3124" s="12" t="s">
        <v>31</v>
      </c>
    </row>
    <row r="3125" spans="1:27" x14ac:dyDescent="0.25">
      <c r="A3125" s="10">
        <v>45703</v>
      </c>
      <c r="B3125" s="11" t="s">
        <v>5703</v>
      </c>
      <c r="C3125" s="11" t="s">
        <v>5704</v>
      </c>
      <c r="D3125" s="11">
        <v>17666</v>
      </c>
      <c r="E3125" s="11" t="s">
        <v>325</v>
      </c>
      <c r="F3125" s="11" t="s">
        <v>26</v>
      </c>
      <c r="G3125" s="11">
        <v>112870</v>
      </c>
      <c r="H3125" s="12" t="s">
        <v>4468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69" t="s">
        <v>26</v>
      </c>
      <c r="AA3125" s="12" t="s">
        <v>31</v>
      </c>
    </row>
    <row r="3126" spans="1:27" x14ac:dyDescent="0.25">
      <c r="A3126" s="10">
        <v>45703</v>
      </c>
      <c r="B3126" s="11" t="s">
        <v>5705</v>
      </c>
      <c r="C3126" s="11" t="s">
        <v>5706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69" t="s">
        <v>26</v>
      </c>
      <c r="AA3126" s="12" t="s">
        <v>31</v>
      </c>
    </row>
    <row r="3127" spans="1:27" x14ac:dyDescent="0.25">
      <c r="A3127" s="10">
        <v>45703</v>
      </c>
      <c r="B3127" s="11" t="s">
        <v>1126</v>
      </c>
      <c r="C3127" s="11" t="s">
        <v>5707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143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40</v>
      </c>
      <c r="P3127" s="13"/>
      <c r="Q3127" s="13">
        <v>0</v>
      </c>
      <c r="R3127" s="72">
        <f>+L3127*O3127</f>
        <v>1744</v>
      </c>
      <c r="S3127" s="72">
        <v>0</v>
      </c>
      <c r="T3127" s="72">
        <f>+L3127*S3127</f>
        <v>0</v>
      </c>
      <c r="U3127" s="72">
        <f>+R3127-T3127</f>
        <v>1744</v>
      </c>
      <c r="V3127" s="72">
        <f t="shared" ref="V3127" si="1029">+U3127*0</f>
        <v>0</v>
      </c>
      <c r="W3127" s="72">
        <f>+U3127-V3127</f>
        <v>1744</v>
      </c>
      <c r="X3127" s="72">
        <v>0</v>
      </c>
      <c r="Y3127" s="14">
        <f t="shared" si="1012"/>
        <v>0</v>
      </c>
      <c r="Z3127" s="69" t="s">
        <v>26</v>
      </c>
      <c r="AA3127" s="12" t="s">
        <v>31</v>
      </c>
    </row>
    <row r="3128" spans="1:27" x14ac:dyDescent="0.25">
      <c r="A3128" s="10">
        <v>45703</v>
      </c>
      <c r="B3128" s="11" t="s">
        <v>5708</v>
      </c>
      <c r="C3128" s="11" t="s">
        <v>5709</v>
      </c>
      <c r="D3128" s="11">
        <v>17669</v>
      </c>
      <c r="E3128" s="11" t="s">
        <v>5233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69" t="s">
        <v>26</v>
      </c>
      <c r="AA3128" s="12" t="s">
        <v>31</v>
      </c>
    </row>
    <row r="3129" spans="1:27" x14ac:dyDescent="0.25">
      <c r="A3129" s="10">
        <v>45703</v>
      </c>
      <c r="B3129" s="11" t="s">
        <v>5710</v>
      </c>
      <c r="C3129" s="11" t="s">
        <v>5711</v>
      </c>
      <c r="D3129" s="11">
        <v>17670</v>
      </c>
      <c r="E3129" s="11" t="s">
        <v>227</v>
      </c>
      <c r="F3129" s="11" t="s">
        <v>26</v>
      </c>
      <c r="G3129" s="11">
        <v>3219</v>
      </c>
      <c r="H3129" s="12" t="s">
        <v>4444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69" t="s">
        <v>26</v>
      </c>
      <c r="AA3129" s="12" t="s">
        <v>31</v>
      </c>
    </row>
    <row r="3130" spans="1:27" x14ac:dyDescent="0.25">
      <c r="A3130" s="10">
        <v>45703</v>
      </c>
      <c r="B3130" s="11" t="s">
        <v>5712</v>
      </c>
      <c r="C3130" s="11" t="s">
        <v>5713</v>
      </c>
      <c r="D3130" s="11">
        <v>17671</v>
      </c>
      <c r="E3130" s="11" t="s">
        <v>187</v>
      </c>
      <c r="F3130" s="11" t="s">
        <v>26</v>
      </c>
      <c r="G3130" s="11">
        <v>1018</v>
      </c>
      <c r="H3130" s="12" t="s">
        <v>144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69" t="s">
        <v>26</v>
      </c>
      <c r="AA3130" s="12" t="s">
        <v>31</v>
      </c>
    </row>
    <row r="3131" spans="1:27" x14ac:dyDescent="0.25">
      <c r="A3131" s="10">
        <v>45703</v>
      </c>
      <c r="B3131" s="11" t="s">
        <v>5714</v>
      </c>
      <c r="C3131" s="11" t="s">
        <v>5715</v>
      </c>
      <c r="D3131" s="11">
        <v>17672</v>
      </c>
      <c r="E3131" s="11" t="s">
        <v>596</v>
      </c>
      <c r="F3131" s="11" t="s">
        <v>26</v>
      </c>
      <c r="G3131" s="11">
        <v>44336</v>
      </c>
      <c r="H3131" s="12" t="s">
        <v>4444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69" t="s">
        <v>26</v>
      </c>
      <c r="AA3131" s="12" t="s">
        <v>31</v>
      </c>
    </row>
    <row r="3132" spans="1:27" x14ac:dyDescent="0.25">
      <c r="A3132" s="10">
        <v>45703</v>
      </c>
      <c r="B3132" s="11" t="s">
        <v>2570</v>
      </c>
      <c r="C3132" s="11" t="s">
        <v>5716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144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69" t="s">
        <v>26</v>
      </c>
      <c r="AA3132" s="12" t="s">
        <v>31</v>
      </c>
    </row>
    <row r="3133" spans="1:27" x14ac:dyDescent="0.25">
      <c r="A3133" s="10">
        <v>45703</v>
      </c>
      <c r="B3133" s="11" t="s">
        <v>5717</v>
      </c>
      <c r="C3133" s="11" t="s">
        <v>5718</v>
      </c>
      <c r="D3133" s="11">
        <v>17674</v>
      </c>
      <c r="E3133" s="11" t="s">
        <v>5233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69" t="s">
        <v>26</v>
      </c>
      <c r="AA3133" s="12" t="s">
        <v>31</v>
      </c>
    </row>
    <row r="3134" spans="1:27" x14ac:dyDescent="0.25">
      <c r="A3134" s="10">
        <v>45703</v>
      </c>
      <c r="B3134" s="11" t="s">
        <v>5719</v>
      </c>
      <c r="C3134" s="11" t="s">
        <v>5720</v>
      </c>
      <c r="D3134" s="11">
        <v>17675</v>
      </c>
      <c r="E3134" s="11" t="s">
        <v>573</v>
      </c>
      <c r="F3134" s="11" t="s">
        <v>26</v>
      </c>
      <c r="G3134" s="11">
        <v>10757</v>
      </c>
      <c r="H3134" s="12" t="s">
        <v>143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69" t="s">
        <v>26</v>
      </c>
      <c r="AA3134" s="12" t="s">
        <v>31</v>
      </c>
    </row>
    <row r="3135" spans="1:27" x14ac:dyDescent="0.25">
      <c r="A3135" s="10">
        <v>45703</v>
      </c>
      <c r="B3135" s="11" t="s">
        <v>5721</v>
      </c>
      <c r="C3135" s="11" t="s">
        <v>5722</v>
      </c>
      <c r="D3135" s="11">
        <v>17676</v>
      </c>
      <c r="E3135" s="11" t="s">
        <v>592</v>
      </c>
      <c r="F3135" s="11" t="s">
        <v>26</v>
      </c>
      <c r="G3135" s="11">
        <v>56924</v>
      </c>
      <c r="H3135" s="12" t="s">
        <v>4444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69" t="s">
        <v>26</v>
      </c>
      <c r="AA3135" s="12" t="s">
        <v>31</v>
      </c>
    </row>
    <row r="3136" spans="1:27" x14ac:dyDescent="0.25">
      <c r="A3136" s="10">
        <v>45703</v>
      </c>
      <c r="B3136" s="11" t="s">
        <v>5723</v>
      </c>
      <c r="C3136" s="11" t="s">
        <v>5724</v>
      </c>
      <c r="D3136" s="11">
        <v>17677</v>
      </c>
      <c r="E3136" s="11" t="s">
        <v>434</v>
      </c>
      <c r="F3136" s="11" t="s">
        <v>26</v>
      </c>
      <c r="G3136" s="11">
        <v>1053</v>
      </c>
      <c r="H3136" s="12" t="s">
        <v>115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Y3136" s="14">
        <f t="shared" si="1012"/>
        <v>0</v>
      </c>
      <c r="Z3136" s="69" t="s">
        <v>26</v>
      </c>
      <c r="AA3136" s="12" t="s">
        <v>31</v>
      </c>
    </row>
    <row r="3137" spans="1:27" x14ac:dyDescent="0.25">
      <c r="A3137" s="10">
        <v>45703</v>
      </c>
      <c r="B3137" s="11" t="s">
        <v>5725</v>
      </c>
      <c r="C3137" s="11" t="s">
        <v>5726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1930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69" t="s">
        <v>26</v>
      </c>
      <c r="AA3137" s="12" t="s">
        <v>31</v>
      </c>
    </row>
    <row r="3138" spans="1:27" x14ac:dyDescent="0.25">
      <c r="A3138" s="10">
        <v>45703</v>
      </c>
      <c r="B3138" s="11" t="s">
        <v>5727</v>
      </c>
      <c r="C3138" s="11" t="s">
        <v>5728</v>
      </c>
      <c r="D3138" s="11">
        <v>17679</v>
      </c>
      <c r="E3138" s="11" t="s">
        <v>486</v>
      </c>
      <c r="F3138" s="11" t="s">
        <v>26</v>
      </c>
      <c r="G3138" s="11" t="s">
        <v>26</v>
      </c>
      <c r="H3138" s="12" t="s">
        <v>149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69" t="s">
        <v>41</v>
      </c>
      <c r="AA3138" s="12" t="s">
        <v>79</v>
      </c>
    </row>
    <row r="3139" spans="1:27" x14ac:dyDescent="0.25">
      <c r="A3139" s="10">
        <v>45703</v>
      </c>
      <c r="B3139" s="11" t="s">
        <v>3936</v>
      </c>
      <c r="C3139" s="11" t="s">
        <v>5729</v>
      </c>
      <c r="D3139" s="11">
        <v>17680</v>
      </c>
      <c r="E3139" s="11" t="s">
        <v>5218</v>
      </c>
      <c r="F3139" s="11" t="s">
        <v>26</v>
      </c>
      <c r="G3139" s="11">
        <v>78005</v>
      </c>
      <c r="H3139" s="12" t="s">
        <v>4470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69" t="s">
        <v>26</v>
      </c>
      <c r="AA3139" s="12" t="s">
        <v>31</v>
      </c>
    </row>
    <row r="3140" spans="1:27" x14ac:dyDescent="0.25">
      <c r="A3140" s="10">
        <v>45703</v>
      </c>
      <c r="B3140" s="11" t="s">
        <v>5730</v>
      </c>
      <c r="C3140" s="11" t="s">
        <v>5731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69" t="s">
        <v>26</v>
      </c>
      <c r="AA3140" s="12" t="s">
        <v>31</v>
      </c>
    </row>
    <row r="3141" spans="1:27" x14ac:dyDescent="0.25">
      <c r="A3141" s="10">
        <v>45703</v>
      </c>
      <c r="B3141" s="11" t="s">
        <v>5732</v>
      </c>
      <c r="C3141" s="11" t="s">
        <v>5733</v>
      </c>
      <c r="D3141" s="11">
        <v>17682</v>
      </c>
      <c r="E3141" s="11" t="s">
        <v>5233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69" t="s">
        <v>26</v>
      </c>
      <c r="AA3141" s="12" t="s">
        <v>31</v>
      </c>
    </row>
    <row r="3142" spans="1:27" x14ac:dyDescent="0.25">
      <c r="A3142" s="10">
        <v>45703</v>
      </c>
      <c r="B3142" s="11" t="s">
        <v>2299</v>
      </c>
      <c r="C3142" s="11" t="s">
        <v>5734</v>
      </c>
      <c r="D3142" s="11">
        <v>17683</v>
      </c>
      <c r="E3142" s="11" t="s">
        <v>4583</v>
      </c>
      <c r="F3142" s="11" t="s">
        <v>26</v>
      </c>
      <c r="G3142" s="11">
        <v>2723</v>
      </c>
      <c r="H3142" s="12" t="s">
        <v>207</v>
      </c>
      <c r="I3142" s="12" t="s">
        <v>37</v>
      </c>
      <c r="J3142" s="12" t="s">
        <v>5735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69" t="s">
        <v>26</v>
      </c>
      <c r="AA3142" s="12" t="s">
        <v>31</v>
      </c>
    </row>
    <row r="3143" spans="1:27" x14ac:dyDescent="0.25">
      <c r="A3143" s="10">
        <v>45703</v>
      </c>
      <c r="B3143" s="11" t="s">
        <v>5736</v>
      </c>
      <c r="C3143" s="11" t="s">
        <v>5737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69" t="s">
        <v>26</v>
      </c>
      <c r="AA3143" s="12" t="s">
        <v>31</v>
      </c>
    </row>
    <row r="3144" spans="1:27" x14ac:dyDescent="0.25">
      <c r="A3144" s="10">
        <v>45703</v>
      </c>
      <c r="B3144" s="11" t="s">
        <v>5738</v>
      </c>
      <c r="C3144" s="11" t="s">
        <v>5739</v>
      </c>
      <c r="D3144" s="11">
        <v>17685</v>
      </c>
      <c r="E3144" s="11" t="s">
        <v>564</v>
      </c>
      <c r="F3144" s="11" t="s">
        <v>26</v>
      </c>
      <c r="G3144" s="11">
        <v>112878</v>
      </c>
      <c r="H3144" s="12" t="s">
        <v>4468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69" t="s">
        <v>26</v>
      </c>
      <c r="AA3144" s="12" t="s">
        <v>31</v>
      </c>
    </row>
    <row r="3145" spans="1:27" x14ac:dyDescent="0.25">
      <c r="A3145" s="10">
        <v>45703</v>
      </c>
      <c r="B3145" s="11" t="s">
        <v>5584</v>
      </c>
      <c r="C3145" s="11" t="s">
        <v>5740</v>
      </c>
      <c r="D3145" s="11">
        <v>17686</v>
      </c>
      <c r="E3145" s="11" t="s">
        <v>443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69" t="s">
        <v>26</v>
      </c>
      <c r="AA3145" s="12" t="s">
        <v>31</v>
      </c>
    </row>
    <row r="3146" spans="1:27" x14ac:dyDescent="0.25">
      <c r="A3146" s="10">
        <v>45703</v>
      </c>
      <c r="B3146" s="11" t="s">
        <v>5473</v>
      </c>
      <c r="C3146" s="11" t="s">
        <v>5741</v>
      </c>
      <c r="D3146" s="11">
        <v>17687</v>
      </c>
      <c r="E3146" s="11" t="s">
        <v>654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69" t="s">
        <v>26</v>
      </c>
      <c r="AA3146" s="12" t="s">
        <v>31</v>
      </c>
    </row>
    <row r="3147" spans="1:27" x14ac:dyDescent="0.25">
      <c r="A3147" s="10">
        <v>45703</v>
      </c>
      <c r="B3147" s="11" t="s">
        <v>5742</v>
      </c>
      <c r="C3147" s="11" t="s">
        <v>5743</v>
      </c>
      <c r="D3147" s="11">
        <v>17688</v>
      </c>
      <c r="E3147" s="11" t="s">
        <v>1221</v>
      </c>
      <c r="F3147" s="11" t="s">
        <v>26</v>
      </c>
      <c r="G3147" s="11">
        <v>2971</v>
      </c>
      <c r="H3147" s="12" t="s">
        <v>166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69" t="s">
        <v>26</v>
      </c>
      <c r="AA3147" s="12" t="s">
        <v>31</v>
      </c>
    </row>
    <row r="3148" spans="1:27" x14ac:dyDescent="0.25">
      <c r="A3148" s="10">
        <v>45703</v>
      </c>
      <c r="B3148" s="11" t="s">
        <v>5744</v>
      </c>
      <c r="C3148" s="11" t="s">
        <v>5745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143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69" t="s">
        <v>26</v>
      </c>
      <c r="AA3148" s="12" t="s">
        <v>31</v>
      </c>
    </row>
    <row r="3149" spans="1:27" x14ac:dyDescent="0.25">
      <c r="A3149" s="10">
        <v>45703</v>
      </c>
      <c r="B3149" s="11" t="s">
        <v>5746</v>
      </c>
      <c r="C3149" s="11" t="s">
        <v>5747</v>
      </c>
      <c r="D3149" s="11">
        <v>17690</v>
      </c>
      <c r="E3149" s="11" t="s">
        <v>662</v>
      </c>
      <c r="F3149" s="11" t="s">
        <v>26</v>
      </c>
      <c r="G3149" s="11">
        <v>871</v>
      </c>
      <c r="H3149" s="12" t="s">
        <v>144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69" t="s">
        <v>26</v>
      </c>
      <c r="AA3149" s="12" t="s">
        <v>31</v>
      </c>
    </row>
    <row r="3150" spans="1:27" x14ac:dyDescent="0.25">
      <c r="A3150" s="10">
        <v>45703</v>
      </c>
      <c r="B3150" s="11" t="s">
        <v>5748</v>
      </c>
      <c r="C3150" s="11" t="s">
        <v>5749</v>
      </c>
      <c r="D3150" s="11">
        <v>17691</v>
      </c>
      <c r="E3150" s="11" t="s">
        <v>5750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69" t="s">
        <v>26</v>
      </c>
      <c r="AA3150" s="12" t="s">
        <v>31</v>
      </c>
    </row>
    <row r="3151" spans="1:27" x14ac:dyDescent="0.25">
      <c r="A3151" s="10">
        <v>45703</v>
      </c>
      <c r="B3151" s="11" t="s">
        <v>5751</v>
      </c>
      <c r="C3151" s="11" t="s">
        <v>5752</v>
      </c>
      <c r="D3151" s="11">
        <v>17692</v>
      </c>
      <c r="E3151" s="11" t="s">
        <v>98</v>
      </c>
      <c r="F3151" s="11" t="s">
        <v>26</v>
      </c>
      <c r="G3151" s="11">
        <v>9858</v>
      </c>
      <c r="H3151" s="12" t="s">
        <v>4469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69" t="s">
        <v>26</v>
      </c>
      <c r="AA3151" s="12" t="s">
        <v>31</v>
      </c>
    </row>
    <row r="3152" spans="1:27" x14ac:dyDescent="0.25">
      <c r="A3152" s="10">
        <v>45703</v>
      </c>
      <c r="B3152" s="11" t="s">
        <v>643</v>
      </c>
      <c r="C3152" s="11" t="s">
        <v>5753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69" t="s">
        <v>26</v>
      </c>
      <c r="AA3152" s="12" t="s">
        <v>31</v>
      </c>
    </row>
    <row r="3153" spans="1:27" x14ac:dyDescent="0.25">
      <c r="A3153" s="10">
        <v>45703</v>
      </c>
      <c r="B3153" s="11" t="s">
        <v>2759</v>
      </c>
      <c r="C3153" s="11" t="s">
        <v>5754</v>
      </c>
      <c r="D3153" s="11">
        <v>17694</v>
      </c>
      <c r="E3153" s="11" t="s">
        <v>5233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69" t="s">
        <v>26</v>
      </c>
      <c r="AA3153" s="12" t="s">
        <v>31</v>
      </c>
    </row>
    <row r="3154" spans="1:27" x14ac:dyDescent="0.25">
      <c r="A3154" s="10">
        <v>45703</v>
      </c>
      <c r="B3154" s="11" t="s">
        <v>271</v>
      </c>
      <c r="C3154" s="11" t="s">
        <v>5755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69" t="s">
        <v>26</v>
      </c>
      <c r="AA3154" s="12" t="s">
        <v>31</v>
      </c>
    </row>
    <row r="3155" spans="1:27" x14ac:dyDescent="0.25">
      <c r="A3155" s="10">
        <v>45703</v>
      </c>
      <c r="B3155" s="11" t="s">
        <v>5756</v>
      </c>
      <c r="C3155" s="11" t="s">
        <v>5757</v>
      </c>
      <c r="D3155" s="11">
        <v>17696</v>
      </c>
      <c r="E3155" s="11" t="s">
        <v>504</v>
      </c>
      <c r="F3155" s="11" t="s">
        <v>26</v>
      </c>
      <c r="G3155" s="11" t="s">
        <v>26</v>
      </c>
      <c r="H3155" s="12" t="s">
        <v>4443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69" t="s">
        <v>144</v>
      </c>
      <c r="AA3155" s="12" t="s">
        <v>78</v>
      </c>
    </row>
    <row r="3156" spans="1:27" x14ac:dyDescent="0.25">
      <c r="A3156" s="10">
        <v>45703</v>
      </c>
      <c r="B3156" s="11" t="s">
        <v>5758</v>
      </c>
      <c r="C3156" s="11" t="s">
        <v>5759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4443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69" t="s">
        <v>144</v>
      </c>
      <c r="AA3156" s="12" t="s">
        <v>78</v>
      </c>
    </row>
    <row r="3157" spans="1:27" x14ac:dyDescent="0.25">
      <c r="A3157" s="10">
        <v>45703</v>
      </c>
      <c r="B3157" s="11" t="s">
        <v>383</v>
      </c>
      <c r="C3157" s="11" t="s">
        <v>5760</v>
      </c>
      <c r="D3157" s="11">
        <v>17698</v>
      </c>
      <c r="E3157" s="11" t="s">
        <v>512</v>
      </c>
      <c r="F3157" s="11" t="s">
        <v>26</v>
      </c>
      <c r="G3157" s="11">
        <v>1317</v>
      </c>
      <c r="H3157" s="12" t="s">
        <v>144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69" t="s">
        <v>26</v>
      </c>
      <c r="AA3157" s="12" t="s">
        <v>31</v>
      </c>
    </row>
    <row r="3158" spans="1:27" x14ac:dyDescent="0.25">
      <c r="A3158" s="10">
        <v>45703</v>
      </c>
      <c r="B3158" s="11" t="s">
        <v>5477</v>
      </c>
      <c r="C3158" s="11" t="s">
        <v>5761</v>
      </c>
      <c r="D3158" s="11">
        <v>17699</v>
      </c>
      <c r="E3158" s="11" t="s">
        <v>445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69" t="s">
        <v>26</v>
      </c>
      <c r="AA3158" s="12" t="s">
        <v>31</v>
      </c>
    </row>
    <row r="3159" spans="1:27" x14ac:dyDescent="0.25">
      <c r="A3159" s="10">
        <v>45703</v>
      </c>
      <c r="B3159" s="11" t="s">
        <v>3899</v>
      </c>
      <c r="C3159" s="11" t="s">
        <v>5762</v>
      </c>
      <c r="D3159" s="11">
        <v>17700</v>
      </c>
      <c r="E3159" s="11" t="s">
        <v>5763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69" t="s">
        <v>26</v>
      </c>
      <c r="AA3159" s="12" t="s">
        <v>31</v>
      </c>
    </row>
    <row r="3160" spans="1:27" x14ac:dyDescent="0.25">
      <c r="A3160" s="10">
        <v>45703</v>
      </c>
      <c r="B3160" s="11" t="s">
        <v>5764</v>
      </c>
      <c r="C3160" s="11" t="s">
        <v>5765</v>
      </c>
      <c r="D3160" s="11">
        <v>17701</v>
      </c>
      <c r="E3160" s="11" t="s">
        <v>5766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69" t="s">
        <v>26</v>
      </c>
      <c r="AA3160" s="12" t="s">
        <v>31</v>
      </c>
    </row>
    <row r="3161" spans="1:27" x14ac:dyDescent="0.25">
      <c r="A3161" s="10">
        <v>45703</v>
      </c>
      <c r="B3161" s="11" t="s">
        <v>5767</v>
      </c>
      <c r="C3161" s="11" t="s">
        <v>5768</v>
      </c>
      <c r="D3161" s="11">
        <v>17702</v>
      </c>
      <c r="E3161" s="11" t="s">
        <v>5769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69" t="s">
        <v>26</v>
      </c>
      <c r="AA3161" s="12" t="s">
        <v>31</v>
      </c>
    </row>
    <row r="3162" spans="1:27" x14ac:dyDescent="0.25">
      <c r="A3162" s="10">
        <v>45703</v>
      </c>
      <c r="B3162" s="11" t="s">
        <v>255</v>
      </c>
      <c r="C3162" s="11" t="s">
        <v>5770</v>
      </c>
      <c r="D3162" s="11">
        <v>17703</v>
      </c>
      <c r="E3162" s="11" t="s">
        <v>573</v>
      </c>
      <c r="F3162" s="11" t="s">
        <v>26</v>
      </c>
      <c r="G3162" s="11">
        <v>10758</v>
      </c>
      <c r="H3162" s="12" t="s">
        <v>143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69" t="s">
        <v>26</v>
      </c>
      <c r="AA3162" s="12" t="s">
        <v>31</v>
      </c>
    </row>
    <row r="3163" spans="1:27" x14ac:dyDescent="0.25">
      <c r="A3163" s="10">
        <v>45703</v>
      </c>
      <c r="B3163" s="11" t="s">
        <v>178</v>
      </c>
      <c r="C3163" s="11" t="s">
        <v>5771</v>
      </c>
      <c r="D3163" s="11">
        <v>17704</v>
      </c>
      <c r="E3163" s="11" t="s">
        <v>608</v>
      </c>
      <c r="F3163" s="11" t="s">
        <v>26</v>
      </c>
      <c r="G3163" s="11">
        <v>1068</v>
      </c>
      <c r="H3163" s="12" t="s">
        <v>144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69" t="s">
        <v>26</v>
      </c>
      <c r="AA3163" s="12" t="s">
        <v>31</v>
      </c>
    </row>
    <row r="3164" spans="1:27" x14ac:dyDescent="0.25">
      <c r="A3164" s="10">
        <v>45703</v>
      </c>
      <c r="B3164" s="11" t="s">
        <v>5772</v>
      </c>
      <c r="C3164" s="11" t="s">
        <v>5773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69" t="s">
        <v>26</v>
      </c>
      <c r="AA3164" s="12" t="s">
        <v>31</v>
      </c>
    </row>
    <row r="3165" spans="1:27" x14ac:dyDescent="0.25">
      <c r="A3165" s="10">
        <v>45703</v>
      </c>
      <c r="B3165" s="11" t="s">
        <v>4067</v>
      </c>
      <c r="C3165" s="11" t="s">
        <v>5774</v>
      </c>
      <c r="D3165" s="11">
        <v>17706</v>
      </c>
      <c r="E3165" s="11" t="s">
        <v>5393</v>
      </c>
      <c r="F3165" s="11" t="s">
        <v>26</v>
      </c>
      <c r="G3165" s="11">
        <v>10195</v>
      </c>
      <c r="H3165" s="12" t="s">
        <v>143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69" t="s">
        <v>26</v>
      </c>
      <c r="AA3165" s="12" t="s">
        <v>31</v>
      </c>
    </row>
    <row r="3166" spans="1:27" x14ac:dyDescent="0.25">
      <c r="A3166" s="10">
        <v>45703</v>
      </c>
      <c r="B3166" s="11" t="s">
        <v>5775</v>
      </c>
      <c r="C3166" s="11" t="s">
        <v>5776</v>
      </c>
      <c r="D3166" s="11">
        <v>17707</v>
      </c>
      <c r="E3166" s="11" t="s">
        <v>5519</v>
      </c>
      <c r="F3166" s="11" t="s">
        <v>26</v>
      </c>
      <c r="G3166" s="11">
        <v>1264</v>
      </c>
      <c r="H3166" s="12" t="s">
        <v>144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69" t="s">
        <v>26</v>
      </c>
      <c r="AA3166" s="12" t="s">
        <v>31</v>
      </c>
    </row>
    <row r="3167" spans="1:27" x14ac:dyDescent="0.25">
      <c r="A3167" s="10">
        <v>45705</v>
      </c>
      <c r="B3167" s="11" t="s">
        <v>5777</v>
      </c>
      <c r="C3167" s="11" t="s">
        <v>5778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4470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69" t="s">
        <v>26</v>
      </c>
      <c r="AA3167" s="12" t="s">
        <v>31</v>
      </c>
    </row>
    <row r="3168" spans="1:27" x14ac:dyDescent="0.25">
      <c r="A3168" s="10">
        <v>45705</v>
      </c>
      <c r="B3168" s="11" t="s">
        <v>5779</v>
      </c>
      <c r="C3168" s="11" t="s">
        <v>5780</v>
      </c>
      <c r="D3168" s="11">
        <v>17709</v>
      </c>
      <c r="E3168" s="11" t="s">
        <v>325</v>
      </c>
      <c r="F3168" s="11" t="s">
        <v>26</v>
      </c>
      <c r="G3168" s="11">
        <v>112883</v>
      </c>
      <c r="H3168" s="12" t="s">
        <v>4468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69" t="s">
        <v>26</v>
      </c>
      <c r="AA3168" s="12" t="s">
        <v>31</v>
      </c>
    </row>
    <row r="3169" spans="1:27" x14ac:dyDescent="0.25">
      <c r="A3169" s="10">
        <v>45705</v>
      </c>
      <c r="B3169" s="11" t="s">
        <v>5781</v>
      </c>
      <c r="C3169" s="11" t="s">
        <v>5782</v>
      </c>
      <c r="D3169" s="11">
        <v>17710</v>
      </c>
      <c r="E3169" s="11" t="s">
        <v>227</v>
      </c>
      <c r="F3169" s="11" t="s">
        <v>26</v>
      </c>
      <c r="G3169" s="11">
        <v>3221</v>
      </c>
      <c r="H3169" s="12" t="s">
        <v>4444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69" t="s">
        <v>26</v>
      </c>
      <c r="AA3169" s="12" t="s">
        <v>31</v>
      </c>
    </row>
    <row r="3170" spans="1:27" x14ac:dyDescent="0.25">
      <c r="A3170" s="10">
        <v>45705</v>
      </c>
      <c r="B3170" s="11" t="s">
        <v>3344</v>
      </c>
      <c r="C3170" s="11" t="s">
        <v>5783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4470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69" t="s">
        <v>26</v>
      </c>
      <c r="AA3170" s="12" t="s">
        <v>31</v>
      </c>
    </row>
    <row r="3171" spans="1:27" x14ac:dyDescent="0.25">
      <c r="A3171" s="10">
        <v>45705</v>
      </c>
      <c r="B3171" s="11" t="s">
        <v>5784</v>
      </c>
      <c r="C3171" s="11" t="s">
        <v>5785</v>
      </c>
      <c r="D3171" s="11">
        <v>17712</v>
      </c>
      <c r="E3171" s="11" t="s">
        <v>187</v>
      </c>
      <c r="F3171" s="11" t="s">
        <v>26</v>
      </c>
      <c r="G3171" s="11">
        <v>1019</v>
      </c>
      <c r="H3171" s="12" t="s">
        <v>144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69" t="s">
        <v>26</v>
      </c>
      <c r="AA3171" s="12" t="s">
        <v>31</v>
      </c>
    </row>
    <row r="3172" spans="1:27" x14ac:dyDescent="0.25">
      <c r="A3172" s="10">
        <v>45705</v>
      </c>
      <c r="B3172" s="11" t="s">
        <v>5297</v>
      </c>
      <c r="C3172" s="11" t="s">
        <v>5786</v>
      </c>
      <c r="D3172" s="11">
        <v>17713</v>
      </c>
      <c r="E3172" s="11" t="s">
        <v>434</v>
      </c>
      <c r="F3172" s="11" t="s">
        <v>26</v>
      </c>
      <c r="G3172" s="11" t="s">
        <v>26</v>
      </c>
      <c r="H3172" s="12" t="s">
        <v>4443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69" t="s">
        <v>115</v>
      </c>
      <c r="AA3172" s="12" t="s">
        <v>78</v>
      </c>
    </row>
    <row r="3173" spans="1:27" x14ac:dyDescent="0.25">
      <c r="A3173" s="10">
        <v>45705</v>
      </c>
      <c r="B3173" s="11" t="s">
        <v>5787</v>
      </c>
      <c r="C3173" s="11" t="s">
        <v>5788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144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69" t="s">
        <v>26</v>
      </c>
      <c r="AA3173" s="12" t="s">
        <v>31</v>
      </c>
    </row>
    <row r="3174" spans="1:27" x14ac:dyDescent="0.25">
      <c r="A3174" s="10">
        <v>45705</v>
      </c>
      <c r="B3174" s="11" t="s">
        <v>3916</v>
      </c>
      <c r="C3174" s="11" t="s">
        <v>5789</v>
      </c>
      <c r="D3174" s="11">
        <v>17715</v>
      </c>
      <c r="E3174" s="11" t="s">
        <v>249</v>
      </c>
      <c r="F3174" s="11" t="s">
        <v>26</v>
      </c>
      <c r="G3174" s="11" t="s">
        <v>26</v>
      </c>
      <c r="H3174" s="12" t="s">
        <v>4443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69" t="s">
        <v>41</v>
      </c>
      <c r="AA3174" s="12" t="s">
        <v>78</v>
      </c>
    </row>
    <row r="3175" spans="1:27" x14ac:dyDescent="0.25">
      <c r="A3175" s="10">
        <v>45705</v>
      </c>
      <c r="B3175" s="11" t="s">
        <v>253</v>
      </c>
      <c r="C3175" s="11" t="s">
        <v>5790</v>
      </c>
      <c r="D3175" s="11">
        <v>17716</v>
      </c>
      <c r="E3175" s="11" t="s">
        <v>608</v>
      </c>
      <c r="F3175" s="11" t="s">
        <v>26</v>
      </c>
      <c r="G3175" s="11">
        <v>1069</v>
      </c>
      <c r="H3175" s="12" t="s">
        <v>144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69" t="s">
        <v>26</v>
      </c>
      <c r="AA3175" s="12" t="s">
        <v>31</v>
      </c>
    </row>
    <row r="3176" spans="1:27" x14ac:dyDescent="0.25">
      <c r="A3176" s="10">
        <v>45705</v>
      </c>
      <c r="B3176" s="11" t="s">
        <v>3004</v>
      </c>
      <c r="C3176" s="11" t="s">
        <v>5791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4443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69" t="s">
        <v>41</v>
      </c>
      <c r="AA3176" s="12" t="s">
        <v>78</v>
      </c>
    </row>
    <row r="3177" spans="1:27" x14ac:dyDescent="0.25">
      <c r="A3177" s="10">
        <v>45705</v>
      </c>
      <c r="B3177" s="11" t="s">
        <v>5792</v>
      </c>
      <c r="C3177" s="11" t="s">
        <v>5793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69" t="s">
        <v>26</v>
      </c>
      <c r="AA3177" s="12" t="s">
        <v>31</v>
      </c>
    </row>
    <row r="3178" spans="1:27" x14ac:dyDescent="0.25">
      <c r="A3178" s="10">
        <v>45705</v>
      </c>
      <c r="B3178" s="11" t="s">
        <v>5794</v>
      </c>
      <c r="C3178" s="11" t="s">
        <v>5795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69" t="s">
        <v>26</v>
      </c>
      <c r="AA3178" s="12" t="s">
        <v>31</v>
      </c>
    </row>
    <row r="3179" spans="1:27" x14ac:dyDescent="0.25">
      <c r="A3179" s="10">
        <v>45705</v>
      </c>
      <c r="B3179" s="11" t="s">
        <v>5449</v>
      </c>
      <c r="C3179" s="11" t="s">
        <v>5796</v>
      </c>
      <c r="D3179" s="11">
        <v>17720</v>
      </c>
      <c r="E3179" s="11" t="s">
        <v>542</v>
      </c>
      <c r="F3179" s="11" t="s">
        <v>26</v>
      </c>
      <c r="G3179" s="11" t="s">
        <v>26</v>
      </c>
      <c r="H3179" s="12" t="s">
        <v>149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69" t="s">
        <v>41</v>
      </c>
      <c r="AA3179" s="12" t="s">
        <v>79</v>
      </c>
    </row>
    <row r="3180" spans="1:27" x14ac:dyDescent="0.25">
      <c r="A3180" s="10">
        <v>45705</v>
      </c>
      <c r="B3180" s="11" t="s">
        <v>5797</v>
      </c>
      <c r="C3180" s="11" t="s">
        <v>5798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69" t="s">
        <v>26</v>
      </c>
      <c r="AA3180" s="12" t="s">
        <v>31</v>
      </c>
    </row>
    <row r="3181" spans="1:27" x14ac:dyDescent="0.25">
      <c r="A3181" s="10">
        <v>45705</v>
      </c>
      <c r="B3181" s="11" t="s">
        <v>5799</v>
      </c>
      <c r="C3181" s="11" t="s">
        <v>5800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69" t="s">
        <v>26</v>
      </c>
      <c r="AA3181" s="12" t="s">
        <v>31</v>
      </c>
    </row>
    <row r="3182" spans="1:27" x14ac:dyDescent="0.25">
      <c r="A3182" s="10">
        <v>45705</v>
      </c>
      <c r="B3182" s="11" t="s">
        <v>3797</v>
      </c>
      <c r="C3182" s="11" t="s">
        <v>5801</v>
      </c>
      <c r="D3182" s="11">
        <v>17723</v>
      </c>
      <c r="E3182" s="11" t="s">
        <v>528</v>
      </c>
      <c r="F3182" s="11" t="s">
        <v>26</v>
      </c>
      <c r="G3182" s="11">
        <v>78553</v>
      </c>
      <c r="H3182" s="12" t="s">
        <v>4470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69" t="s">
        <v>26</v>
      </c>
      <c r="AA3182" s="12" t="s">
        <v>31</v>
      </c>
    </row>
    <row r="3183" spans="1:27" x14ac:dyDescent="0.25">
      <c r="A3183" s="10">
        <v>45705</v>
      </c>
      <c r="B3183" s="11" t="s">
        <v>319</v>
      </c>
      <c r="C3183" s="11" t="s">
        <v>5802</v>
      </c>
      <c r="D3183" s="11">
        <v>17724</v>
      </c>
      <c r="E3183" s="11" t="s">
        <v>547</v>
      </c>
      <c r="F3183" s="11" t="s">
        <v>26</v>
      </c>
      <c r="G3183" s="11">
        <v>78501</v>
      </c>
      <c r="H3183" s="12" t="s">
        <v>4470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69" t="s">
        <v>26</v>
      </c>
      <c r="AA3183" s="12" t="s">
        <v>31</v>
      </c>
    </row>
    <row r="3184" spans="1:27" x14ac:dyDescent="0.25">
      <c r="A3184" s="10">
        <v>45705</v>
      </c>
      <c r="B3184" s="11" t="s">
        <v>3655</v>
      </c>
      <c r="C3184" s="11" t="s">
        <v>5803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166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69" t="s">
        <v>26</v>
      </c>
      <c r="AA3184" s="12" t="s">
        <v>31</v>
      </c>
    </row>
    <row r="3185" spans="1:27" x14ac:dyDescent="0.25">
      <c r="A3185" s="10">
        <v>45705</v>
      </c>
      <c r="B3185" s="11" t="s">
        <v>1663</v>
      </c>
      <c r="C3185" s="11" t="s">
        <v>5804</v>
      </c>
      <c r="D3185" s="11">
        <v>17726</v>
      </c>
      <c r="E3185" s="11" t="s">
        <v>1221</v>
      </c>
      <c r="F3185" s="11" t="s">
        <v>26</v>
      </c>
      <c r="G3185" s="11">
        <v>2972</v>
      </c>
      <c r="H3185" s="12" t="s">
        <v>166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69" t="s">
        <v>26</v>
      </c>
      <c r="AA3185" s="12" t="s">
        <v>31</v>
      </c>
    </row>
    <row r="3186" spans="1:27" x14ac:dyDescent="0.25">
      <c r="A3186" s="10">
        <v>45705</v>
      </c>
      <c r="B3186" s="11" t="s">
        <v>5805</v>
      </c>
      <c r="C3186" s="11" t="s">
        <v>5806</v>
      </c>
      <c r="D3186" s="11">
        <v>17727</v>
      </c>
      <c r="E3186" s="11" t="s">
        <v>437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69" t="s">
        <v>26</v>
      </c>
      <c r="AA3186" s="12" t="s">
        <v>31</v>
      </c>
    </row>
    <row r="3187" spans="1:27" x14ac:dyDescent="0.25">
      <c r="A3187" s="10">
        <v>45705</v>
      </c>
      <c r="B3187" s="11" t="s">
        <v>5807</v>
      </c>
      <c r="C3187" s="11" t="s">
        <v>5808</v>
      </c>
      <c r="D3187" s="11">
        <v>17728</v>
      </c>
      <c r="E3187" s="11" t="s">
        <v>573</v>
      </c>
      <c r="F3187" s="11" t="s">
        <v>26</v>
      </c>
      <c r="G3187" s="11" t="s">
        <v>26</v>
      </c>
      <c r="H3187" s="12" t="s">
        <v>4443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69" t="s">
        <v>143</v>
      </c>
      <c r="AA3187" s="12" t="s">
        <v>78</v>
      </c>
    </row>
    <row r="3188" spans="1:27" x14ac:dyDescent="0.25">
      <c r="A3188" s="10">
        <v>45705</v>
      </c>
      <c r="B3188" s="11" t="s">
        <v>5809</v>
      </c>
      <c r="C3188" s="11" t="s">
        <v>5810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569</v>
      </c>
      <c r="K3188" s="12" t="s">
        <v>553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69" t="s">
        <v>26</v>
      </c>
      <c r="AA3188" s="12" t="s">
        <v>31</v>
      </c>
    </row>
    <row r="3189" spans="1:27" x14ac:dyDescent="0.25">
      <c r="A3189" s="10">
        <v>45705</v>
      </c>
      <c r="B3189" s="11" t="s">
        <v>672</v>
      </c>
      <c r="C3189" s="11" t="s">
        <v>5811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69" t="s">
        <v>26</v>
      </c>
      <c r="AA3189" s="12" t="s">
        <v>31</v>
      </c>
    </row>
    <row r="3190" spans="1:27" x14ac:dyDescent="0.25">
      <c r="A3190" s="10">
        <v>45705</v>
      </c>
      <c r="B3190" s="11" t="s">
        <v>5812</v>
      </c>
      <c r="C3190" s="11" t="s">
        <v>5813</v>
      </c>
      <c r="D3190" s="11">
        <v>17731</v>
      </c>
      <c r="E3190" s="11" t="s">
        <v>5233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69" t="s">
        <v>26</v>
      </c>
      <c r="AA3190" s="12" t="s">
        <v>31</v>
      </c>
    </row>
    <row r="3191" spans="1:27" x14ac:dyDescent="0.25">
      <c r="A3191" s="10">
        <v>45705</v>
      </c>
      <c r="B3191" s="11" t="s">
        <v>368</v>
      </c>
      <c r="C3191" s="11" t="s">
        <v>5814</v>
      </c>
      <c r="D3191" s="11">
        <v>17732</v>
      </c>
      <c r="E3191" s="11" t="s">
        <v>187</v>
      </c>
      <c r="F3191" s="11" t="s">
        <v>26</v>
      </c>
      <c r="G3191" s="11">
        <v>1020</v>
      </c>
      <c r="H3191" s="12" t="s">
        <v>144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69" t="s">
        <v>26</v>
      </c>
      <c r="AA3191" s="12" t="s">
        <v>31</v>
      </c>
    </row>
    <row r="3192" spans="1:27" x14ac:dyDescent="0.25">
      <c r="A3192" s="10">
        <v>45705</v>
      </c>
      <c r="B3192" s="11" t="s">
        <v>5815</v>
      </c>
      <c r="C3192" s="11" t="s">
        <v>5816</v>
      </c>
      <c r="D3192" s="11">
        <v>17733</v>
      </c>
      <c r="E3192" s="11" t="s">
        <v>486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69" t="s">
        <v>26</v>
      </c>
      <c r="AA3192" s="12" t="s">
        <v>31</v>
      </c>
    </row>
    <row r="3193" spans="1:27" x14ac:dyDescent="0.25">
      <c r="A3193" s="10">
        <v>45705</v>
      </c>
      <c r="B3193" s="11" t="s">
        <v>5817</v>
      </c>
      <c r="C3193" s="11" t="s">
        <v>5818</v>
      </c>
      <c r="D3193" s="11">
        <v>17734</v>
      </c>
      <c r="E3193" s="11" t="s">
        <v>438</v>
      </c>
      <c r="F3193" s="11" t="s">
        <v>26</v>
      </c>
      <c r="G3193" s="11" t="s">
        <v>26</v>
      </c>
      <c r="H3193" s="12" t="s">
        <v>149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69" t="s">
        <v>41</v>
      </c>
      <c r="AA3193" s="12" t="s">
        <v>79</v>
      </c>
    </row>
    <row r="3194" spans="1:27" x14ac:dyDescent="0.25">
      <c r="A3194" s="10">
        <v>45705</v>
      </c>
      <c r="B3194" s="11" t="s">
        <v>319</v>
      </c>
      <c r="C3194" s="11" t="s">
        <v>5819</v>
      </c>
      <c r="D3194" s="11">
        <v>17735</v>
      </c>
      <c r="E3194" s="11" t="s">
        <v>564</v>
      </c>
      <c r="F3194" s="11" t="s">
        <v>26</v>
      </c>
      <c r="G3194" s="11">
        <v>112889</v>
      </c>
      <c r="H3194" s="12" t="s">
        <v>4468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69" t="s">
        <v>26</v>
      </c>
      <c r="AA3194" s="12" t="s">
        <v>31</v>
      </c>
    </row>
    <row r="3195" spans="1:27" x14ac:dyDescent="0.25">
      <c r="A3195" s="10">
        <v>45705</v>
      </c>
      <c r="B3195" s="11" t="s">
        <v>5820</v>
      </c>
      <c r="C3195" s="11" t="s">
        <v>5821</v>
      </c>
      <c r="D3195" s="11">
        <v>17736</v>
      </c>
      <c r="E3195" s="11" t="s">
        <v>240</v>
      </c>
      <c r="F3195" s="11" t="s">
        <v>26</v>
      </c>
      <c r="G3195" s="11">
        <v>56003</v>
      </c>
      <c r="H3195" s="12" t="s">
        <v>4444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69" t="s">
        <v>26</v>
      </c>
      <c r="AA3195" s="12" t="s">
        <v>31</v>
      </c>
    </row>
    <row r="3196" spans="1:27" x14ac:dyDescent="0.25">
      <c r="A3196" s="10">
        <v>45705</v>
      </c>
      <c r="B3196" s="11" t="s">
        <v>5822</v>
      </c>
      <c r="C3196" s="11" t="s">
        <v>5823</v>
      </c>
      <c r="D3196" s="11">
        <v>17737</v>
      </c>
      <c r="E3196" s="11" t="s">
        <v>592</v>
      </c>
      <c r="F3196" s="11" t="s">
        <v>26</v>
      </c>
      <c r="G3196" s="11">
        <v>56927</v>
      </c>
      <c r="H3196" s="12" t="s">
        <v>4444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69" t="s">
        <v>26</v>
      </c>
      <c r="AA3196" s="12" t="s">
        <v>31</v>
      </c>
    </row>
    <row r="3197" spans="1:27" x14ac:dyDescent="0.25">
      <c r="A3197" s="10">
        <v>45705</v>
      </c>
      <c r="B3197" s="11" t="s">
        <v>5824</v>
      </c>
      <c r="C3197" s="11" t="s">
        <v>5825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69" t="s">
        <v>26</v>
      </c>
      <c r="AA3197" s="12" t="s">
        <v>31</v>
      </c>
    </row>
    <row r="3198" spans="1:27" x14ac:dyDescent="0.25">
      <c r="A3198" s="10">
        <v>45705</v>
      </c>
      <c r="B3198" s="11" t="s">
        <v>5826</v>
      </c>
      <c r="C3198" s="11" t="s">
        <v>5827</v>
      </c>
      <c r="D3198" s="11">
        <v>17739</v>
      </c>
      <c r="E3198" s="11" t="s">
        <v>596</v>
      </c>
      <c r="F3198" s="11" t="s">
        <v>26</v>
      </c>
      <c r="G3198" s="11">
        <v>44338</v>
      </c>
      <c r="H3198" s="12" t="s">
        <v>4444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69" t="s">
        <v>26</v>
      </c>
      <c r="AA3198" s="12" t="s">
        <v>31</v>
      </c>
    </row>
    <row r="3199" spans="1:27" x14ac:dyDescent="0.25">
      <c r="A3199" s="10">
        <v>45705</v>
      </c>
      <c r="B3199" s="11" t="s">
        <v>1874</v>
      </c>
      <c r="C3199" s="11" t="s">
        <v>5828</v>
      </c>
      <c r="D3199" s="11">
        <v>17740</v>
      </c>
      <c r="E3199" s="11" t="s">
        <v>434</v>
      </c>
      <c r="F3199" s="11" t="s">
        <v>26</v>
      </c>
      <c r="G3199" s="11" t="s">
        <v>26</v>
      </c>
      <c r="H3199" s="12" t="s">
        <v>4443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69" t="s">
        <v>115</v>
      </c>
      <c r="AA3199" s="12" t="s">
        <v>78</v>
      </c>
    </row>
    <row r="3200" spans="1:27" x14ac:dyDescent="0.25">
      <c r="A3200" s="10">
        <v>45705</v>
      </c>
      <c r="B3200" s="11" t="s">
        <v>5829</v>
      </c>
      <c r="C3200" s="11" t="s">
        <v>5830</v>
      </c>
      <c r="D3200" s="11">
        <v>17741</v>
      </c>
      <c r="E3200" s="11" t="s">
        <v>1221</v>
      </c>
      <c r="F3200" s="11" t="s">
        <v>26</v>
      </c>
      <c r="G3200" s="11">
        <v>2973</v>
      </c>
      <c r="H3200" s="12" t="s">
        <v>166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69" t="s">
        <v>26</v>
      </c>
      <c r="AA3200" s="12" t="s">
        <v>31</v>
      </c>
    </row>
    <row r="3201" spans="1:27" x14ac:dyDescent="0.25">
      <c r="A3201" s="10">
        <v>45705</v>
      </c>
      <c r="B3201" s="11" t="s">
        <v>5831</v>
      </c>
      <c r="C3201" s="11" t="s">
        <v>5832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69" t="s">
        <v>26</v>
      </c>
      <c r="AA3201" s="12" t="s">
        <v>31</v>
      </c>
    </row>
    <row r="3202" spans="1:27" x14ac:dyDescent="0.25">
      <c r="A3202" s="10">
        <v>45705</v>
      </c>
      <c r="B3202" s="11" t="s">
        <v>2680</v>
      </c>
      <c r="C3202" s="11" t="s">
        <v>5833</v>
      </c>
      <c r="D3202" s="11">
        <v>17745</v>
      </c>
      <c r="E3202" s="11" t="s">
        <v>573</v>
      </c>
      <c r="F3202" s="11" t="s">
        <v>26</v>
      </c>
      <c r="G3202" s="11" t="s">
        <v>26</v>
      </c>
      <c r="H3202" s="12" t="s">
        <v>4443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69" t="s">
        <v>143</v>
      </c>
      <c r="AA3202" s="12" t="s">
        <v>78</v>
      </c>
    </row>
    <row r="3203" spans="1:27" x14ac:dyDescent="0.25">
      <c r="A3203" s="10">
        <v>45705</v>
      </c>
      <c r="B3203" s="11" t="s">
        <v>3777</v>
      </c>
      <c r="C3203" s="11" t="s">
        <v>5834</v>
      </c>
      <c r="D3203" s="11">
        <v>17746</v>
      </c>
      <c r="E3203" s="11" t="s">
        <v>187</v>
      </c>
      <c r="F3203" s="11" t="s">
        <v>26</v>
      </c>
      <c r="G3203" s="11">
        <v>1021</v>
      </c>
      <c r="H3203" s="12" t="s">
        <v>144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69" t="s">
        <v>26</v>
      </c>
      <c r="AA3203" s="12" t="s">
        <v>31</v>
      </c>
    </row>
    <row r="3204" spans="1:27" x14ac:dyDescent="0.25">
      <c r="A3204" s="10">
        <v>45705</v>
      </c>
      <c r="B3204" s="11" t="s">
        <v>5835</v>
      </c>
      <c r="C3204" s="11" t="s">
        <v>5836</v>
      </c>
      <c r="D3204" s="11">
        <v>17747</v>
      </c>
      <c r="E3204" s="11" t="s">
        <v>243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69" t="s">
        <v>26</v>
      </c>
      <c r="AA3204" s="12" t="s">
        <v>31</v>
      </c>
    </row>
    <row r="3205" spans="1:27" x14ac:dyDescent="0.25">
      <c r="A3205" s="10">
        <v>45705</v>
      </c>
      <c r="B3205" s="11" t="s">
        <v>5837</v>
      </c>
      <c r="C3205" s="11" t="s">
        <v>5838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143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69" t="s">
        <v>26</v>
      </c>
      <c r="AA3205" s="12" t="s">
        <v>31</v>
      </c>
    </row>
    <row r="3206" spans="1:27" x14ac:dyDescent="0.25">
      <c r="A3206" s="10">
        <v>45705</v>
      </c>
      <c r="B3206" s="11" t="s">
        <v>5839</v>
      </c>
      <c r="C3206" s="11" t="s">
        <v>5840</v>
      </c>
      <c r="D3206" s="11">
        <v>17749</v>
      </c>
      <c r="E3206" s="11" t="s">
        <v>438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69" t="s">
        <v>26</v>
      </c>
      <c r="AA3206" s="12" t="s">
        <v>31</v>
      </c>
    </row>
    <row r="3207" spans="1:27" x14ac:dyDescent="0.25">
      <c r="A3207" s="10">
        <v>45705</v>
      </c>
      <c r="B3207" s="11" t="s">
        <v>5841</v>
      </c>
      <c r="C3207" s="11" t="s">
        <v>5842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69" t="s">
        <v>26</v>
      </c>
      <c r="AA3207" s="12" t="s">
        <v>31</v>
      </c>
    </row>
    <row r="3208" spans="1:27" x14ac:dyDescent="0.25">
      <c r="A3208" s="10">
        <v>45705</v>
      </c>
      <c r="B3208" s="11" t="s">
        <v>618</v>
      </c>
      <c r="C3208" s="11" t="s">
        <v>5843</v>
      </c>
      <c r="D3208" s="11">
        <v>17751</v>
      </c>
      <c r="E3208" s="11" t="s">
        <v>227</v>
      </c>
      <c r="F3208" s="11" t="s">
        <v>26</v>
      </c>
      <c r="G3208" s="11">
        <v>3223</v>
      </c>
      <c r="H3208" s="12" t="s">
        <v>4444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69" t="s">
        <v>26</v>
      </c>
      <c r="AA3208" s="12" t="s">
        <v>31</v>
      </c>
    </row>
    <row r="3209" spans="1:27" x14ac:dyDescent="0.25">
      <c r="A3209" s="10">
        <v>45705</v>
      </c>
      <c r="B3209" s="11" t="s">
        <v>198</v>
      </c>
      <c r="C3209" s="11" t="s">
        <v>5844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69" t="s">
        <v>26</v>
      </c>
      <c r="AA3209" s="12" t="s">
        <v>31</v>
      </c>
    </row>
    <row r="3210" spans="1:27" x14ac:dyDescent="0.25">
      <c r="A3210" s="10">
        <v>45705</v>
      </c>
      <c r="B3210" s="11" t="s">
        <v>1076</v>
      </c>
      <c r="C3210" s="11" t="s">
        <v>5845</v>
      </c>
      <c r="D3210" s="11">
        <v>17753</v>
      </c>
      <c r="E3210" s="11" t="s">
        <v>508</v>
      </c>
      <c r="F3210" s="11" t="s">
        <v>26</v>
      </c>
      <c r="G3210" s="11">
        <v>1265</v>
      </c>
      <c r="H3210" s="12" t="s">
        <v>144</v>
      </c>
      <c r="I3210" s="12" t="s">
        <v>55</v>
      </c>
      <c r="J3210" s="12" t="s">
        <v>569</v>
      </c>
      <c r="K3210" s="12" t="s">
        <v>553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69" t="s">
        <v>26</v>
      </c>
      <c r="AA3210" s="12" t="s">
        <v>31</v>
      </c>
    </row>
    <row r="3211" spans="1:27" x14ac:dyDescent="0.25">
      <c r="A3211" s="10">
        <v>45705</v>
      </c>
      <c r="B3211" s="11" t="s">
        <v>5846</v>
      </c>
      <c r="C3211" s="11" t="s">
        <v>5847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4470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69" t="s">
        <v>26</v>
      </c>
      <c r="AA3211" s="12" t="s">
        <v>31</v>
      </c>
    </row>
    <row r="3212" spans="1:27" x14ac:dyDescent="0.25">
      <c r="A3212" s="10">
        <v>45705</v>
      </c>
      <c r="B3212" s="11" t="s">
        <v>739</v>
      </c>
      <c r="C3212" s="11" t="s">
        <v>5848</v>
      </c>
      <c r="D3212" s="11">
        <v>17755</v>
      </c>
      <c r="E3212" s="11" t="s">
        <v>608</v>
      </c>
      <c r="F3212" s="11" t="s">
        <v>26</v>
      </c>
      <c r="G3212" s="11">
        <v>1070</v>
      </c>
      <c r="H3212" s="12" t="s">
        <v>144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69" t="s">
        <v>26</v>
      </c>
      <c r="AA3212" s="12" t="s">
        <v>31</v>
      </c>
    </row>
    <row r="3213" spans="1:27" x14ac:dyDescent="0.25">
      <c r="A3213" s="10">
        <v>45705</v>
      </c>
      <c r="B3213" s="11" t="s">
        <v>1393</v>
      </c>
      <c r="C3213" s="11" t="s">
        <v>5849</v>
      </c>
      <c r="D3213" s="11">
        <v>17756</v>
      </c>
      <c r="E3213" s="11" t="s">
        <v>99</v>
      </c>
      <c r="F3213" s="11" t="s">
        <v>26</v>
      </c>
      <c r="G3213" s="11">
        <v>10727</v>
      </c>
      <c r="H3213" s="12" t="s">
        <v>143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40</v>
      </c>
      <c r="P3213" s="13"/>
      <c r="Q3213" s="13">
        <v>0</v>
      </c>
      <c r="R3213" s="72">
        <f>+L3213*O3213</f>
        <v>1744</v>
      </c>
      <c r="S3213" s="72">
        <v>0</v>
      </c>
      <c r="T3213" s="72">
        <f>+L3213*S3213</f>
        <v>0</v>
      </c>
      <c r="U3213" s="72">
        <f>+R3213-T3213</f>
        <v>1744</v>
      </c>
      <c r="V3213" s="72">
        <f t="shared" ref="V3213" si="1131">+U3213*0</f>
        <v>0</v>
      </c>
      <c r="W3213" s="72">
        <f>+U3213-V3213</f>
        <v>1744</v>
      </c>
      <c r="X3213" s="72">
        <v>0</v>
      </c>
      <c r="Y3213" s="14">
        <f t="shared" si="1123"/>
        <v>0</v>
      </c>
      <c r="Z3213" s="69" t="s">
        <v>26</v>
      </c>
      <c r="AA3213" s="12" t="s">
        <v>31</v>
      </c>
    </row>
    <row r="3214" spans="1:27" x14ac:dyDescent="0.25">
      <c r="A3214" s="10">
        <v>45705</v>
      </c>
      <c r="B3214" s="11" t="s">
        <v>4245</v>
      </c>
      <c r="C3214" s="11" t="s">
        <v>5850</v>
      </c>
      <c r="D3214" s="11">
        <v>17757</v>
      </c>
      <c r="E3214" s="11" t="s">
        <v>564</v>
      </c>
      <c r="F3214" s="11" t="s">
        <v>26</v>
      </c>
      <c r="G3214" s="11">
        <v>112892</v>
      </c>
      <c r="H3214" s="12" t="s">
        <v>4468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69" t="s">
        <v>26</v>
      </c>
      <c r="AA3214" s="12" t="s">
        <v>31</v>
      </c>
    </row>
    <row r="3215" spans="1:27" x14ac:dyDescent="0.25">
      <c r="A3215" s="10">
        <v>45705</v>
      </c>
      <c r="B3215" s="11" t="s">
        <v>5851</v>
      </c>
      <c r="C3215" s="11" t="s">
        <v>5852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144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69" t="s">
        <v>26</v>
      </c>
      <c r="AA3215" s="12" t="s">
        <v>31</v>
      </c>
    </row>
    <row r="3216" spans="1:27" x14ac:dyDescent="0.25">
      <c r="A3216" s="10">
        <v>45705</v>
      </c>
      <c r="B3216" s="11" t="s">
        <v>5853</v>
      </c>
      <c r="C3216" s="11" t="s">
        <v>5854</v>
      </c>
      <c r="D3216" s="11">
        <v>17759</v>
      </c>
      <c r="E3216" s="11" t="s">
        <v>592</v>
      </c>
      <c r="F3216" s="11" t="s">
        <v>26</v>
      </c>
      <c r="G3216" s="11">
        <v>56928</v>
      </c>
      <c r="H3216" s="12" t="s">
        <v>4444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69" t="s">
        <v>26</v>
      </c>
      <c r="AA3216" s="12" t="s">
        <v>31</v>
      </c>
    </row>
    <row r="3217" spans="1:27" x14ac:dyDescent="0.25">
      <c r="A3217" s="10">
        <v>45705</v>
      </c>
      <c r="B3217" s="11" t="s">
        <v>5855</v>
      </c>
      <c r="C3217" s="11" t="s">
        <v>5856</v>
      </c>
      <c r="D3217" s="11">
        <v>17760</v>
      </c>
      <c r="E3217" s="11" t="s">
        <v>98</v>
      </c>
      <c r="F3217" s="11" t="s">
        <v>26</v>
      </c>
      <c r="G3217" s="11">
        <v>9860</v>
      </c>
      <c r="H3217" s="12" t="s">
        <v>4469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69" t="s">
        <v>26</v>
      </c>
      <c r="AA3217" s="12" t="s">
        <v>31</v>
      </c>
    </row>
    <row r="3218" spans="1:27" x14ac:dyDescent="0.25">
      <c r="A3218" s="10">
        <v>45705</v>
      </c>
      <c r="B3218" s="11" t="s">
        <v>5857</v>
      </c>
      <c r="C3218" s="11" t="s">
        <v>5858</v>
      </c>
      <c r="D3218" s="11">
        <v>17761</v>
      </c>
      <c r="E3218" s="11" t="s">
        <v>523</v>
      </c>
      <c r="F3218" s="11" t="s">
        <v>26</v>
      </c>
      <c r="G3218" s="11">
        <v>10451</v>
      </c>
      <c r="H3218" s="12" t="s">
        <v>143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40</v>
      </c>
      <c r="P3218" s="13"/>
      <c r="Q3218" s="13">
        <v>0</v>
      </c>
      <c r="R3218" s="72">
        <f>+L3218*O3218</f>
        <v>1791.2</v>
      </c>
      <c r="S3218" s="72">
        <v>0</v>
      </c>
      <c r="T3218" s="72">
        <f>+L3218*S3218</f>
        <v>0</v>
      </c>
      <c r="U3218" s="72">
        <f>+R3218-T3218</f>
        <v>1791.2</v>
      </c>
      <c r="V3218" s="72">
        <f t="shared" ref="V3218:V3219" si="1139">+U3218*0</f>
        <v>0</v>
      </c>
      <c r="W3218" s="72">
        <f>+U3218-V3218</f>
        <v>1791.2</v>
      </c>
      <c r="X3218" s="72">
        <v>0</v>
      </c>
      <c r="Y3218" s="14">
        <f t="shared" si="1123"/>
        <v>0</v>
      </c>
      <c r="Z3218" s="69" t="s">
        <v>26</v>
      </c>
      <c r="AA3218" s="12" t="s">
        <v>31</v>
      </c>
    </row>
    <row r="3219" spans="1:27" x14ac:dyDescent="0.25">
      <c r="A3219" s="10">
        <v>45705</v>
      </c>
      <c r="B3219" s="11" t="s">
        <v>2552</v>
      </c>
      <c r="C3219" s="11" t="s">
        <v>5859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69" t="s">
        <v>26</v>
      </c>
      <c r="AA3219" s="12" t="s">
        <v>31</v>
      </c>
    </row>
    <row r="3220" spans="1:27" x14ac:dyDescent="0.25">
      <c r="A3220" s="10">
        <v>45705</v>
      </c>
      <c r="B3220" s="11" t="s">
        <v>5860</v>
      </c>
      <c r="C3220" s="11" t="s">
        <v>5861</v>
      </c>
      <c r="D3220" s="11">
        <v>17763</v>
      </c>
      <c r="E3220" s="11" t="s">
        <v>1221</v>
      </c>
      <c r="F3220" s="11" t="s">
        <v>26</v>
      </c>
      <c r="G3220" s="11">
        <v>2974</v>
      </c>
      <c r="H3220" s="12" t="s">
        <v>166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69" t="s">
        <v>26</v>
      </c>
      <c r="AA3220" s="12" t="s">
        <v>31</v>
      </c>
    </row>
    <row r="3221" spans="1:27" x14ac:dyDescent="0.25">
      <c r="A3221" s="10">
        <v>45705</v>
      </c>
      <c r="B3221" s="11" t="s">
        <v>5862</v>
      </c>
      <c r="C3221" s="11" t="s">
        <v>5863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166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69" t="s">
        <v>26</v>
      </c>
      <c r="AA3221" s="12" t="s">
        <v>31</v>
      </c>
    </row>
    <row r="3222" spans="1:27" x14ac:dyDescent="0.25">
      <c r="A3222" s="10">
        <v>45705</v>
      </c>
      <c r="B3222" s="11" t="s">
        <v>629</v>
      </c>
      <c r="C3222" s="11" t="s">
        <v>5864</v>
      </c>
      <c r="D3222" s="11">
        <v>17765</v>
      </c>
      <c r="E3222" s="11" t="s">
        <v>555</v>
      </c>
      <c r="F3222" s="11" t="s">
        <v>26</v>
      </c>
      <c r="G3222" s="11">
        <v>44171</v>
      </c>
      <c r="H3222" s="12" t="s">
        <v>4444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69" t="s">
        <v>26</v>
      </c>
      <c r="AA3222" s="12" t="s">
        <v>31</v>
      </c>
    </row>
    <row r="3223" spans="1:27" x14ac:dyDescent="0.25">
      <c r="A3223" s="10">
        <v>45705</v>
      </c>
      <c r="B3223" s="11" t="s">
        <v>2949</v>
      </c>
      <c r="C3223" s="11" t="s">
        <v>5865</v>
      </c>
      <c r="D3223" s="11">
        <v>17766</v>
      </c>
      <c r="E3223" s="11" t="s">
        <v>5766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69" t="s">
        <v>26</v>
      </c>
      <c r="AA3223" s="12" t="s">
        <v>31</v>
      </c>
    </row>
    <row r="3224" spans="1:27" x14ac:dyDescent="0.25">
      <c r="A3224" s="10">
        <v>45705</v>
      </c>
      <c r="B3224" s="11" t="s">
        <v>5866</v>
      </c>
      <c r="C3224" s="11" t="s">
        <v>5867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69" t="s">
        <v>26</v>
      </c>
      <c r="AA3224" s="12" t="s">
        <v>31</v>
      </c>
    </row>
    <row r="3225" spans="1:27" x14ac:dyDescent="0.25">
      <c r="A3225" s="10">
        <v>45705</v>
      </c>
      <c r="B3225" s="11" t="s">
        <v>3694</v>
      </c>
      <c r="C3225" s="11" t="s">
        <v>5868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143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40</v>
      </c>
      <c r="P3225" s="13"/>
      <c r="Q3225" s="13">
        <v>0</v>
      </c>
      <c r="R3225" s="72">
        <f>+L3225*O3225</f>
        <v>1798.4</v>
      </c>
      <c r="S3225" s="72">
        <v>0</v>
      </c>
      <c r="T3225" s="72">
        <f>+L3225*S3225</f>
        <v>0</v>
      </c>
      <c r="U3225" s="72">
        <f>+R3225-T3225</f>
        <v>1798.4</v>
      </c>
      <c r="V3225" s="72">
        <f t="shared" si="1146"/>
        <v>0</v>
      </c>
      <c r="W3225" s="72">
        <f>+U3225-V3225</f>
        <v>1798.4</v>
      </c>
      <c r="X3225" s="72">
        <v>0</v>
      </c>
      <c r="Y3225" s="14">
        <f t="shared" si="1123"/>
        <v>0</v>
      </c>
      <c r="Z3225" s="69" t="s">
        <v>26</v>
      </c>
      <c r="AA3225" s="12" t="s">
        <v>31</v>
      </c>
    </row>
    <row r="3226" spans="1:27" x14ac:dyDescent="0.25">
      <c r="A3226" s="10">
        <v>45705</v>
      </c>
      <c r="B3226" s="11" t="s">
        <v>5492</v>
      </c>
      <c r="C3226" s="11" t="s">
        <v>5869</v>
      </c>
      <c r="D3226" s="11">
        <v>17769</v>
      </c>
      <c r="E3226" s="11" t="s">
        <v>445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69" t="s">
        <v>26</v>
      </c>
      <c r="AA3226" s="12" t="s">
        <v>31</v>
      </c>
    </row>
    <row r="3227" spans="1:27" x14ac:dyDescent="0.25">
      <c r="A3227" s="10">
        <v>45705</v>
      </c>
      <c r="B3227" s="11" t="s">
        <v>5870</v>
      </c>
      <c r="C3227" s="11" t="s">
        <v>5871</v>
      </c>
      <c r="D3227" s="11">
        <v>17770</v>
      </c>
      <c r="E3227" s="11" t="s">
        <v>438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69" t="s">
        <v>26</v>
      </c>
      <c r="AA3227" s="12" t="s">
        <v>31</v>
      </c>
    </row>
    <row r="3228" spans="1:27" x14ac:dyDescent="0.25">
      <c r="A3228" s="10">
        <v>45705</v>
      </c>
      <c r="B3228" s="11" t="s">
        <v>3895</v>
      </c>
      <c r="C3228" s="11" t="s">
        <v>5872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69" t="s">
        <v>26</v>
      </c>
      <c r="AA3228" s="12" t="s">
        <v>31</v>
      </c>
    </row>
    <row r="3229" spans="1:27" x14ac:dyDescent="0.25">
      <c r="A3229" s="10">
        <v>45706</v>
      </c>
      <c r="B3229" s="11" t="s">
        <v>5873</v>
      </c>
      <c r="C3229" s="11" t="s">
        <v>5874</v>
      </c>
      <c r="D3229" s="11">
        <v>17772</v>
      </c>
      <c r="E3229" s="11" t="s">
        <v>325</v>
      </c>
      <c r="F3229" s="11" t="s">
        <v>26</v>
      </c>
      <c r="G3229" s="11">
        <v>112893</v>
      </c>
      <c r="H3229" s="12" t="s">
        <v>4468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69" t="s">
        <v>26</v>
      </c>
      <c r="AA3229" s="12" t="s">
        <v>31</v>
      </c>
    </row>
    <row r="3230" spans="1:27" x14ac:dyDescent="0.25">
      <c r="A3230" s="10">
        <v>45706</v>
      </c>
      <c r="B3230" s="11" t="s">
        <v>5635</v>
      </c>
      <c r="C3230" s="11" t="s">
        <v>5875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166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69" t="s">
        <v>26</v>
      </c>
      <c r="AA3230" s="12" t="s">
        <v>31</v>
      </c>
    </row>
    <row r="3231" spans="1:27" x14ac:dyDescent="0.25">
      <c r="A3231" s="10">
        <v>45706</v>
      </c>
      <c r="B3231" s="11" t="s">
        <v>2759</v>
      </c>
      <c r="C3231" s="11" t="s">
        <v>5876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4470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69" t="s">
        <v>26</v>
      </c>
      <c r="AA3231" s="12" t="s">
        <v>31</v>
      </c>
    </row>
    <row r="3232" spans="1:27" x14ac:dyDescent="0.25">
      <c r="A3232" s="10">
        <v>45706</v>
      </c>
      <c r="B3232" s="11" t="s">
        <v>5877</v>
      </c>
      <c r="C3232" s="11" t="s">
        <v>5878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4443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69" t="s">
        <v>144</v>
      </c>
      <c r="AA3232" s="12" t="s">
        <v>78</v>
      </c>
    </row>
    <row r="3233" spans="1:27" x14ac:dyDescent="0.25">
      <c r="A3233" s="10">
        <v>45706</v>
      </c>
      <c r="B3233" s="11" t="s">
        <v>4170</v>
      </c>
      <c r="C3233" s="11" t="s">
        <v>5879</v>
      </c>
      <c r="D3233" s="11">
        <v>17777</v>
      </c>
      <c r="E3233" s="11" t="s">
        <v>504</v>
      </c>
      <c r="F3233" s="11" t="s">
        <v>26</v>
      </c>
      <c r="G3233" s="11" t="s">
        <v>26</v>
      </c>
      <c r="H3233" s="12" t="s">
        <v>4443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69" t="s">
        <v>144</v>
      </c>
      <c r="AA3233" s="12" t="s">
        <v>78</v>
      </c>
    </row>
    <row r="3234" spans="1:27" x14ac:dyDescent="0.25">
      <c r="A3234" s="10">
        <v>45706</v>
      </c>
      <c r="B3234" s="11" t="s">
        <v>612</v>
      </c>
      <c r="C3234" s="11" t="s">
        <v>5880</v>
      </c>
      <c r="D3234" s="11">
        <v>17778</v>
      </c>
      <c r="E3234" s="11" t="s">
        <v>187</v>
      </c>
      <c r="F3234" s="11" t="s">
        <v>26</v>
      </c>
      <c r="G3234" s="11" t="s">
        <v>26</v>
      </c>
      <c r="H3234" s="12" t="s">
        <v>4443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69" t="s">
        <v>144</v>
      </c>
      <c r="AA3234" s="12" t="s">
        <v>78</v>
      </c>
    </row>
    <row r="3235" spans="1:27" x14ac:dyDescent="0.25">
      <c r="A3235" s="10">
        <v>45706</v>
      </c>
      <c r="B3235" s="11" t="s">
        <v>5881</v>
      </c>
      <c r="C3235" s="11" t="s">
        <v>5882</v>
      </c>
      <c r="D3235" s="11">
        <v>17779</v>
      </c>
      <c r="E3235" s="11" t="s">
        <v>577</v>
      </c>
      <c r="F3235" s="11" t="s">
        <v>26</v>
      </c>
      <c r="G3235" s="11" t="s">
        <v>26</v>
      </c>
      <c r="H3235" s="12" t="s">
        <v>4443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69" t="s">
        <v>144</v>
      </c>
      <c r="AA3235" s="12" t="s">
        <v>78</v>
      </c>
    </row>
    <row r="3236" spans="1:27" x14ac:dyDescent="0.25">
      <c r="A3236" s="10">
        <v>45706</v>
      </c>
      <c r="B3236" s="11" t="s">
        <v>5883</v>
      </c>
      <c r="C3236" s="11" t="s">
        <v>5884</v>
      </c>
      <c r="D3236" s="11">
        <v>17780</v>
      </c>
      <c r="E3236" s="11" t="s">
        <v>227</v>
      </c>
      <c r="F3236" s="11" t="s">
        <v>26</v>
      </c>
      <c r="G3236" s="11">
        <v>3224</v>
      </c>
      <c r="H3236" s="12" t="s">
        <v>4444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69" t="s">
        <v>26</v>
      </c>
      <c r="AA3236" s="12" t="s">
        <v>31</v>
      </c>
    </row>
    <row r="3237" spans="1:27" x14ac:dyDescent="0.25">
      <c r="A3237" s="10">
        <v>45706</v>
      </c>
      <c r="B3237" s="11" t="s">
        <v>5885</v>
      </c>
      <c r="C3237" s="11" t="s">
        <v>5886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4443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69" t="s">
        <v>41</v>
      </c>
      <c r="AA3237" s="12" t="s">
        <v>78</v>
      </c>
    </row>
    <row r="3238" spans="1:27" x14ac:dyDescent="0.25">
      <c r="A3238" s="10">
        <v>45706</v>
      </c>
      <c r="B3238" s="11" t="s">
        <v>5887</v>
      </c>
      <c r="C3238" s="11" t="s">
        <v>5888</v>
      </c>
      <c r="D3238" s="11">
        <v>17782</v>
      </c>
      <c r="E3238" s="11" t="s">
        <v>555</v>
      </c>
      <c r="F3238" s="11" t="s">
        <v>26</v>
      </c>
      <c r="G3238" s="11">
        <v>44172</v>
      </c>
      <c r="H3238" s="12" t="s">
        <v>4444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69" t="s">
        <v>26</v>
      </c>
      <c r="AA3238" s="12" t="s">
        <v>31</v>
      </c>
    </row>
    <row r="3239" spans="1:27" x14ac:dyDescent="0.25">
      <c r="A3239" s="10">
        <v>45706</v>
      </c>
      <c r="B3239" s="11" t="s">
        <v>5889</v>
      </c>
      <c r="C3239" s="11" t="s">
        <v>5890</v>
      </c>
      <c r="D3239" s="11">
        <v>17783</v>
      </c>
      <c r="E3239" s="11" t="s">
        <v>608</v>
      </c>
      <c r="F3239" s="11" t="s">
        <v>26</v>
      </c>
      <c r="G3239" s="11" t="s">
        <v>26</v>
      </c>
      <c r="H3239" s="12" t="s">
        <v>4443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69" t="s">
        <v>144</v>
      </c>
      <c r="AA3239" s="12" t="s">
        <v>78</v>
      </c>
    </row>
    <row r="3240" spans="1:27" x14ac:dyDescent="0.25">
      <c r="A3240" s="10">
        <v>45706</v>
      </c>
      <c r="B3240" s="11" t="s">
        <v>5891</v>
      </c>
      <c r="C3240" s="11" t="s">
        <v>5892</v>
      </c>
      <c r="D3240" s="11">
        <v>17784</v>
      </c>
      <c r="E3240" s="11" t="s">
        <v>249</v>
      </c>
      <c r="F3240" s="11" t="s">
        <v>26</v>
      </c>
      <c r="G3240" s="11" t="s">
        <v>26</v>
      </c>
      <c r="H3240" s="12" t="s">
        <v>4443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69" t="s">
        <v>41</v>
      </c>
      <c r="AA3240" s="12" t="s">
        <v>78</v>
      </c>
    </row>
    <row r="3241" spans="1:27" x14ac:dyDescent="0.25">
      <c r="A3241" s="10">
        <v>45706</v>
      </c>
      <c r="B3241" s="11" t="s">
        <v>1921</v>
      </c>
      <c r="C3241" s="11" t="s">
        <v>5893</v>
      </c>
      <c r="D3241" s="11">
        <v>17785</v>
      </c>
      <c r="E3241" s="11" t="s">
        <v>523</v>
      </c>
      <c r="F3241" s="11" t="s">
        <v>26</v>
      </c>
      <c r="G3241" s="11">
        <v>10452</v>
      </c>
      <c r="H3241" s="12" t="s">
        <v>143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40</v>
      </c>
      <c r="P3241" s="13"/>
      <c r="Q3241" s="13">
        <v>0</v>
      </c>
      <c r="R3241" s="72">
        <f>+L3241*O3241</f>
        <v>1754.4</v>
      </c>
      <c r="S3241" s="72">
        <v>0</v>
      </c>
      <c r="T3241" s="72">
        <f>+L3241*S3241</f>
        <v>0</v>
      </c>
      <c r="U3241" s="72">
        <f>+R3241-T3241</f>
        <v>1754.4</v>
      </c>
      <c r="V3241" s="72">
        <f t="shared" ref="V3241" si="1169">+U3241*0</f>
        <v>0</v>
      </c>
      <c r="W3241" s="72">
        <f>+U3241-V3241</f>
        <v>1754.4</v>
      </c>
      <c r="X3241" s="72">
        <v>0</v>
      </c>
      <c r="Y3241" s="14">
        <f t="shared" ref="Y3241:Y3242" si="1170">T3241-X3241</f>
        <v>0</v>
      </c>
      <c r="Z3241" s="69" t="s">
        <v>26</v>
      </c>
      <c r="AA3241" s="12" t="s">
        <v>31</v>
      </c>
    </row>
    <row r="3242" spans="1:27" x14ac:dyDescent="0.25">
      <c r="A3242" s="10">
        <v>45706</v>
      </c>
      <c r="B3242" s="11" t="s">
        <v>5894</v>
      </c>
      <c r="C3242" s="11" t="s">
        <v>5895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69" t="s">
        <v>26</v>
      </c>
      <c r="AA3242" s="12" t="s">
        <v>31</v>
      </c>
    </row>
    <row r="3243" spans="1:27" x14ac:dyDescent="0.25">
      <c r="A3243" s="10">
        <v>45706</v>
      </c>
      <c r="B3243" s="11" t="s">
        <v>5896</v>
      </c>
      <c r="C3243" s="11" t="s">
        <v>5897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149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69" t="s">
        <v>41</v>
      </c>
      <c r="AA3243" s="12" t="s">
        <v>79</v>
      </c>
    </row>
    <row r="3244" spans="1:27" x14ac:dyDescent="0.25">
      <c r="A3244" s="10">
        <v>45706</v>
      </c>
      <c r="B3244" s="11" t="s">
        <v>5609</v>
      </c>
      <c r="C3244" s="11" t="s">
        <v>5898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143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40</v>
      </c>
      <c r="P3244" s="13"/>
      <c r="Q3244" s="13">
        <v>0</v>
      </c>
      <c r="R3244" s="72">
        <f>+L3244*O3244</f>
        <v>1768.8</v>
      </c>
      <c r="S3244" s="72">
        <v>0</v>
      </c>
      <c r="T3244" s="72">
        <f>+L3244*S3244</f>
        <v>0</v>
      </c>
      <c r="U3244" s="72">
        <f>+R3244-T3244</f>
        <v>1768.8</v>
      </c>
      <c r="V3244" s="72">
        <f t="shared" ref="V3244" si="1176">+U3244*0</f>
        <v>0</v>
      </c>
      <c r="W3244" s="72">
        <f>+U3244-V3244</f>
        <v>1768.8</v>
      </c>
      <c r="X3244" s="72">
        <v>0</v>
      </c>
      <c r="Y3244" s="14">
        <f t="shared" ref="Y3244:Y3293" si="1177">T3244-X3244</f>
        <v>0</v>
      </c>
      <c r="Z3244" s="69" t="s">
        <v>26</v>
      </c>
      <c r="AA3244" s="12" t="s">
        <v>31</v>
      </c>
    </row>
    <row r="3245" spans="1:27" x14ac:dyDescent="0.25">
      <c r="A3245" s="10">
        <v>45706</v>
      </c>
      <c r="B3245" s="11" t="s">
        <v>5899</v>
      </c>
      <c r="C3245" s="11" t="s">
        <v>5900</v>
      </c>
      <c r="D3245" s="11">
        <v>17789</v>
      </c>
      <c r="E3245" s="11" t="s">
        <v>1221</v>
      </c>
      <c r="F3245" s="11" t="s">
        <v>26</v>
      </c>
      <c r="G3245" s="11">
        <v>2975</v>
      </c>
      <c r="H3245" s="12" t="s">
        <v>166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69" t="s">
        <v>26</v>
      </c>
      <c r="AA3245" s="12" t="s">
        <v>31</v>
      </c>
    </row>
    <row r="3246" spans="1:27" x14ac:dyDescent="0.25">
      <c r="A3246" s="10">
        <v>45706</v>
      </c>
      <c r="B3246" s="11" t="s">
        <v>5901</v>
      </c>
      <c r="C3246" s="11" t="s">
        <v>5902</v>
      </c>
      <c r="D3246" s="11">
        <v>17790</v>
      </c>
      <c r="E3246" s="11" t="s">
        <v>573</v>
      </c>
      <c r="F3246" s="11" t="s">
        <v>26</v>
      </c>
      <c r="G3246" s="11">
        <v>10759</v>
      </c>
      <c r="H3246" s="12" t="s">
        <v>143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69" t="s">
        <v>26</v>
      </c>
      <c r="AA3246" s="12" t="s">
        <v>31</v>
      </c>
    </row>
    <row r="3247" spans="1:27" x14ac:dyDescent="0.25">
      <c r="A3247" s="10">
        <v>45706</v>
      </c>
      <c r="B3247" s="11" t="s">
        <v>5903</v>
      </c>
      <c r="C3247" s="11" t="s">
        <v>5904</v>
      </c>
      <c r="D3247" s="11">
        <v>17791</v>
      </c>
      <c r="E3247" s="11" t="s">
        <v>328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69" t="s">
        <v>26</v>
      </c>
      <c r="AA3247" s="12" t="s">
        <v>31</v>
      </c>
    </row>
    <row r="3248" spans="1:27" x14ac:dyDescent="0.25">
      <c r="A3248" s="10">
        <v>45706</v>
      </c>
      <c r="B3248" s="11" t="s">
        <v>3582</v>
      </c>
      <c r="C3248" s="11" t="s">
        <v>5905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69" t="s">
        <v>26</v>
      </c>
      <c r="AA3248" s="12" t="s">
        <v>31</v>
      </c>
    </row>
    <row r="3249" spans="1:27" x14ac:dyDescent="0.25">
      <c r="A3249" s="10">
        <v>45706</v>
      </c>
      <c r="B3249" s="11" t="s">
        <v>433</v>
      </c>
      <c r="C3249" s="11" t="s">
        <v>5906</v>
      </c>
      <c r="D3249" s="11">
        <v>17793</v>
      </c>
      <c r="E3249" s="11" t="s">
        <v>555</v>
      </c>
      <c r="F3249" s="11" t="s">
        <v>26</v>
      </c>
      <c r="G3249" s="11">
        <v>44173</v>
      </c>
      <c r="H3249" s="12" t="s">
        <v>4444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69" t="s">
        <v>26</v>
      </c>
      <c r="AA3249" s="12" t="s">
        <v>31</v>
      </c>
    </row>
    <row r="3250" spans="1:27" x14ac:dyDescent="0.25">
      <c r="A3250" s="10">
        <v>45706</v>
      </c>
      <c r="B3250" s="11" t="s">
        <v>1938</v>
      </c>
      <c r="C3250" s="11" t="s">
        <v>5907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569</v>
      </c>
      <c r="K3250" s="12" t="s">
        <v>553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69" t="s">
        <v>26</v>
      </c>
      <c r="AA3250" s="12" t="s">
        <v>31</v>
      </c>
    </row>
    <row r="3251" spans="1:27" x14ac:dyDescent="0.25">
      <c r="A3251" s="10">
        <v>45706</v>
      </c>
      <c r="B3251" s="11" t="s">
        <v>205</v>
      </c>
      <c r="C3251" s="11" t="s">
        <v>5908</v>
      </c>
      <c r="D3251" s="11">
        <v>17795</v>
      </c>
      <c r="E3251" s="11" t="s">
        <v>249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569</v>
      </c>
      <c r="K3251" s="12" t="s">
        <v>553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69" t="s">
        <v>26</v>
      </c>
      <c r="AA3251" s="12" t="s">
        <v>31</v>
      </c>
    </row>
    <row r="3252" spans="1:27" x14ac:dyDescent="0.25">
      <c r="A3252" s="10">
        <v>45706</v>
      </c>
      <c r="B3252" s="11" t="s">
        <v>5909</v>
      </c>
      <c r="C3252" s="11" t="s">
        <v>5910</v>
      </c>
      <c r="D3252" s="11">
        <v>17796</v>
      </c>
      <c r="E3252" s="11" t="s">
        <v>227</v>
      </c>
      <c r="F3252" s="11" t="s">
        <v>26</v>
      </c>
      <c r="G3252" s="11">
        <v>3225</v>
      </c>
      <c r="H3252" s="12" t="s">
        <v>4444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69" t="s">
        <v>26</v>
      </c>
      <c r="AA3252" s="12" t="s">
        <v>31</v>
      </c>
    </row>
    <row r="3253" spans="1:27" x14ac:dyDescent="0.25">
      <c r="A3253" s="10">
        <v>45706</v>
      </c>
      <c r="B3253" s="11" t="s">
        <v>5911</v>
      </c>
      <c r="C3253" s="11" t="s">
        <v>5912</v>
      </c>
      <c r="D3253" s="11">
        <v>17797</v>
      </c>
      <c r="E3253" s="11" t="s">
        <v>244</v>
      </c>
      <c r="F3253" s="11" t="s">
        <v>26</v>
      </c>
      <c r="G3253" s="11">
        <v>74970</v>
      </c>
      <c r="H3253" s="12" t="s">
        <v>4470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69" t="s">
        <v>26</v>
      </c>
      <c r="AA3253" s="12" t="s">
        <v>31</v>
      </c>
    </row>
    <row r="3254" spans="1:27" x14ac:dyDescent="0.25">
      <c r="A3254" s="10">
        <v>45706</v>
      </c>
      <c r="B3254" s="11" t="s">
        <v>3795</v>
      </c>
      <c r="C3254" s="11" t="s">
        <v>5913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166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69" t="s">
        <v>26</v>
      </c>
      <c r="AA3254" s="12" t="s">
        <v>31</v>
      </c>
    </row>
    <row r="3255" spans="1:27" x14ac:dyDescent="0.25">
      <c r="A3255" s="10">
        <v>45706</v>
      </c>
      <c r="B3255" s="11" t="s">
        <v>407</v>
      </c>
      <c r="C3255" s="11" t="s">
        <v>5914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69" t="s">
        <v>26</v>
      </c>
      <c r="AA3255" s="12" t="s">
        <v>31</v>
      </c>
    </row>
    <row r="3256" spans="1:27" x14ac:dyDescent="0.25">
      <c r="A3256" s="10">
        <v>45706</v>
      </c>
      <c r="B3256" s="11" t="s">
        <v>5915</v>
      </c>
      <c r="C3256" s="11" t="s">
        <v>5916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69" t="s">
        <v>26</v>
      </c>
      <c r="AA3256" s="12" t="s">
        <v>31</v>
      </c>
    </row>
    <row r="3257" spans="1:27" x14ac:dyDescent="0.25">
      <c r="A3257" s="10">
        <v>45706</v>
      </c>
      <c r="B3257" s="11" t="s">
        <v>122</v>
      </c>
      <c r="C3257" s="11" t="s">
        <v>5917</v>
      </c>
      <c r="D3257" s="11">
        <v>17801</v>
      </c>
      <c r="E3257" s="11" t="s">
        <v>5918</v>
      </c>
      <c r="F3257" s="11" t="s">
        <v>26</v>
      </c>
      <c r="G3257" s="11">
        <v>2901</v>
      </c>
      <c r="H3257" s="12" t="s">
        <v>166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69" t="s">
        <v>26</v>
      </c>
      <c r="AA3257" s="12" t="s">
        <v>31</v>
      </c>
    </row>
    <row r="3258" spans="1:27" x14ac:dyDescent="0.25">
      <c r="A3258" s="10">
        <v>45706</v>
      </c>
      <c r="B3258" s="11" t="s">
        <v>395</v>
      </c>
      <c r="C3258" s="11" t="s">
        <v>5919</v>
      </c>
      <c r="D3258" s="11">
        <v>17802</v>
      </c>
      <c r="E3258" s="11" t="s">
        <v>328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69" t="s">
        <v>26</v>
      </c>
      <c r="AA3258" s="12" t="s">
        <v>31</v>
      </c>
    </row>
    <row r="3259" spans="1:27" x14ac:dyDescent="0.25">
      <c r="A3259" s="10">
        <v>45706</v>
      </c>
      <c r="B3259" s="11" t="s">
        <v>381</v>
      </c>
      <c r="C3259" s="11" t="s">
        <v>5920</v>
      </c>
      <c r="D3259" s="11">
        <v>17803</v>
      </c>
      <c r="E3259" s="11" t="s">
        <v>1221</v>
      </c>
      <c r="F3259" s="11" t="s">
        <v>26</v>
      </c>
      <c r="G3259" s="11">
        <v>2976</v>
      </c>
      <c r="H3259" s="12" t="s">
        <v>166</v>
      </c>
      <c r="I3259" s="12" t="s">
        <v>55</v>
      </c>
      <c r="J3259" s="12" t="s">
        <v>569</v>
      </c>
      <c r="K3259" s="12" t="s">
        <v>553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69" t="s">
        <v>26</v>
      </c>
      <c r="AA3259" s="12" t="s">
        <v>31</v>
      </c>
    </row>
    <row r="3260" spans="1:27" x14ac:dyDescent="0.25">
      <c r="A3260" s="10">
        <v>45706</v>
      </c>
      <c r="B3260" s="11" t="s">
        <v>5775</v>
      </c>
      <c r="C3260" s="11" t="s">
        <v>5921</v>
      </c>
      <c r="D3260" s="11">
        <v>17804</v>
      </c>
      <c r="E3260" s="11" t="s">
        <v>542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69" t="s">
        <v>26</v>
      </c>
      <c r="AA3260" s="12" t="s">
        <v>31</v>
      </c>
    </row>
    <row r="3261" spans="1:27" x14ac:dyDescent="0.25">
      <c r="A3261" s="10">
        <v>45706</v>
      </c>
      <c r="B3261" s="11" t="s">
        <v>118</v>
      </c>
      <c r="C3261" s="11" t="s">
        <v>5922</v>
      </c>
      <c r="D3261" s="11">
        <v>17805</v>
      </c>
      <c r="E3261" s="11" t="s">
        <v>571</v>
      </c>
      <c r="F3261" s="11" t="s">
        <v>26</v>
      </c>
      <c r="G3261" s="11">
        <v>112794</v>
      </c>
      <c r="H3261" s="12" t="s">
        <v>4468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69" t="s">
        <v>26</v>
      </c>
      <c r="AA3261" s="12" t="s">
        <v>31</v>
      </c>
    </row>
    <row r="3262" spans="1:27" x14ac:dyDescent="0.25">
      <c r="A3262" s="10">
        <v>45706</v>
      </c>
      <c r="B3262" s="11" t="s">
        <v>5923</v>
      </c>
      <c r="C3262" s="11" t="s">
        <v>5924</v>
      </c>
      <c r="D3262" s="11">
        <v>17806</v>
      </c>
      <c r="E3262" s="11" t="s">
        <v>5925</v>
      </c>
      <c r="F3262" s="11" t="s">
        <v>26</v>
      </c>
      <c r="G3262" s="11">
        <v>112265</v>
      </c>
      <c r="H3262" s="12" t="s">
        <v>4468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69" t="s">
        <v>26</v>
      </c>
      <c r="AA3262" s="12" t="s">
        <v>31</v>
      </c>
    </row>
    <row r="3263" spans="1:27" x14ac:dyDescent="0.25">
      <c r="A3263" s="10">
        <v>45706</v>
      </c>
      <c r="B3263" s="11" t="s">
        <v>5926</v>
      </c>
      <c r="C3263" s="11" t="s">
        <v>5927</v>
      </c>
      <c r="D3263" s="11">
        <v>17807</v>
      </c>
      <c r="E3263" s="11" t="s">
        <v>570</v>
      </c>
      <c r="F3263" s="11" t="s">
        <v>26</v>
      </c>
      <c r="G3263" s="11">
        <v>112797</v>
      </c>
      <c r="H3263" s="12" t="s">
        <v>4468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69" t="s">
        <v>26</v>
      </c>
      <c r="AA3263" s="12" t="s">
        <v>31</v>
      </c>
    </row>
    <row r="3264" spans="1:27" x14ac:dyDescent="0.25">
      <c r="A3264" s="10">
        <v>45706</v>
      </c>
      <c r="B3264" s="11" t="s">
        <v>5928</v>
      </c>
      <c r="C3264" s="11" t="s">
        <v>5929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69" t="s">
        <v>26</v>
      </c>
      <c r="AA3264" s="12" t="s">
        <v>31</v>
      </c>
    </row>
    <row r="3265" spans="1:27" x14ac:dyDescent="0.25">
      <c r="A3265" s="10">
        <v>45706</v>
      </c>
      <c r="B3265" s="11" t="s">
        <v>5930</v>
      </c>
      <c r="C3265" s="11" t="s">
        <v>5931</v>
      </c>
      <c r="D3265" s="11">
        <v>17809</v>
      </c>
      <c r="E3265" s="11" t="s">
        <v>564</v>
      </c>
      <c r="F3265" s="11" t="s">
        <v>26</v>
      </c>
      <c r="G3265" s="11">
        <v>112894</v>
      </c>
      <c r="H3265" s="12" t="s">
        <v>4468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69" t="s">
        <v>26</v>
      </c>
      <c r="AA3265" s="12" t="s">
        <v>31</v>
      </c>
    </row>
    <row r="3266" spans="1:27" x14ac:dyDescent="0.25">
      <c r="A3266" s="10">
        <v>45706</v>
      </c>
      <c r="B3266" s="11" t="s">
        <v>5932</v>
      </c>
      <c r="C3266" s="11" t="s">
        <v>5933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69" t="s">
        <v>26</v>
      </c>
      <c r="AA3266" s="12" t="s">
        <v>31</v>
      </c>
    </row>
    <row r="3267" spans="1:27" x14ac:dyDescent="0.25">
      <c r="A3267" s="10">
        <v>45706</v>
      </c>
      <c r="B3267" s="11" t="s">
        <v>5934</v>
      </c>
      <c r="C3267" s="11" t="s">
        <v>5935</v>
      </c>
      <c r="D3267" s="11">
        <v>17811</v>
      </c>
      <c r="E3267" s="11" t="s">
        <v>483</v>
      </c>
      <c r="F3267" s="11" t="s">
        <v>26</v>
      </c>
      <c r="G3267" s="11">
        <v>70426</v>
      </c>
      <c r="H3267" s="12" t="s">
        <v>4470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69" t="s">
        <v>26</v>
      </c>
      <c r="AA3267" s="12" t="s">
        <v>31</v>
      </c>
    </row>
    <row r="3268" spans="1:27" x14ac:dyDescent="0.25">
      <c r="A3268" s="10">
        <v>45706</v>
      </c>
      <c r="B3268" s="11" t="s">
        <v>5936</v>
      </c>
      <c r="C3268" s="11" t="s">
        <v>5937</v>
      </c>
      <c r="D3268" s="11">
        <v>17812</v>
      </c>
      <c r="E3268" s="11" t="s">
        <v>592</v>
      </c>
      <c r="F3268" s="11" t="s">
        <v>26</v>
      </c>
      <c r="G3268" s="11">
        <v>56930</v>
      </c>
      <c r="H3268" s="12" t="s">
        <v>4444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69" t="s">
        <v>26</v>
      </c>
      <c r="AA3268" s="12" t="s">
        <v>31</v>
      </c>
    </row>
    <row r="3269" spans="1:27" x14ac:dyDescent="0.25">
      <c r="A3269" s="10">
        <v>45706</v>
      </c>
      <c r="B3269" s="11" t="s">
        <v>5938</v>
      </c>
      <c r="C3269" s="11" t="s">
        <v>5939</v>
      </c>
      <c r="D3269" s="11">
        <v>17813</v>
      </c>
      <c r="E3269" s="11" t="s">
        <v>596</v>
      </c>
      <c r="F3269" s="11" t="s">
        <v>26</v>
      </c>
      <c r="G3269" s="11">
        <v>44340</v>
      </c>
      <c r="H3269" s="12" t="s">
        <v>4444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69" t="s">
        <v>26</v>
      </c>
      <c r="AA3269" s="12" t="s">
        <v>31</v>
      </c>
    </row>
    <row r="3270" spans="1:27" x14ac:dyDescent="0.25">
      <c r="A3270" s="10">
        <v>45706</v>
      </c>
      <c r="B3270" s="11" t="s">
        <v>5940</v>
      </c>
      <c r="C3270" s="11" t="s">
        <v>5941</v>
      </c>
      <c r="D3270" s="11">
        <v>17814</v>
      </c>
      <c r="E3270" s="11" t="s">
        <v>5942</v>
      </c>
      <c r="F3270" s="11" t="s">
        <v>26</v>
      </c>
      <c r="G3270" s="11">
        <v>112235</v>
      </c>
      <c r="H3270" s="12" t="s">
        <v>4468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69" t="s">
        <v>26</v>
      </c>
      <c r="AA3270" s="12" t="s">
        <v>31</v>
      </c>
    </row>
    <row r="3271" spans="1:27" x14ac:dyDescent="0.25">
      <c r="A3271" s="10">
        <v>45706</v>
      </c>
      <c r="B3271" s="11" t="s">
        <v>5943</v>
      </c>
      <c r="C3271" s="11" t="s">
        <v>5944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4470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69" t="s">
        <v>26</v>
      </c>
      <c r="AA3271" s="12" t="s">
        <v>31</v>
      </c>
    </row>
    <row r="3272" spans="1:27" x14ac:dyDescent="0.25">
      <c r="A3272" s="10">
        <v>45706</v>
      </c>
      <c r="B3272" s="11" t="s">
        <v>5945</v>
      </c>
      <c r="C3272" s="11" t="s">
        <v>5946</v>
      </c>
      <c r="D3272" s="11">
        <v>17817</v>
      </c>
      <c r="E3272" s="11" t="s">
        <v>555</v>
      </c>
      <c r="F3272" s="11" t="s">
        <v>26</v>
      </c>
      <c r="G3272" s="11">
        <v>44174</v>
      </c>
      <c r="H3272" s="12" t="s">
        <v>4444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69" t="s">
        <v>26</v>
      </c>
      <c r="AA3272" s="12" t="s">
        <v>31</v>
      </c>
    </row>
    <row r="3273" spans="1:27" x14ac:dyDescent="0.25">
      <c r="A3273" s="10">
        <v>45706</v>
      </c>
      <c r="B3273" s="11" t="s">
        <v>702</v>
      </c>
      <c r="C3273" s="11" t="s">
        <v>5947</v>
      </c>
      <c r="D3273" s="11">
        <v>17818</v>
      </c>
      <c r="E3273" s="11" t="s">
        <v>5948</v>
      </c>
      <c r="F3273" s="11" t="s">
        <v>26</v>
      </c>
      <c r="G3273" s="11">
        <v>112236</v>
      </c>
      <c r="H3273" s="12" t="s">
        <v>4468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69" t="s">
        <v>26</v>
      </c>
      <c r="AA3273" s="12" t="s">
        <v>31</v>
      </c>
    </row>
    <row r="3274" spans="1:27" x14ac:dyDescent="0.25">
      <c r="A3274" s="10">
        <v>45706</v>
      </c>
      <c r="B3274" s="11" t="s">
        <v>5949</v>
      </c>
      <c r="C3274" s="11" t="s">
        <v>5950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569</v>
      </c>
      <c r="K3274" s="12" t="s">
        <v>553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69" t="s">
        <v>26</v>
      </c>
      <c r="AA3274" s="12" t="s">
        <v>31</v>
      </c>
    </row>
    <row r="3275" spans="1:27" x14ac:dyDescent="0.25">
      <c r="A3275" s="10">
        <v>45706</v>
      </c>
      <c r="B3275" s="11" t="s">
        <v>1242</v>
      </c>
      <c r="C3275" s="11" t="s">
        <v>5951</v>
      </c>
      <c r="D3275" s="11">
        <v>17820</v>
      </c>
      <c r="E3275" s="11" t="s">
        <v>249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569</v>
      </c>
      <c r="K3275" s="12" t="s">
        <v>553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69" t="s">
        <v>26</v>
      </c>
      <c r="AA3275" s="12" t="s">
        <v>31</v>
      </c>
    </row>
    <row r="3276" spans="1:27" x14ac:dyDescent="0.25">
      <c r="A3276" s="10">
        <v>45706</v>
      </c>
      <c r="B3276" s="11" t="s">
        <v>1217</v>
      </c>
      <c r="C3276" s="11" t="s">
        <v>5952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69" t="s">
        <v>26</v>
      </c>
      <c r="AA3276" s="12" t="s">
        <v>31</v>
      </c>
    </row>
    <row r="3277" spans="1:27" x14ac:dyDescent="0.25">
      <c r="A3277" s="10">
        <v>45706</v>
      </c>
      <c r="B3277" s="11" t="s">
        <v>116</v>
      </c>
      <c r="C3277" s="11" t="s">
        <v>5953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69" t="s">
        <v>26</v>
      </c>
      <c r="AA3277" s="12" t="s">
        <v>31</v>
      </c>
    </row>
    <row r="3278" spans="1:27" x14ac:dyDescent="0.25">
      <c r="A3278" s="10">
        <v>45706</v>
      </c>
      <c r="B3278" s="11" t="s">
        <v>5954</v>
      </c>
      <c r="C3278" s="11" t="s">
        <v>5955</v>
      </c>
      <c r="D3278" s="11">
        <v>17823</v>
      </c>
      <c r="E3278" s="11" t="s">
        <v>573</v>
      </c>
      <c r="F3278" s="11" t="s">
        <v>26</v>
      </c>
      <c r="G3278" s="11">
        <v>10760</v>
      </c>
      <c r="H3278" s="12" t="s">
        <v>143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69" t="s">
        <v>26</v>
      </c>
      <c r="AA3278" s="12" t="s">
        <v>31</v>
      </c>
    </row>
    <row r="3279" spans="1:27" x14ac:dyDescent="0.25">
      <c r="A3279" s="10">
        <v>45706</v>
      </c>
      <c r="B3279" s="11" t="s">
        <v>1491</v>
      </c>
      <c r="C3279" s="11" t="s">
        <v>5956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69" t="s">
        <v>26</v>
      </c>
      <c r="AA3279" s="12" t="s">
        <v>31</v>
      </c>
    </row>
    <row r="3280" spans="1:27" x14ac:dyDescent="0.25">
      <c r="A3280" s="10">
        <v>45706</v>
      </c>
      <c r="B3280" s="11" t="s">
        <v>5957</v>
      </c>
      <c r="C3280" s="11" t="s">
        <v>5958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143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40</v>
      </c>
      <c r="P3280" s="13"/>
      <c r="Q3280" s="13">
        <v>0</v>
      </c>
      <c r="R3280" s="72">
        <f>+L3280*O3280</f>
        <v>1797.6</v>
      </c>
      <c r="S3280" s="72">
        <v>0</v>
      </c>
      <c r="T3280" s="72">
        <f>+L3280*S3280</f>
        <v>0</v>
      </c>
      <c r="U3280" s="72">
        <f>+R3280-T3280</f>
        <v>1797.6</v>
      </c>
      <c r="V3280" s="72">
        <f t="shared" ref="V3280" si="1219">+U3280*0</f>
        <v>0</v>
      </c>
      <c r="W3280" s="72">
        <f>+U3280-V3280</f>
        <v>1797.6</v>
      </c>
      <c r="X3280" s="72">
        <v>0</v>
      </c>
      <c r="Y3280" s="14">
        <f t="shared" si="1177"/>
        <v>0</v>
      </c>
      <c r="Z3280" s="69" t="s">
        <v>26</v>
      </c>
      <c r="AA3280" s="12" t="s">
        <v>31</v>
      </c>
    </row>
    <row r="3281" spans="1:27" x14ac:dyDescent="0.25">
      <c r="A3281" s="10">
        <v>45706</v>
      </c>
      <c r="B3281" s="11" t="s">
        <v>5959</v>
      </c>
      <c r="C3281" s="11" t="s">
        <v>5960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69" t="s">
        <v>26</v>
      </c>
      <c r="AA3281" s="12" t="s">
        <v>31</v>
      </c>
    </row>
    <row r="3282" spans="1:27" x14ac:dyDescent="0.25">
      <c r="A3282" s="10">
        <v>45706</v>
      </c>
      <c r="B3282" s="11" t="s">
        <v>422</v>
      </c>
      <c r="C3282" s="11" t="s">
        <v>5961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4468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69" t="s">
        <v>26</v>
      </c>
      <c r="AA3282" s="12" t="s">
        <v>31</v>
      </c>
    </row>
    <row r="3283" spans="1:27" x14ac:dyDescent="0.25">
      <c r="A3283" s="10">
        <v>45706</v>
      </c>
      <c r="B3283" s="11" t="s">
        <v>1685</v>
      </c>
      <c r="C3283" s="11" t="s">
        <v>5962</v>
      </c>
      <c r="D3283" s="11">
        <v>17828</v>
      </c>
      <c r="E3283" s="11" t="s">
        <v>570</v>
      </c>
      <c r="F3283" s="11" t="s">
        <v>26</v>
      </c>
      <c r="G3283" s="11">
        <v>112898</v>
      </c>
      <c r="H3283" s="12" t="s">
        <v>4468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69" t="s">
        <v>26</v>
      </c>
      <c r="AA3283" s="12" t="s">
        <v>31</v>
      </c>
    </row>
    <row r="3284" spans="1:27" x14ac:dyDescent="0.25">
      <c r="A3284" s="10">
        <v>45706</v>
      </c>
      <c r="B3284" s="11" t="s">
        <v>5963</v>
      </c>
      <c r="C3284" s="11" t="s">
        <v>5964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69" t="s">
        <v>26</v>
      </c>
      <c r="AA3284" s="12" t="s">
        <v>31</v>
      </c>
    </row>
    <row r="3285" spans="1:27" x14ac:dyDescent="0.25">
      <c r="A3285" s="10">
        <v>45706</v>
      </c>
      <c r="B3285" s="11" t="s">
        <v>1624</v>
      </c>
      <c r="C3285" s="11" t="s">
        <v>5965</v>
      </c>
      <c r="D3285" s="11">
        <v>17830</v>
      </c>
      <c r="E3285" s="11" t="s">
        <v>5925</v>
      </c>
      <c r="F3285" s="11" t="s">
        <v>26</v>
      </c>
      <c r="G3285" s="11">
        <v>112888</v>
      </c>
      <c r="H3285" s="12" t="s">
        <v>4468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69" t="s">
        <v>26</v>
      </c>
      <c r="AA3285" s="12" t="s">
        <v>31</v>
      </c>
    </row>
    <row r="3286" spans="1:27" x14ac:dyDescent="0.25">
      <c r="A3286" s="10">
        <v>45706</v>
      </c>
      <c r="B3286" s="11" t="s">
        <v>5966</v>
      </c>
      <c r="C3286" s="11" t="s">
        <v>5967</v>
      </c>
      <c r="D3286" s="11">
        <v>17831</v>
      </c>
      <c r="E3286" s="11" t="s">
        <v>571</v>
      </c>
      <c r="F3286" s="11" t="s">
        <v>26</v>
      </c>
      <c r="G3286" s="11">
        <v>112899</v>
      </c>
      <c r="H3286" s="12" t="s">
        <v>4468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69" t="s">
        <v>26</v>
      </c>
      <c r="AA3286" s="12" t="s">
        <v>31</v>
      </c>
    </row>
    <row r="3287" spans="1:27" x14ac:dyDescent="0.25">
      <c r="A3287" s="10">
        <v>45706</v>
      </c>
      <c r="B3287" s="11" t="s">
        <v>1734</v>
      </c>
      <c r="C3287" s="11" t="s">
        <v>5968</v>
      </c>
      <c r="D3287" s="11">
        <v>17832</v>
      </c>
      <c r="E3287" s="11" t="s">
        <v>1221</v>
      </c>
      <c r="F3287" s="11" t="s">
        <v>26</v>
      </c>
      <c r="G3287" s="11">
        <v>2977</v>
      </c>
      <c r="H3287" s="12" t="s">
        <v>166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69" t="s">
        <v>26</v>
      </c>
      <c r="AA3287" s="12" t="s">
        <v>31</v>
      </c>
    </row>
    <row r="3288" spans="1:27" x14ac:dyDescent="0.25">
      <c r="A3288" s="10">
        <v>45707</v>
      </c>
      <c r="B3288" s="11" t="s">
        <v>5969</v>
      </c>
      <c r="C3288" s="11" t="s">
        <v>5970</v>
      </c>
      <c r="D3288" s="11">
        <v>17833</v>
      </c>
      <c r="E3288" s="11" t="s">
        <v>555</v>
      </c>
      <c r="F3288" s="11" t="s">
        <v>26</v>
      </c>
      <c r="G3288" s="11">
        <v>44175</v>
      </c>
      <c r="H3288" s="12" t="s">
        <v>4444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69" t="s">
        <v>26</v>
      </c>
      <c r="AA3288" s="12" t="s">
        <v>31</v>
      </c>
    </row>
    <row r="3289" spans="1:27" x14ac:dyDescent="0.25">
      <c r="A3289" s="10">
        <v>45707</v>
      </c>
      <c r="B3289" s="11" t="s">
        <v>2026</v>
      </c>
      <c r="C3289" s="11" t="s">
        <v>5971</v>
      </c>
      <c r="D3289" s="11">
        <v>17834</v>
      </c>
      <c r="E3289" s="11" t="s">
        <v>325</v>
      </c>
      <c r="F3289" s="11" t="s">
        <v>26</v>
      </c>
      <c r="G3289" s="11">
        <v>112903</v>
      </c>
      <c r="H3289" s="12" t="s">
        <v>4468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69" t="s">
        <v>26</v>
      </c>
      <c r="AA3289" s="12" t="s">
        <v>31</v>
      </c>
    </row>
    <row r="3290" spans="1:27" x14ac:dyDescent="0.25">
      <c r="A3290" s="10">
        <v>45707</v>
      </c>
      <c r="B3290" s="11" t="s">
        <v>723</v>
      </c>
      <c r="C3290" s="11" t="s">
        <v>5972</v>
      </c>
      <c r="D3290" s="11">
        <v>17835</v>
      </c>
      <c r="E3290" s="11" t="s">
        <v>227</v>
      </c>
      <c r="F3290" s="11" t="s">
        <v>26</v>
      </c>
      <c r="G3290" s="11">
        <v>3227</v>
      </c>
      <c r="H3290" s="12" t="s">
        <v>4444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69" t="s">
        <v>26</v>
      </c>
      <c r="AA3290" s="12" t="s">
        <v>31</v>
      </c>
    </row>
    <row r="3291" spans="1:27" x14ac:dyDescent="0.25">
      <c r="A3291" s="10">
        <v>45707</v>
      </c>
      <c r="B3291" s="11" t="s">
        <v>5973</v>
      </c>
      <c r="C3291" s="11" t="s">
        <v>5974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69" t="s">
        <v>26</v>
      </c>
      <c r="AA3291" s="12" t="s">
        <v>31</v>
      </c>
    </row>
    <row r="3292" spans="1:27" x14ac:dyDescent="0.25">
      <c r="A3292" s="10">
        <v>45707</v>
      </c>
      <c r="B3292" s="11" t="s">
        <v>5975</v>
      </c>
      <c r="C3292" s="11" t="s">
        <v>5976</v>
      </c>
      <c r="D3292" s="11">
        <v>17837</v>
      </c>
      <c r="E3292" s="11" t="s">
        <v>499</v>
      </c>
      <c r="F3292" s="11" t="s">
        <v>26</v>
      </c>
      <c r="G3292" s="11">
        <v>78959</v>
      </c>
      <c r="H3292" s="12" t="s">
        <v>4470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69" t="s">
        <v>26</v>
      </c>
      <c r="AA3292" s="12" t="s">
        <v>31</v>
      </c>
    </row>
    <row r="3293" spans="1:27" x14ac:dyDescent="0.25">
      <c r="A3293" s="10">
        <v>45707</v>
      </c>
      <c r="B3293" s="11" t="s">
        <v>3353</v>
      </c>
      <c r="C3293" s="11" t="s">
        <v>5977</v>
      </c>
      <c r="D3293" s="11">
        <v>17838</v>
      </c>
      <c r="E3293" s="11" t="s">
        <v>187</v>
      </c>
      <c r="F3293" s="11" t="s">
        <v>26</v>
      </c>
      <c r="G3293" s="11">
        <v>1022</v>
      </c>
      <c r="H3293" s="12" t="s">
        <v>144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69" t="s">
        <v>26</v>
      </c>
      <c r="AA3293" s="12" t="s">
        <v>31</v>
      </c>
    </row>
    <row r="3294" spans="1:27" x14ac:dyDescent="0.25">
      <c r="A3294" s="10">
        <v>45707</v>
      </c>
      <c r="B3294" s="11" t="s">
        <v>3825</v>
      </c>
      <c r="C3294" s="11" t="s">
        <v>5978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4443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69" t="s">
        <v>144</v>
      </c>
      <c r="AA3294" s="12" t="s">
        <v>78</v>
      </c>
    </row>
    <row r="3295" spans="1:27" x14ac:dyDescent="0.25">
      <c r="A3295" s="10">
        <v>45707</v>
      </c>
      <c r="B3295" s="11" t="s">
        <v>5979</v>
      </c>
      <c r="C3295" s="11" t="s">
        <v>5980</v>
      </c>
      <c r="D3295" s="11">
        <v>17840</v>
      </c>
      <c r="E3295" s="11" t="s">
        <v>504</v>
      </c>
      <c r="F3295" s="11" t="s">
        <v>26</v>
      </c>
      <c r="G3295" s="11" t="s">
        <v>26</v>
      </c>
      <c r="H3295" s="12" t="s">
        <v>4443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69" t="s">
        <v>144</v>
      </c>
      <c r="AA3295" s="12" t="s">
        <v>78</v>
      </c>
    </row>
    <row r="3296" spans="1:27" x14ac:dyDescent="0.25">
      <c r="A3296" s="10">
        <v>45707</v>
      </c>
      <c r="B3296" s="11" t="s">
        <v>5981</v>
      </c>
      <c r="C3296" s="11" t="s">
        <v>5982</v>
      </c>
      <c r="D3296" s="11">
        <v>17841</v>
      </c>
      <c r="E3296" s="11" t="s">
        <v>608</v>
      </c>
      <c r="F3296" s="11" t="s">
        <v>26</v>
      </c>
      <c r="G3296" s="11" t="s">
        <v>26</v>
      </c>
      <c r="H3296" s="12" t="s">
        <v>4443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69" t="s">
        <v>144</v>
      </c>
      <c r="AA3296" s="12" t="s">
        <v>78</v>
      </c>
    </row>
    <row r="3297" spans="1:27" x14ac:dyDescent="0.25">
      <c r="A3297" s="10">
        <v>45707</v>
      </c>
      <c r="B3297" s="11" t="s">
        <v>5983</v>
      </c>
      <c r="C3297" s="11" t="s">
        <v>5984</v>
      </c>
      <c r="D3297" s="11">
        <v>17842</v>
      </c>
      <c r="E3297" s="11" t="s">
        <v>101</v>
      </c>
      <c r="F3297" s="11" t="s">
        <v>26</v>
      </c>
      <c r="G3297" s="11">
        <v>78253</v>
      </c>
      <c r="H3297" s="12" t="s">
        <v>4470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69" t="s">
        <v>26</v>
      </c>
      <c r="AA3297" s="12" t="s">
        <v>31</v>
      </c>
    </row>
    <row r="3298" spans="1:27" x14ac:dyDescent="0.25">
      <c r="A3298" s="10">
        <v>45707</v>
      </c>
      <c r="B3298" s="11" t="s">
        <v>1460</v>
      </c>
      <c r="C3298" s="11" t="s">
        <v>5985</v>
      </c>
      <c r="D3298" s="11">
        <v>17843</v>
      </c>
      <c r="E3298" s="11" t="s">
        <v>247</v>
      </c>
      <c r="F3298" s="11" t="s">
        <v>26</v>
      </c>
      <c r="G3298" s="11" t="s">
        <v>26</v>
      </c>
      <c r="H3298" s="12" t="s">
        <v>4443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69" t="s">
        <v>144</v>
      </c>
      <c r="AA3298" s="12" t="s">
        <v>78</v>
      </c>
    </row>
    <row r="3299" spans="1:27" x14ac:dyDescent="0.25">
      <c r="A3299" s="10">
        <v>45707</v>
      </c>
      <c r="B3299" s="11" t="s">
        <v>2637</v>
      </c>
      <c r="C3299" s="11" t="s">
        <v>5986</v>
      </c>
      <c r="D3299" s="11">
        <v>17844</v>
      </c>
      <c r="E3299" s="11" t="s">
        <v>542</v>
      </c>
      <c r="F3299" s="11" t="s">
        <v>26</v>
      </c>
      <c r="G3299" s="11" t="s">
        <v>26</v>
      </c>
      <c r="H3299" s="12" t="s">
        <v>4443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69" t="s">
        <v>41</v>
      </c>
      <c r="AA3299" s="12" t="s">
        <v>78</v>
      </c>
    </row>
    <row r="3300" spans="1:27" x14ac:dyDescent="0.25">
      <c r="A3300" s="10">
        <v>45707</v>
      </c>
      <c r="B3300" s="11" t="s">
        <v>5987</v>
      </c>
      <c r="C3300" s="11" t="s">
        <v>5988</v>
      </c>
      <c r="D3300" s="11">
        <v>17845</v>
      </c>
      <c r="E3300" s="11" t="s">
        <v>241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69" t="s">
        <v>26</v>
      </c>
      <c r="AA3300" s="12" t="s">
        <v>31</v>
      </c>
    </row>
    <row r="3301" spans="1:27" x14ac:dyDescent="0.25">
      <c r="A3301" s="10">
        <v>45707</v>
      </c>
      <c r="B3301" s="11" t="s">
        <v>612</v>
      </c>
      <c r="C3301" s="11" t="s">
        <v>5989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569</v>
      </c>
      <c r="K3301" s="12" t="s">
        <v>553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69" t="s">
        <v>26</v>
      </c>
      <c r="AA3301" s="12" t="s">
        <v>31</v>
      </c>
    </row>
    <row r="3302" spans="1:27" x14ac:dyDescent="0.25">
      <c r="A3302" s="10">
        <v>45707</v>
      </c>
      <c r="B3302" s="11" t="s">
        <v>5990</v>
      </c>
      <c r="C3302" s="11" t="s">
        <v>5991</v>
      </c>
      <c r="D3302" s="11">
        <v>17847</v>
      </c>
      <c r="E3302" s="11" t="s">
        <v>464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69" t="s">
        <v>26</v>
      </c>
      <c r="AA3302" s="12" t="s">
        <v>31</v>
      </c>
    </row>
    <row r="3303" spans="1:27" x14ac:dyDescent="0.25">
      <c r="A3303" s="10">
        <v>45707</v>
      </c>
      <c r="B3303" s="11" t="s">
        <v>5992</v>
      </c>
      <c r="C3303" s="11" t="s">
        <v>5993</v>
      </c>
      <c r="D3303" s="11">
        <v>17848</v>
      </c>
      <c r="E3303" s="11" t="s">
        <v>4569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69" t="s">
        <v>26</v>
      </c>
      <c r="AA3303" s="12" t="s">
        <v>31</v>
      </c>
    </row>
    <row r="3304" spans="1:27" x14ac:dyDescent="0.25">
      <c r="A3304" s="10">
        <v>45707</v>
      </c>
      <c r="B3304" s="11" t="s">
        <v>5994</v>
      </c>
      <c r="C3304" s="11" t="s">
        <v>5995</v>
      </c>
      <c r="D3304" s="11">
        <v>17849</v>
      </c>
      <c r="E3304" s="11" t="s">
        <v>92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69" t="s">
        <v>26</v>
      </c>
      <c r="AA3304" s="12" t="s">
        <v>31</v>
      </c>
    </row>
    <row r="3305" spans="1:27" x14ac:dyDescent="0.25">
      <c r="A3305" s="10">
        <v>45707</v>
      </c>
      <c r="B3305" s="11" t="s">
        <v>276</v>
      </c>
      <c r="C3305" s="11" t="s">
        <v>5996</v>
      </c>
      <c r="D3305" s="11">
        <v>17850</v>
      </c>
      <c r="E3305" s="11" t="s">
        <v>1221</v>
      </c>
      <c r="F3305" s="11" t="s">
        <v>26</v>
      </c>
      <c r="G3305" s="11">
        <v>2978</v>
      </c>
      <c r="H3305" s="12" t="s">
        <v>166</v>
      </c>
      <c r="I3305" s="12" t="s">
        <v>55</v>
      </c>
      <c r="J3305" s="12" t="s">
        <v>569</v>
      </c>
      <c r="K3305" s="12" t="s">
        <v>553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69" t="s">
        <v>26</v>
      </c>
      <c r="AA3305" s="12" t="s">
        <v>31</v>
      </c>
    </row>
    <row r="3306" spans="1:27" x14ac:dyDescent="0.25">
      <c r="A3306" s="10">
        <v>45707</v>
      </c>
      <c r="B3306" s="11" t="s">
        <v>5841</v>
      </c>
      <c r="C3306" s="11" t="s">
        <v>5997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69" t="s">
        <v>26</v>
      </c>
      <c r="AA3306" s="12" t="s">
        <v>31</v>
      </c>
    </row>
    <row r="3307" spans="1:27" x14ac:dyDescent="0.25">
      <c r="A3307" s="10">
        <v>45707</v>
      </c>
      <c r="B3307" s="11" t="s">
        <v>5998</v>
      </c>
      <c r="C3307" s="11" t="s">
        <v>5999</v>
      </c>
      <c r="D3307" s="11">
        <v>17852</v>
      </c>
      <c r="E3307" s="11" t="s">
        <v>249</v>
      </c>
      <c r="F3307" s="11" t="s">
        <v>26</v>
      </c>
      <c r="G3307" s="11" t="s">
        <v>26</v>
      </c>
      <c r="H3307" s="12" t="s">
        <v>149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69" t="s">
        <v>41</v>
      </c>
      <c r="AA3307" s="12" t="s">
        <v>79</v>
      </c>
    </row>
    <row r="3308" spans="1:27" x14ac:dyDescent="0.25">
      <c r="A3308" s="10">
        <v>45707</v>
      </c>
      <c r="B3308" s="11" t="s">
        <v>6000</v>
      </c>
      <c r="C3308" s="11" t="s">
        <v>6001</v>
      </c>
      <c r="D3308" s="11">
        <v>17853</v>
      </c>
      <c r="E3308" s="11" t="s">
        <v>592</v>
      </c>
      <c r="F3308" s="11" t="s">
        <v>26</v>
      </c>
      <c r="G3308" s="11">
        <v>56931</v>
      </c>
      <c r="H3308" s="12" t="s">
        <v>4444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69" t="s">
        <v>26</v>
      </c>
      <c r="AA3308" s="12" t="s">
        <v>31</v>
      </c>
    </row>
    <row r="3309" spans="1:27" x14ac:dyDescent="0.25">
      <c r="A3309" s="10">
        <v>45707</v>
      </c>
      <c r="B3309" s="11" t="s">
        <v>751</v>
      </c>
      <c r="C3309" s="11" t="s">
        <v>6002</v>
      </c>
      <c r="D3309" s="11">
        <v>17854</v>
      </c>
      <c r="E3309" s="11" t="s">
        <v>596</v>
      </c>
      <c r="F3309" s="11" t="s">
        <v>26</v>
      </c>
      <c r="G3309" s="11">
        <v>44341</v>
      </c>
      <c r="H3309" s="12" t="s">
        <v>4444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69" t="s">
        <v>26</v>
      </c>
      <c r="AA3309" s="12" t="s">
        <v>31</v>
      </c>
    </row>
    <row r="3310" spans="1:27" x14ac:dyDescent="0.25">
      <c r="A3310" s="10">
        <v>45707</v>
      </c>
      <c r="B3310" s="11" t="s">
        <v>1708</v>
      </c>
      <c r="C3310" s="11" t="s">
        <v>6003</v>
      </c>
      <c r="D3310" s="11">
        <v>17855</v>
      </c>
      <c r="E3310" s="11" t="s">
        <v>434</v>
      </c>
      <c r="F3310" s="11" t="s">
        <v>26</v>
      </c>
      <c r="G3310" s="11" t="s">
        <v>26</v>
      </c>
      <c r="H3310" s="12" t="s">
        <v>4443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69" t="s">
        <v>115</v>
      </c>
      <c r="AA3310" s="12" t="s">
        <v>78</v>
      </c>
    </row>
    <row r="3311" spans="1:27" x14ac:dyDescent="0.25">
      <c r="A3311" s="10">
        <v>45707</v>
      </c>
      <c r="B3311" s="11" t="s">
        <v>6004</v>
      </c>
      <c r="C3311" s="11" t="s">
        <v>6005</v>
      </c>
      <c r="D3311" s="11">
        <v>17856</v>
      </c>
      <c r="E3311" s="11" t="s">
        <v>438</v>
      </c>
      <c r="F3311" s="11" t="s">
        <v>26</v>
      </c>
      <c r="G3311" s="11" t="s">
        <v>26</v>
      </c>
      <c r="H3311" s="12" t="s">
        <v>149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69" t="s">
        <v>41</v>
      </c>
      <c r="AA3311" s="12" t="s">
        <v>79</v>
      </c>
    </row>
    <row r="3312" spans="1:27" x14ac:dyDescent="0.25">
      <c r="A3312" s="10">
        <v>45707</v>
      </c>
      <c r="B3312" s="11" t="s">
        <v>321</v>
      </c>
      <c r="C3312" s="11" t="s">
        <v>6006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69" t="s">
        <v>26</v>
      </c>
      <c r="AA3312" s="12" t="s">
        <v>31</v>
      </c>
    </row>
    <row r="3313" spans="1:27" x14ac:dyDescent="0.25">
      <c r="A3313" s="10">
        <v>45707</v>
      </c>
      <c r="B3313" s="11" t="s">
        <v>6007</v>
      </c>
      <c r="C3313" s="11" t="s">
        <v>6008</v>
      </c>
      <c r="D3313" s="11">
        <v>17858</v>
      </c>
      <c r="E3313" s="11" t="s">
        <v>243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69" t="s">
        <v>26</v>
      </c>
      <c r="AA3313" s="12" t="s">
        <v>31</v>
      </c>
    </row>
    <row r="3314" spans="1:27" x14ac:dyDescent="0.25">
      <c r="A3314" s="10">
        <v>45707</v>
      </c>
      <c r="B3314" s="11" t="s">
        <v>6009</v>
      </c>
      <c r="C3314" s="11" t="s">
        <v>6010</v>
      </c>
      <c r="D3314" s="11">
        <v>17859</v>
      </c>
      <c r="E3314" s="11" t="s">
        <v>542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69" t="s">
        <v>26</v>
      </c>
      <c r="AA3314" s="12" t="s">
        <v>31</v>
      </c>
    </row>
    <row r="3315" spans="1:27" x14ac:dyDescent="0.25">
      <c r="A3315" s="10">
        <v>45707</v>
      </c>
      <c r="B3315" s="11" t="s">
        <v>6011</v>
      </c>
      <c r="C3315" s="11" t="s">
        <v>6012</v>
      </c>
      <c r="D3315" s="11">
        <v>17860</v>
      </c>
      <c r="E3315" s="11" t="s">
        <v>233</v>
      </c>
      <c r="F3315" s="11" t="s">
        <v>26</v>
      </c>
      <c r="G3315" s="11">
        <v>26211</v>
      </c>
      <c r="H3315" s="12" t="s">
        <v>568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69" t="s">
        <v>26</v>
      </c>
      <c r="AA3315" s="12" t="s">
        <v>31</v>
      </c>
    </row>
    <row r="3316" spans="1:27" x14ac:dyDescent="0.25">
      <c r="A3316" s="10">
        <v>45707</v>
      </c>
      <c r="B3316" s="11" t="s">
        <v>6013</v>
      </c>
      <c r="C3316" s="11" t="s">
        <v>6014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69" t="s">
        <v>26</v>
      </c>
      <c r="AA3316" s="12" t="s">
        <v>31</v>
      </c>
    </row>
    <row r="3317" spans="1:27" x14ac:dyDescent="0.25">
      <c r="A3317" s="10">
        <v>45707</v>
      </c>
      <c r="B3317" s="11" t="s">
        <v>6015</v>
      </c>
      <c r="C3317" s="11" t="s">
        <v>6016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568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69" t="s">
        <v>26</v>
      </c>
      <c r="AA3317" s="12" t="s">
        <v>31</v>
      </c>
    </row>
    <row r="3318" spans="1:27" x14ac:dyDescent="0.25">
      <c r="A3318" s="10">
        <v>45707</v>
      </c>
      <c r="B3318" s="11" t="s">
        <v>3895</v>
      </c>
      <c r="C3318" s="11" t="s">
        <v>6017</v>
      </c>
      <c r="D3318" s="11">
        <v>17863</v>
      </c>
      <c r="E3318" s="11" t="s">
        <v>464</v>
      </c>
      <c r="F3318" s="11" t="s">
        <v>26</v>
      </c>
      <c r="G3318" s="11">
        <v>128</v>
      </c>
      <c r="H3318" s="12" t="s">
        <v>4466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69" t="s">
        <v>26</v>
      </c>
      <c r="AA3318" s="12" t="s">
        <v>31</v>
      </c>
    </row>
    <row r="3319" spans="1:27" x14ac:dyDescent="0.25">
      <c r="A3319" s="10">
        <v>45707</v>
      </c>
      <c r="B3319" s="11" t="s">
        <v>1404</v>
      </c>
      <c r="C3319" s="11" t="s">
        <v>6018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69" t="s">
        <v>26</v>
      </c>
      <c r="AA3319" s="12" t="s">
        <v>31</v>
      </c>
    </row>
    <row r="3320" spans="1:27" x14ac:dyDescent="0.25">
      <c r="A3320" s="10">
        <v>45707</v>
      </c>
      <c r="B3320" s="11" t="s">
        <v>2777</v>
      </c>
      <c r="C3320" s="11" t="s">
        <v>6019</v>
      </c>
      <c r="D3320" s="11">
        <v>17865</v>
      </c>
      <c r="E3320" s="11" t="s">
        <v>1221</v>
      </c>
      <c r="F3320" s="11" t="s">
        <v>26</v>
      </c>
      <c r="G3320" s="11">
        <v>2980</v>
      </c>
      <c r="H3320" s="12" t="s">
        <v>166</v>
      </c>
      <c r="I3320" s="12" t="s">
        <v>55</v>
      </c>
      <c r="J3320" s="12" t="s">
        <v>569</v>
      </c>
      <c r="K3320" s="12" t="s">
        <v>553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69" t="s">
        <v>26</v>
      </c>
      <c r="AA3320" s="12" t="s">
        <v>31</v>
      </c>
    </row>
    <row r="3321" spans="1:27" x14ac:dyDescent="0.25">
      <c r="A3321" s="10">
        <v>45707</v>
      </c>
      <c r="B3321" s="11" t="s">
        <v>6020</v>
      </c>
      <c r="C3321" s="11" t="s">
        <v>6021</v>
      </c>
      <c r="D3321" s="11">
        <v>17866</v>
      </c>
      <c r="E3321" s="11" t="s">
        <v>187</v>
      </c>
      <c r="F3321" s="11" t="s">
        <v>26</v>
      </c>
      <c r="G3321" s="11">
        <v>1023</v>
      </c>
      <c r="H3321" s="12" t="s">
        <v>144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69" t="s">
        <v>26</v>
      </c>
      <c r="AA3321" s="12" t="s">
        <v>31</v>
      </c>
    </row>
    <row r="3322" spans="1:27" x14ac:dyDescent="0.25">
      <c r="A3322" s="10">
        <v>45707</v>
      </c>
      <c r="B3322" s="11" t="s">
        <v>6022</v>
      </c>
      <c r="C3322" s="11" t="s">
        <v>6023</v>
      </c>
      <c r="D3322" s="11">
        <v>17867</v>
      </c>
      <c r="E3322" s="11" t="s">
        <v>608</v>
      </c>
      <c r="F3322" s="11" t="s">
        <v>26</v>
      </c>
      <c r="G3322" s="11">
        <v>2979</v>
      </c>
      <c r="H3322" s="12" t="s">
        <v>166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69" t="s">
        <v>26</v>
      </c>
      <c r="AA3322" s="12" t="s">
        <v>31</v>
      </c>
    </row>
    <row r="3323" spans="1:27" x14ac:dyDescent="0.25">
      <c r="A3323" s="10">
        <v>45707</v>
      </c>
      <c r="B3323" s="11" t="s">
        <v>6024</v>
      </c>
      <c r="C3323" s="11" t="s">
        <v>6025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4443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69" t="s">
        <v>144</v>
      </c>
      <c r="AA3323" s="12" t="s">
        <v>78</v>
      </c>
    </row>
    <row r="3324" spans="1:27" x14ac:dyDescent="0.25">
      <c r="A3324" s="10">
        <v>45707</v>
      </c>
      <c r="B3324" s="11" t="s">
        <v>5901</v>
      </c>
      <c r="C3324" s="11" t="s">
        <v>6026</v>
      </c>
      <c r="D3324" s="11">
        <v>17869</v>
      </c>
      <c r="E3324" s="11" t="s">
        <v>504</v>
      </c>
      <c r="F3324" s="11" t="s">
        <v>26</v>
      </c>
      <c r="G3324" s="11" t="s">
        <v>26</v>
      </c>
      <c r="H3324" s="12" t="s">
        <v>4443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69" t="s">
        <v>144</v>
      </c>
      <c r="AA3324" s="12" t="s">
        <v>78</v>
      </c>
    </row>
    <row r="3325" spans="1:27" x14ac:dyDescent="0.25">
      <c r="A3325" s="10">
        <v>45707</v>
      </c>
      <c r="B3325" s="11" t="s">
        <v>5457</v>
      </c>
      <c r="C3325" s="11" t="s">
        <v>6027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69" t="s">
        <v>26</v>
      </c>
      <c r="AA3325" s="12" t="s">
        <v>31</v>
      </c>
    </row>
    <row r="3326" spans="1:27" x14ac:dyDescent="0.25">
      <c r="A3326" s="10">
        <v>45707</v>
      </c>
      <c r="B3326" s="11" t="s">
        <v>1509</v>
      </c>
      <c r="C3326" s="11" t="s">
        <v>6028</v>
      </c>
      <c r="D3326" s="11">
        <v>17871</v>
      </c>
      <c r="E3326" s="11" t="s">
        <v>5127</v>
      </c>
      <c r="F3326" s="11" t="s">
        <v>26</v>
      </c>
      <c r="G3326" s="11">
        <v>78106</v>
      </c>
      <c r="H3326" s="12" t="s">
        <v>4470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69" t="s">
        <v>26</v>
      </c>
      <c r="AA3326" s="12" t="s">
        <v>31</v>
      </c>
    </row>
    <row r="3327" spans="1:27" x14ac:dyDescent="0.25">
      <c r="A3327" s="10">
        <v>45707</v>
      </c>
      <c r="B3327" s="11" t="s">
        <v>3816</v>
      </c>
      <c r="C3327" s="11" t="s">
        <v>6029</v>
      </c>
      <c r="D3327" s="11">
        <v>17872</v>
      </c>
      <c r="E3327" s="11" t="s">
        <v>206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69" t="s">
        <v>26</v>
      </c>
      <c r="AA3327" s="12" t="s">
        <v>31</v>
      </c>
    </row>
    <row r="3328" spans="1:27" x14ac:dyDescent="0.25">
      <c r="A3328" s="10">
        <v>45707</v>
      </c>
      <c r="B3328" s="11" t="s">
        <v>6030</v>
      </c>
      <c r="C3328" s="11" t="s">
        <v>6031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69" t="s">
        <v>26</v>
      </c>
      <c r="AA3328" s="12" t="s">
        <v>31</v>
      </c>
    </row>
    <row r="3329" spans="1:27" x14ac:dyDescent="0.25">
      <c r="A3329" s="10">
        <v>45707</v>
      </c>
      <c r="B3329" s="11" t="s">
        <v>5675</v>
      </c>
      <c r="C3329" s="11" t="s">
        <v>6032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69" t="s">
        <v>26</v>
      </c>
      <c r="AA3329" s="12" t="s">
        <v>31</v>
      </c>
    </row>
    <row r="3330" spans="1:27" x14ac:dyDescent="0.25">
      <c r="A3330" s="10">
        <v>45707</v>
      </c>
      <c r="B3330" s="11" t="s">
        <v>6033</v>
      </c>
      <c r="C3330" s="11" t="s">
        <v>6034</v>
      </c>
      <c r="D3330" s="11">
        <v>17875</v>
      </c>
      <c r="E3330" s="11" t="s">
        <v>464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69" t="s">
        <v>26</v>
      </c>
      <c r="AA3330" s="12" t="s">
        <v>31</v>
      </c>
    </row>
    <row r="3331" spans="1:27" x14ac:dyDescent="0.25">
      <c r="A3331" s="10">
        <v>45707</v>
      </c>
      <c r="B3331" s="11" t="s">
        <v>6035</v>
      </c>
      <c r="C3331" s="11" t="s">
        <v>6036</v>
      </c>
      <c r="D3331" s="11">
        <v>17876</v>
      </c>
      <c r="E3331" s="11" t="s">
        <v>227</v>
      </c>
      <c r="F3331" s="11" t="s">
        <v>26</v>
      </c>
      <c r="G3331" s="11">
        <v>3228</v>
      </c>
      <c r="H3331" s="12" t="s">
        <v>4444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69" t="s">
        <v>26</v>
      </c>
      <c r="AA3331" s="12" t="s">
        <v>31</v>
      </c>
    </row>
    <row r="3332" spans="1:27" x14ac:dyDescent="0.25">
      <c r="A3332" s="10">
        <v>45707</v>
      </c>
      <c r="B3332" s="11" t="s">
        <v>6037</v>
      </c>
      <c r="C3332" s="11" t="s">
        <v>6038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69" t="s">
        <v>26</v>
      </c>
      <c r="AA3332" s="12" t="s">
        <v>31</v>
      </c>
    </row>
    <row r="3333" spans="1:27" x14ac:dyDescent="0.25">
      <c r="A3333" s="10">
        <v>45707</v>
      </c>
      <c r="B3333" s="11" t="s">
        <v>6039</v>
      </c>
      <c r="C3333" s="11" t="s">
        <v>6040</v>
      </c>
      <c r="D3333" s="11">
        <v>17878</v>
      </c>
      <c r="E3333" s="11" t="s">
        <v>555</v>
      </c>
      <c r="F3333" s="11" t="s">
        <v>26</v>
      </c>
      <c r="G3333" s="11">
        <v>44176</v>
      </c>
      <c r="H3333" s="12" t="s">
        <v>4444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69" t="s">
        <v>26</v>
      </c>
      <c r="AA3333" s="12" t="s">
        <v>31</v>
      </c>
    </row>
    <row r="3334" spans="1:27" x14ac:dyDescent="0.25">
      <c r="A3334" s="10">
        <v>45707</v>
      </c>
      <c r="B3334" s="11" t="s">
        <v>3402</v>
      </c>
      <c r="C3334" s="11" t="s">
        <v>6041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69" t="s">
        <v>26</v>
      </c>
      <c r="AA3334" s="12" t="s">
        <v>31</v>
      </c>
    </row>
    <row r="3335" spans="1:27" x14ac:dyDescent="0.25">
      <c r="A3335" s="10">
        <v>45707</v>
      </c>
      <c r="B3335" s="11" t="s">
        <v>1080</v>
      </c>
      <c r="C3335" s="11" t="s">
        <v>6042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69" t="s">
        <v>26</v>
      </c>
      <c r="AA3335" s="12" t="s">
        <v>31</v>
      </c>
    </row>
    <row r="3336" spans="1:27" x14ac:dyDescent="0.25">
      <c r="A3336" s="10">
        <v>45707</v>
      </c>
      <c r="B3336" s="11" t="s">
        <v>6043</v>
      </c>
      <c r="C3336" s="11" t="s">
        <v>6044</v>
      </c>
      <c r="D3336" s="11">
        <v>17881</v>
      </c>
      <c r="E3336" s="11" t="s">
        <v>573</v>
      </c>
      <c r="F3336" s="11" t="s">
        <v>26</v>
      </c>
      <c r="G3336" s="11">
        <v>10761</v>
      </c>
      <c r="H3336" s="12" t="s">
        <v>143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69" t="s">
        <v>26</v>
      </c>
      <c r="AA3336" s="12" t="s">
        <v>31</v>
      </c>
    </row>
    <row r="3337" spans="1:27" x14ac:dyDescent="0.25">
      <c r="A3337" s="10">
        <v>45707</v>
      </c>
      <c r="B3337" s="11" t="s">
        <v>6045</v>
      </c>
      <c r="C3337" s="11" t="s">
        <v>6046</v>
      </c>
      <c r="D3337" s="11">
        <v>17882</v>
      </c>
      <c r="E3337" s="11" t="s">
        <v>3807</v>
      </c>
      <c r="F3337" s="11" t="s">
        <v>26</v>
      </c>
      <c r="G3337" s="11">
        <v>24343</v>
      </c>
      <c r="H3337" s="12" t="s">
        <v>4470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69" t="s">
        <v>26</v>
      </c>
      <c r="AA3337" s="12" t="s">
        <v>31</v>
      </c>
    </row>
    <row r="3338" spans="1:27" x14ac:dyDescent="0.25">
      <c r="A3338" s="10">
        <v>45707</v>
      </c>
      <c r="B3338" s="11" t="s">
        <v>3580</v>
      </c>
      <c r="C3338" s="11" t="s">
        <v>6047</v>
      </c>
      <c r="D3338" s="11">
        <v>17883</v>
      </c>
      <c r="E3338" s="11" t="s">
        <v>243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69" t="s">
        <v>26</v>
      </c>
      <c r="AA3338" s="12" t="s">
        <v>31</v>
      </c>
    </row>
    <row r="3339" spans="1:27" x14ac:dyDescent="0.25">
      <c r="A3339" s="10">
        <v>45707</v>
      </c>
      <c r="B3339" s="11" t="s">
        <v>6048</v>
      </c>
      <c r="C3339" s="11" t="s">
        <v>6049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69" t="s">
        <v>26</v>
      </c>
      <c r="AA3339" s="12" t="s">
        <v>31</v>
      </c>
    </row>
    <row r="3340" spans="1:27" x14ac:dyDescent="0.25">
      <c r="A3340" s="10">
        <v>45707</v>
      </c>
      <c r="B3340" s="11" t="s">
        <v>6050</v>
      </c>
      <c r="C3340" s="11" t="s">
        <v>6051</v>
      </c>
      <c r="D3340" s="11">
        <v>17885</v>
      </c>
      <c r="E3340" s="11" t="s">
        <v>577</v>
      </c>
      <c r="F3340" s="11" t="s">
        <v>26</v>
      </c>
      <c r="G3340" s="11">
        <v>901</v>
      </c>
      <c r="H3340" s="12" t="s">
        <v>144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69" t="s">
        <v>26</v>
      </c>
      <c r="AA3340" s="12" t="s">
        <v>31</v>
      </c>
    </row>
    <row r="3341" spans="1:27" x14ac:dyDescent="0.25">
      <c r="A3341" s="10">
        <v>45707</v>
      </c>
      <c r="B3341" s="11" t="s">
        <v>6052</v>
      </c>
      <c r="C3341" s="11" t="s">
        <v>6053</v>
      </c>
      <c r="D3341" s="11">
        <v>17886</v>
      </c>
      <c r="E3341" s="11" t="s">
        <v>187</v>
      </c>
      <c r="F3341" s="11" t="s">
        <v>26</v>
      </c>
      <c r="G3341" s="11" t="s">
        <v>26</v>
      </c>
      <c r="H3341" s="12" t="s">
        <v>4444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69" t="s">
        <v>144</v>
      </c>
      <c r="AA3341" s="12" t="s">
        <v>6054</v>
      </c>
    </row>
    <row r="3342" spans="1:27" x14ac:dyDescent="0.25">
      <c r="A3342" s="10">
        <v>45707</v>
      </c>
      <c r="B3342" s="11" t="s">
        <v>4067</v>
      </c>
      <c r="C3342" s="11" t="s">
        <v>6055</v>
      </c>
      <c r="D3342" s="11">
        <v>17887</v>
      </c>
      <c r="E3342" s="11" t="s">
        <v>3658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69" t="s">
        <v>26</v>
      </c>
      <c r="AA3342" s="12" t="s">
        <v>31</v>
      </c>
    </row>
    <row r="3343" spans="1:27" x14ac:dyDescent="0.25">
      <c r="A3343" s="10">
        <v>45707</v>
      </c>
      <c r="B3343" s="11" t="s">
        <v>294</v>
      </c>
      <c r="C3343" s="11" t="s">
        <v>6056</v>
      </c>
      <c r="D3343" s="11">
        <v>17888</v>
      </c>
      <c r="E3343" s="11" t="s">
        <v>542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69" t="s">
        <v>26</v>
      </c>
      <c r="AA3343" s="12" t="s">
        <v>31</v>
      </c>
    </row>
    <row r="3344" spans="1:27" x14ac:dyDescent="0.25">
      <c r="A3344" s="10">
        <v>45707</v>
      </c>
      <c r="B3344" s="11" t="s">
        <v>6057</v>
      </c>
      <c r="C3344" s="11" t="s">
        <v>6058</v>
      </c>
      <c r="D3344" s="11">
        <v>17889</v>
      </c>
      <c r="E3344" s="11" t="s">
        <v>607</v>
      </c>
      <c r="F3344" s="11" t="s">
        <v>26</v>
      </c>
      <c r="G3344" s="11" t="s">
        <v>26</v>
      </c>
      <c r="H3344" s="12" t="s">
        <v>4444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69" t="s">
        <v>144</v>
      </c>
      <c r="AA3344" s="12" t="s">
        <v>6054</v>
      </c>
    </row>
    <row r="3345" spans="1:27" x14ac:dyDescent="0.25">
      <c r="A3345" s="10">
        <v>45707</v>
      </c>
      <c r="B3345" s="11" t="s">
        <v>336</v>
      </c>
      <c r="C3345" s="11" t="s">
        <v>6059</v>
      </c>
      <c r="D3345" s="11">
        <v>17890</v>
      </c>
      <c r="E3345" s="11" t="s">
        <v>434</v>
      </c>
      <c r="F3345" s="11" t="s">
        <v>26</v>
      </c>
      <c r="G3345" s="11">
        <v>1054</v>
      </c>
      <c r="H3345" s="12" t="s">
        <v>115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7">
        <f>L3345*0</f>
        <v>0</v>
      </c>
      <c r="Y3345" s="78">
        <f>T3345-X3345</f>
        <v>0</v>
      </c>
      <c r="Z3345" s="80" t="s">
        <v>26</v>
      </c>
      <c r="AA3345" s="12" t="s">
        <v>31</v>
      </c>
    </row>
    <row r="3346" spans="1:27" x14ac:dyDescent="0.25">
      <c r="A3346" s="10">
        <v>45707</v>
      </c>
      <c r="B3346" s="11" t="s">
        <v>387</v>
      </c>
      <c r="C3346" s="11" t="s">
        <v>6060</v>
      </c>
      <c r="D3346" s="11">
        <v>17891</v>
      </c>
      <c r="E3346" s="11" t="s">
        <v>523</v>
      </c>
      <c r="F3346" s="11" t="s">
        <v>26</v>
      </c>
      <c r="G3346" s="11">
        <v>10453</v>
      </c>
      <c r="H3346" s="12" t="s">
        <v>143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7">+U3346*0</f>
        <v>0</v>
      </c>
      <c r="W3346" s="72">
        <f>+U3346-V3346</f>
        <v>578.40000000000009</v>
      </c>
      <c r="X3346" s="72">
        <v>0</v>
      </c>
      <c r="Y3346" s="14">
        <f t="shared" ref="Y3346:Y3348" si="1298">T3346-X3346</f>
        <v>0</v>
      </c>
      <c r="Z3346" s="69" t="s">
        <v>26</v>
      </c>
      <c r="AA3346" s="12" t="s">
        <v>31</v>
      </c>
    </row>
    <row r="3347" spans="1:27" x14ac:dyDescent="0.25">
      <c r="A3347" s="10">
        <v>45707</v>
      </c>
      <c r="B3347" s="11" t="s">
        <v>465</v>
      </c>
      <c r="C3347" s="11" t="s">
        <v>6061</v>
      </c>
      <c r="D3347" s="11">
        <v>17892</v>
      </c>
      <c r="E3347" s="11" t="s">
        <v>5146</v>
      </c>
      <c r="F3347" s="11" t="s">
        <v>26</v>
      </c>
      <c r="G3347" s="11">
        <v>78901</v>
      </c>
      <c r="H3347" s="12" t="s">
        <v>4470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8"/>
        <v>0</v>
      </c>
      <c r="Z3347" s="69" t="s">
        <v>26</v>
      </c>
      <c r="AA3347" s="12" t="s">
        <v>31</v>
      </c>
    </row>
    <row r="3348" spans="1:27" x14ac:dyDescent="0.25">
      <c r="A3348" s="10">
        <v>45707</v>
      </c>
      <c r="B3348" s="11" t="s">
        <v>6062</v>
      </c>
      <c r="C3348" s="11" t="s">
        <v>6063</v>
      </c>
      <c r="D3348" s="11">
        <v>17893</v>
      </c>
      <c r="E3348" s="11" t="s">
        <v>596</v>
      </c>
      <c r="F3348" s="11" t="s">
        <v>26</v>
      </c>
      <c r="G3348" s="11">
        <v>44342</v>
      </c>
      <c r="H3348" s="12" t="s">
        <v>4444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8"/>
        <v>0</v>
      </c>
      <c r="Z3348" s="69" t="s">
        <v>26</v>
      </c>
      <c r="AA3348" s="12" t="s">
        <v>31</v>
      </c>
    </row>
    <row r="3349" spans="1:27" x14ac:dyDescent="0.25">
      <c r="A3349" s="10">
        <v>45707</v>
      </c>
      <c r="B3349" s="11" t="s">
        <v>5923</v>
      </c>
      <c r="C3349" s="11" t="s">
        <v>6064</v>
      </c>
      <c r="D3349" s="11">
        <v>17894</v>
      </c>
      <c r="E3349" s="11" t="s">
        <v>608</v>
      </c>
      <c r="F3349" s="11" t="s">
        <v>26</v>
      </c>
      <c r="G3349" s="11" t="s">
        <v>26</v>
      </c>
      <c r="H3349" s="12" t="s">
        <v>4444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69" t="s">
        <v>144</v>
      </c>
      <c r="AA3349" s="12" t="s">
        <v>6054</v>
      </c>
    </row>
    <row r="3350" spans="1:27" x14ac:dyDescent="0.25">
      <c r="A3350" s="10">
        <v>45707</v>
      </c>
      <c r="B3350" s="11" t="s">
        <v>5457</v>
      </c>
      <c r="C3350" s="11" t="s">
        <v>6065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69" t="s">
        <v>26</v>
      </c>
      <c r="AA3350" s="12" t="s">
        <v>31</v>
      </c>
    </row>
    <row r="3351" spans="1:27" x14ac:dyDescent="0.25">
      <c r="A3351" s="10">
        <v>45707</v>
      </c>
      <c r="B3351" s="11" t="s">
        <v>6066</v>
      </c>
      <c r="C3351" s="11" t="s">
        <v>6067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69" t="s">
        <v>26</v>
      </c>
      <c r="AA3351" s="12" t="s">
        <v>31</v>
      </c>
    </row>
    <row r="3352" spans="1:27" x14ac:dyDescent="0.25">
      <c r="A3352" s="10">
        <v>45707</v>
      </c>
      <c r="B3352" s="11" t="s">
        <v>3340</v>
      </c>
      <c r="C3352" s="11" t="s">
        <v>6068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143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69" t="s">
        <v>26</v>
      </c>
      <c r="AA3352" s="12" t="s">
        <v>31</v>
      </c>
    </row>
    <row r="3353" spans="1:27" x14ac:dyDescent="0.25">
      <c r="A3353" s="10">
        <v>45707</v>
      </c>
      <c r="B3353" s="11" t="s">
        <v>4380</v>
      </c>
      <c r="C3353" s="11" t="s">
        <v>6069</v>
      </c>
      <c r="D3353" s="11">
        <v>17898</v>
      </c>
      <c r="E3353" s="11" t="s">
        <v>5766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231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69" t="s">
        <v>26</v>
      </c>
      <c r="AA3353" s="12" t="s">
        <v>31</v>
      </c>
    </row>
    <row r="3354" spans="1:27" x14ac:dyDescent="0.25">
      <c r="A3354" s="10">
        <v>45707</v>
      </c>
      <c r="B3354" s="11" t="s">
        <v>6070</v>
      </c>
      <c r="C3354" s="11" t="s">
        <v>6071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69" t="s">
        <v>26</v>
      </c>
      <c r="AA3354" s="12" t="s">
        <v>31</v>
      </c>
    </row>
    <row r="3355" spans="1:27" x14ac:dyDescent="0.25">
      <c r="A3355" s="10">
        <v>45707</v>
      </c>
      <c r="B3355" s="11" t="s">
        <v>6072</v>
      </c>
      <c r="C3355" s="11" t="s">
        <v>6073</v>
      </c>
      <c r="D3355" s="11">
        <v>17900</v>
      </c>
      <c r="E3355" s="11" t="s">
        <v>1221</v>
      </c>
      <c r="F3355" s="11" t="s">
        <v>26</v>
      </c>
      <c r="G3355" s="11">
        <v>2981</v>
      </c>
      <c r="H3355" s="12" t="s">
        <v>166</v>
      </c>
      <c r="I3355" s="12" t="s">
        <v>55</v>
      </c>
      <c r="J3355" s="12" t="s">
        <v>569</v>
      </c>
      <c r="K3355" s="12" t="s">
        <v>553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69" t="s">
        <v>26</v>
      </c>
      <c r="AA3355" s="12" t="s">
        <v>31</v>
      </c>
    </row>
    <row r="3356" spans="1:27" x14ac:dyDescent="0.25">
      <c r="A3356" s="10">
        <v>45707</v>
      </c>
      <c r="B3356" s="11" t="s">
        <v>6074</v>
      </c>
      <c r="C3356" s="11" t="s">
        <v>6075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69" t="s">
        <v>26</v>
      </c>
      <c r="AA3356" s="12" t="s">
        <v>31</v>
      </c>
    </row>
    <row r="3357" spans="1:27" x14ac:dyDescent="0.25">
      <c r="A3357" s="10">
        <v>45707</v>
      </c>
      <c r="B3357" s="11" t="s">
        <v>6076</v>
      </c>
      <c r="C3357" s="11" t="s">
        <v>6077</v>
      </c>
      <c r="D3357" s="11">
        <v>17902</v>
      </c>
      <c r="E3357" s="11" t="s">
        <v>6078</v>
      </c>
      <c r="F3357" s="11" t="s">
        <v>26</v>
      </c>
      <c r="G3357" s="11">
        <v>10198</v>
      </c>
      <c r="H3357" s="12" t="s">
        <v>143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69" t="s">
        <v>26</v>
      </c>
      <c r="AA3357" s="12" t="s">
        <v>31</v>
      </c>
    </row>
    <row r="3358" spans="1:27" x14ac:dyDescent="0.25">
      <c r="A3358" s="10">
        <v>45707</v>
      </c>
      <c r="B3358" s="11" t="s">
        <v>6079</v>
      </c>
      <c r="C3358" s="11" t="s">
        <v>6080</v>
      </c>
      <c r="D3358" s="11">
        <v>17903</v>
      </c>
      <c r="E3358" s="11" t="s">
        <v>91</v>
      </c>
      <c r="F3358" s="11" t="s">
        <v>26</v>
      </c>
      <c r="G3358" s="11">
        <v>60518</v>
      </c>
      <c r="H3358" s="12" t="s">
        <v>4444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69" t="s">
        <v>26</v>
      </c>
      <c r="AA3358" s="12" t="s">
        <v>31</v>
      </c>
    </row>
    <row r="3359" spans="1:27" x14ac:dyDescent="0.25">
      <c r="A3359" s="10">
        <v>45707</v>
      </c>
      <c r="B3359" s="11" t="s">
        <v>3058</v>
      </c>
      <c r="C3359" s="11" t="s">
        <v>6081</v>
      </c>
      <c r="D3359" s="11">
        <v>17904</v>
      </c>
      <c r="E3359" s="11" t="s">
        <v>573</v>
      </c>
      <c r="F3359" s="11" t="s">
        <v>26</v>
      </c>
      <c r="G3359" s="11">
        <v>10762</v>
      </c>
      <c r="H3359" s="12" t="s">
        <v>143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40</v>
      </c>
      <c r="P3359" s="13"/>
      <c r="Q3359" s="13">
        <v>0</v>
      </c>
      <c r="R3359" s="72">
        <f>+L3359*O3359</f>
        <v>1683.1999999999998</v>
      </c>
      <c r="S3359" s="72">
        <v>0</v>
      </c>
      <c r="T3359" s="72">
        <f>+L3359*S3359</f>
        <v>0</v>
      </c>
      <c r="U3359" s="72">
        <f>+R3359-T3359</f>
        <v>1683.1999999999998</v>
      </c>
      <c r="V3359" s="72">
        <f t="shared" ref="V3359" si="1318">+U3359*0</f>
        <v>0</v>
      </c>
      <c r="W3359" s="72">
        <f>+U3359-V3359</f>
        <v>1683.1999999999998</v>
      </c>
      <c r="X3359" s="72">
        <v>0</v>
      </c>
      <c r="Y3359" s="14">
        <f t="shared" si="1306"/>
        <v>0</v>
      </c>
      <c r="Z3359" s="69" t="s">
        <v>26</v>
      </c>
      <c r="AA3359" s="12" t="s">
        <v>31</v>
      </c>
    </row>
    <row r="3360" spans="1:27" x14ac:dyDescent="0.25">
      <c r="A3360" s="10">
        <v>45707</v>
      </c>
      <c r="B3360" s="11" t="s">
        <v>3362</v>
      </c>
      <c r="C3360" s="11" t="s">
        <v>6082</v>
      </c>
      <c r="D3360" s="11">
        <v>17905</v>
      </c>
      <c r="E3360" s="11" t="s">
        <v>445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69" t="s">
        <v>26</v>
      </c>
      <c r="AA3360" s="12" t="s">
        <v>31</v>
      </c>
    </row>
    <row r="3361" spans="1:27" x14ac:dyDescent="0.25">
      <c r="A3361" s="10">
        <v>45707</v>
      </c>
      <c r="B3361" s="11" t="s">
        <v>6083</v>
      </c>
      <c r="C3361" s="11" t="s">
        <v>6084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568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69" t="s">
        <v>26</v>
      </c>
      <c r="AA3361" s="12" t="s">
        <v>31</v>
      </c>
    </row>
    <row r="3362" spans="1:27" x14ac:dyDescent="0.25">
      <c r="A3362" s="10">
        <v>45707</v>
      </c>
      <c r="B3362" s="11" t="s">
        <v>6085</v>
      </c>
      <c r="C3362" s="11" t="s">
        <v>6086</v>
      </c>
      <c r="D3362" s="11">
        <v>17907</v>
      </c>
      <c r="E3362" s="11" t="s">
        <v>233</v>
      </c>
      <c r="F3362" s="11" t="s">
        <v>26</v>
      </c>
      <c r="G3362" s="11">
        <v>26212</v>
      </c>
      <c r="H3362" s="12" t="s">
        <v>568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69" t="s">
        <v>26</v>
      </c>
      <c r="AA3362" s="12" t="s">
        <v>31</v>
      </c>
    </row>
    <row r="3363" spans="1:27" x14ac:dyDescent="0.25">
      <c r="A3363" s="10">
        <v>45707</v>
      </c>
      <c r="B3363" s="11" t="s">
        <v>6087</v>
      </c>
      <c r="C3363" s="11" t="s">
        <v>6088</v>
      </c>
      <c r="D3363" s="11">
        <v>17908</v>
      </c>
      <c r="E3363" s="11" t="s">
        <v>247</v>
      </c>
      <c r="F3363" s="11" t="s">
        <v>26</v>
      </c>
      <c r="G3363" s="11" t="s">
        <v>26</v>
      </c>
      <c r="H3363" s="12" t="s">
        <v>4444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69" t="s">
        <v>144</v>
      </c>
      <c r="AA3363" s="12" t="s">
        <v>6054</v>
      </c>
    </row>
    <row r="3364" spans="1:27" x14ac:dyDescent="0.25">
      <c r="A3364" s="10">
        <v>45707</v>
      </c>
      <c r="B3364" s="11" t="s">
        <v>6089</v>
      </c>
      <c r="C3364" s="11" t="s">
        <v>6090</v>
      </c>
      <c r="D3364" s="11">
        <v>17909</v>
      </c>
      <c r="E3364" s="11" t="s">
        <v>504</v>
      </c>
      <c r="F3364" s="11" t="s">
        <v>26</v>
      </c>
      <c r="G3364" s="11">
        <v>822</v>
      </c>
      <c r="H3364" s="12" t="s">
        <v>144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69" t="s">
        <v>26</v>
      </c>
      <c r="AA3364" s="12" t="s">
        <v>31</v>
      </c>
    </row>
    <row r="3365" spans="1:27" x14ac:dyDescent="0.25">
      <c r="A3365" s="10">
        <v>45707</v>
      </c>
      <c r="B3365" s="11" t="s">
        <v>6091</v>
      </c>
      <c r="C3365" s="11" t="s">
        <v>6092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144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69" t="s">
        <v>26</v>
      </c>
      <c r="AA3365" s="12" t="s">
        <v>31</v>
      </c>
    </row>
    <row r="3366" spans="1:27" x14ac:dyDescent="0.25">
      <c r="A3366" s="10">
        <v>45707</v>
      </c>
      <c r="B3366" s="11" t="s">
        <v>2707</v>
      </c>
      <c r="C3366" s="11" t="s">
        <v>6093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69" t="s">
        <v>26</v>
      </c>
      <c r="AA3366" s="12" t="s">
        <v>31</v>
      </c>
    </row>
    <row r="3367" spans="1:27" x14ac:dyDescent="0.25">
      <c r="A3367" s="10">
        <v>45708</v>
      </c>
      <c r="B3367" s="11" t="s">
        <v>6094</v>
      </c>
      <c r="C3367" s="11" t="s">
        <v>6095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4470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69" t="s">
        <v>26</v>
      </c>
      <c r="AA3367" s="12" t="s">
        <v>31</v>
      </c>
    </row>
    <row r="3368" spans="1:27" x14ac:dyDescent="0.25">
      <c r="A3368" s="10">
        <v>45708</v>
      </c>
      <c r="B3368" s="11" t="s">
        <v>6096</v>
      </c>
      <c r="C3368" s="11" t="s">
        <v>6097</v>
      </c>
      <c r="D3368" s="11">
        <v>17913</v>
      </c>
      <c r="E3368" s="11" t="s">
        <v>528</v>
      </c>
      <c r="F3368" s="11" t="s">
        <v>26</v>
      </c>
      <c r="G3368" s="11">
        <v>78555</v>
      </c>
      <c r="H3368" s="12" t="s">
        <v>4470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69" t="s">
        <v>26</v>
      </c>
      <c r="AA3368" s="12" t="s">
        <v>31</v>
      </c>
    </row>
    <row r="3369" spans="1:27" x14ac:dyDescent="0.25">
      <c r="A3369" s="10">
        <v>45708</v>
      </c>
      <c r="B3369" s="11" t="s">
        <v>1823</v>
      </c>
      <c r="C3369" s="11" t="s">
        <v>6098</v>
      </c>
      <c r="D3369" s="11">
        <v>17914</v>
      </c>
      <c r="E3369" s="11" t="s">
        <v>555</v>
      </c>
      <c r="F3369" s="11" t="s">
        <v>26</v>
      </c>
      <c r="G3369" s="11">
        <v>44177</v>
      </c>
      <c r="H3369" s="12" t="s">
        <v>4444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69" t="s">
        <v>26</v>
      </c>
      <c r="AA3369" s="12" t="s">
        <v>31</v>
      </c>
    </row>
    <row r="3370" spans="1:27" x14ac:dyDescent="0.25">
      <c r="A3370" s="10">
        <v>45708</v>
      </c>
      <c r="B3370" s="11" t="s">
        <v>6099</v>
      </c>
      <c r="C3370" s="11" t="s">
        <v>6100</v>
      </c>
      <c r="D3370" s="11">
        <v>17915</v>
      </c>
      <c r="E3370" s="11" t="s">
        <v>556</v>
      </c>
      <c r="F3370" s="11" t="s">
        <v>26</v>
      </c>
      <c r="G3370" s="11">
        <v>60603</v>
      </c>
      <c r="H3370" s="12" t="s">
        <v>4444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69" t="s">
        <v>26</v>
      </c>
      <c r="AA3370" s="12" t="s">
        <v>31</v>
      </c>
    </row>
    <row r="3371" spans="1:27" x14ac:dyDescent="0.25">
      <c r="A3371" s="10">
        <v>45708</v>
      </c>
      <c r="B3371" s="11" t="s">
        <v>103</v>
      </c>
      <c r="C3371" s="11" t="s">
        <v>6101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4470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69" t="s">
        <v>26</v>
      </c>
      <c r="AA3371" s="12" t="s">
        <v>31</v>
      </c>
    </row>
    <row r="3372" spans="1:27" x14ac:dyDescent="0.25">
      <c r="A3372" s="10">
        <v>45708</v>
      </c>
      <c r="B3372" s="11" t="s">
        <v>6102</v>
      </c>
      <c r="C3372" s="11" t="s">
        <v>6103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166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69" t="s">
        <v>26</v>
      </c>
      <c r="AA3372" s="12" t="s">
        <v>31</v>
      </c>
    </row>
    <row r="3373" spans="1:27" x14ac:dyDescent="0.25">
      <c r="A3373" s="10">
        <v>45708</v>
      </c>
      <c r="B3373" s="11" t="s">
        <v>6104</v>
      </c>
      <c r="C3373" s="11" t="s">
        <v>6105</v>
      </c>
      <c r="D3373" s="11">
        <v>17918</v>
      </c>
      <c r="E3373" s="11" t="s">
        <v>243</v>
      </c>
      <c r="F3373" s="11" t="s">
        <v>26</v>
      </c>
      <c r="G3373" s="11" t="s">
        <v>26</v>
      </c>
      <c r="H3373" s="12" t="s">
        <v>149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69" t="s">
        <v>41</v>
      </c>
      <c r="AA3373" s="12" t="s">
        <v>79</v>
      </c>
    </row>
    <row r="3374" spans="1:27" x14ac:dyDescent="0.25">
      <c r="A3374" s="10">
        <v>45708</v>
      </c>
      <c r="B3374" s="11" t="s">
        <v>6099</v>
      </c>
      <c r="C3374" s="11" t="s">
        <v>6106</v>
      </c>
      <c r="D3374" s="11">
        <v>17919</v>
      </c>
      <c r="E3374" s="11" t="s">
        <v>187</v>
      </c>
      <c r="F3374" s="11" t="s">
        <v>26</v>
      </c>
      <c r="G3374" s="11" t="s">
        <v>26</v>
      </c>
      <c r="H3374" s="12" t="s">
        <v>4444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69" t="s">
        <v>144</v>
      </c>
      <c r="AA3374" s="12" t="s">
        <v>6054</v>
      </c>
    </row>
    <row r="3375" spans="1:27" x14ac:dyDescent="0.25">
      <c r="A3375" s="10">
        <v>45708</v>
      </c>
      <c r="B3375" s="11" t="s">
        <v>6107</v>
      </c>
      <c r="C3375" s="11" t="s">
        <v>6108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69" t="s">
        <v>26</v>
      </c>
      <c r="AA3375" s="12" t="s">
        <v>31</v>
      </c>
    </row>
    <row r="3376" spans="1:27" x14ac:dyDescent="0.25">
      <c r="A3376" s="10">
        <v>45708</v>
      </c>
      <c r="B3376" s="11" t="s">
        <v>6109</v>
      </c>
      <c r="C3376" s="11" t="s">
        <v>6110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143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40</v>
      </c>
      <c r="P3376" s="13"/>
      <c r="Q3376" s="13">
        <v>0</v>
      </c>
      <c r="R3376" s="72">
        <f>+L3376*O3376</f>
        <v>1744</v>
      </c>
      <c r="S3376" s="72">
        <v>0</v>
      </c>
      <c r="T3376" s="72">
        <f>+L3376*S3376</f>
        <v>0</v>
      </c>
      <c r="U3376" s="72">
        <f>+R3376-T3376</f>
        <v>1744</v>
      </c>
      <c r="V3376" s="72">
        <f t="shared" ref="V3376" si="1334">+U3376*0</f>
        <v>0</v>
      </c>
      <c r="W3376" s="72">
        <f>+U3376-V3376</f>
        <v>1744</v>
      </c>
      <c r="X3376" s="72">
        <v>0</v>
      </c>
      <c r="Y3376" s="14">
        <f t="shared" si="1333"/>
        <v>0</v>
      </c>
      <c r="Z3376" s="69" t="s">
        <v>26</v>
      </c>
      <c r="AA3376" s="12" t="s">
        <v>31</v>
      </c>
    </row>
    <row r="3377" spans="1:27" x14ac:dyDescent="0.25">
      <c r="A3377" s="10">
        <v>45708</v>
      </c>
      <c r="B3377" s="11" t="s">
        <v>1869</v>
      </c>
      <c r="C3377" s="11" t="s">
        <v>6111</v>
      </c>
      <c r="D3377" s="11">
        <v>17922</v>
      </c>
      <c r="E3377" s="11" t="s">
        <v>1221</v>
      </c>
      <c r="F3377" s="11" t="s">
        <v>26</v>
      </c>
      <c r="G3377" s="11">
        <v>2982</v>
      </c>
      <c r="H3377" s="12" t="s">
        <v>166</v>
      </c>
      <c r="I3377" s="12" t="s">
        <v>55</v>
      </c>
      <c r="J3377" s="12" t="s">
        <v>569</v>
      </c>
      <c r="K3377" s="12" t="s">
        <v>553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69" t="s">
        <v>26</v>
      </c>
      <c r="AA3377" s="12" t="s">
        <v>31</v>
      </c>
    </row>
    <row r="3378" spans="1:27" x14ac:dyDescent="0.25">
      <c r="A3378" s="10">
        <v>45708</v>
      </c>
      <c r="B3378" s="11" t="s">
        <v>4192</v>
      </c>
      <c r="C3378" s="11" t="s">
        <v>6112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143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40</v>
      </c>
      <c r="P3378" s="13"/>
      <c r="Q3378" s="13">
        <v>0</v>
      </c>
      <c r="R3378" s="72">
        <f>+L3378*O3378</f>
        <v>1717.6</v>
      </c>
      <c r="S3378" s="72">
        <v>0</v>
      </c>
      <c r="T3378" s="72">
        <f>+L3378*S3378</f>
        <v>0</v>
      </c>
      <c r="U3378" s="72">
        <f>+R3378-T3378</f>
        <v>1717.6</v>
      </c>
      <c r="V3378" s="72">
        <f t="shared" ref="V3378" si="1335">+U3378*0</f>
        <v>0</v>
      </c>
      <c r="W3378" s="72">
        <f>+U3378-V3378</f>
        <v>1717.6</v>
      </c>
      <c r="X3378" s="72">
        <v>0</v>
      </c>
      <c r="Y3378" s="14">
        <f t="shared" si="1333"/>
        <v>0</v>
      </c>
      <c r="Z3378" s="69" t="s">
        <v>26</v>
      </c>
      <c r="AA3378" s="12" t="s">
        <v>31</v>
      </c>
    </row>
    <row r="3379" spans="1:27" x14ac:dyDescent="0.25">
      <c r="A3379" s="10">
        <v>45708</v>
      </c>
      <c r="B3379" s="11" t="s">
        <v>1769</v>
      </c>
      <c r="C3379" s="11" t="s">
        <v>6113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69" t="s">
        <v>26</v>
      </c>
      <c r="AA3379" s="12" t="s">
        <v>31</v>
      </c>
    </row>
    <row r="3380" spans="1:27" x14ac:dyDescent="0.25">
      <c r="A3380" s="10">
        <v>45708</v>
      </c>
      <c r="B3380" s="11" t="s">
        <v>6114</v>
      </c>
      <c r="C3380" s="11" t="s">
        <v>6115</v>
      </c>
      <c r="D3380" s="11">
        <v>17925</v>
      </c>
      <c r="E3380" s="11" t="s">
        <v>227</v>
      </c>
      <c r="F3380" s="11" t="s">
        <v>26</v>
      </c>
      <c r="G3380" s="11">
        <v>3229</v>
      </c>
      <c r="H3380" s="12" t="s">
        <v>4444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69" t="s">
        <v>26</v>
      </c>
      <c r="AA3380" s="12" t="s">
        <v>31</v>
      </c>
    </row>
    <row r="3381" spans="1:27" x14ac:dyDescent="0.25">
      <c r="A3381" s="10">
        <v>45708</v>
      </c>
      <c r="B3381" s="11" t="s">
        <v>6116</v>
      </c>
      <c r="C3381" s="11" t="s">
        <v>6117</v>
      </c>
      <c r="D3381" s="11">
        <v>17926</v>
      </c>
      <c r="E3381" s="11" t="s">
        <v>608</v>
      </c>
      <c r="F3381" s="11" t="s">
        <v>26</v>
      </c>
      <c r="G3381" s="11" t="s">
        <v>26</v>
      </c>
      <c r="H3381" s="12" t="s">
        <v>4444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69" t="s">
        <v>144</v>
      </c>
      <c r="AA3381" s="12" t="s">
        <v>6054</v>
      </c>
    </row>
    <row r="3382" spans="1:27" x14ac:dyDescent="0.25">
      <c r="A3382" s="10">
        <v>45708</v>
      </c>
      <c r="B3382" s="11" t="s">
        <v>6118</v>
      </c>
      <c r="C3382" s="11" t="s">
        <v>6119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568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69" t="s">
        <v>26</v>
      </c>
      <c r="AA3382" s="12" t="s">
        <v>31</v>
      </c>
    </row>
    <row r="3383" spans="1:27" x14ac:dyDescent="0.25">
      <c r="A3383" s="10">
        <v>45708</v>
      </c>
      <c r="B3383" s="11" t="s">
        <v>1078</v>
      </c>
      <c r="C3383" s="11" t="s">
        <v>6120</v>
      </c>
      <c r="D3383" s="11">
        <v>17928</v>
      </c>
      <c r="E3383" s="11" t="s">
        <v>573</v>
      </c>
      <c r="F3383" s="11" t="s">
        <v>26</v>
      </c>
      <c r="G3383" s="11">
        <v>10763</v>
      </c>
      <c r="H3383" s="12" t="s">
        <v>143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40</v>
      </c>
      <c r="P3383" s="13"/>
      <c r="Q3383" s="13">
        <v>0</v>
      </c>
      <c r="R3383" s="72">
        <f>+L3383*O3383</f>
        <v>1702.4</v>
      </c>
      <c r="S3383" s="72">
        <v>0</v>
      </c>
      <c r="T3383" s="72">
        <f>+L3383*S3383</f>
        <v>0</v>
      </c>
      <c r="U3383" s="72">
        <f>+R3383-T3383</f>
        <v>1702.4</v>
      </c>
      <c r="V3383" s="72">
        <f t="shared" ref="V3383" si="1342">+U3383*0</f>
        <v>0</v>
      </c>
      <c r="W3383" s="72">
        <f>+U3383-V3383</f>
        <v>1702.4</v>
      </c>
      <c r="X3383" s="72">
        <v>0</v>
      </c>
      <c r="Y3383" s="14">
        <f t="shared" si="1341"/>
        <v>0</v>
      </c>
      <c r="Z3383" s="69" t="s">
        <v>26</v>
      </c>
      <c r="AA3383" s="12" t="s">
        <v>31</v>
      </c>
    </row>
    <row r="3384" spans="1:27" x14ac:dyDescent="0.25">
      <c r="A3384" s="10">
        <v>45708</v>
      </c>
      <c r="B3384" s="11" t="s">
        <v>6121</v>
      </c>
      <c r="C3384" s="11" t="s">
        <v>6122</v>
      </c>
      <c r="D3384" s="11">
        <v>17929</v>
      </c>
      <c r="E3384" s="11" t="s">
        <v>596</v>
      </c>
      <c r="F3384" s="11" t="s">
        <v>26</v>
      </c>
      <c r="G3384" s="11">
        <v>44343</v>
      </c>
      <c r="H3384" s="12" t="s">
        <v>4444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69" t="s">
        <v>26</v>
      </c>
      <c r="AA3384" s="12" t="s">
        <v>31</v>
      </c>
    </row>
    <row r="3385" spans="1:27" x14ac:dyDescent="0.25">
      <c r="A3385" s="10">
        <v>45708</v>
      </c>
      <c r="B3385" s="11" t="s">
        <v>6123</v>
      </c>
      <c r="C3385" s="11" t="s">
        <v>6124</v>
      </c>
      <c r="D3385" s="11">
        <v>17930</v>
      </c>
      <c r="E3385" s="11" t="s">
        <v>249</v>
      </c>
      <c r="F3385" s="11" t="s">
        <v>26</v>
      </c>
      <c r="G3385" s="11" t="s">
        <v>26</v>
      </c>
      <c r="H3385" s="12" t="s">
        <v>4443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69" t="s">
        <v>41</v>
      </c>
      <c r="AA3385" s="12" t="s">
        <v>78</v>
      </c>
    </row>
    <row r="3386" spans="1:27" x14ac:dyDescent="0.25">
      <c r="A3386" s="10">
        <v>45708</v>
      </c>
      <c r="B3386" s="11" t="s">
        <v>6125</v>
      </c>
      <c r="C3386" s="11" t="s">
        <v>6126</v>
      </c>
      <c r="D3386" s="11">
        <v>17931</v>
      </c>
      <c r="E3386" s="11" t="s">
        <v>542</v>
      </c>
      <c r="F3386" s="11" t="s">
        <v>26</v>
      </c>
      <c r="G3386" s="11" t="s">
        <v>26</v>
      </c>
      <c r="H3386" s="12" t="s">
        <v>149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69" t="s">
        <v>41</v>
      </c>
      <c r="AA3386" s="12" t="s">
        <v>79</v>
      </c>
    </row>
    <row r="3387" spans="1:27" x14ac:dyDescent="0.25">
      <c r="A3387" s="10">
        <v>45708</v>
      </c>
      <c r="B3387" s="11" t="s">
        <v>6127</v>
      </c>
      <c r="C3387" s="11" t="s">
        <v>6128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166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" si="1352">T3387-X3387</f>
        <v>0</v>
      </c>
      <c r="Z3387" s="69" t="s">
        <v>26</v>
      </c>
      <c r="AA3387" s="12" t="s">
        <v>31</v>
      </c>
    </row>
    <row r="3388" spans="1:27" x14ac:dyDescent="0.25">
      <c r="A3388" s="10">
        <v>45708</v>
      </c>
      <c r="B3388" s="11" t="s">
        <v>6129</v>
      </c>
      <c r="C3388" s="11" t="s">
        <v>6130</v>
      </c>
      <c r="D3388" s="11">
        <v>17933</v>
      </c>
      <c r="E3388" s="11" t="s">
        <v>98</v>
      </c>
      <c r="F3388" s="11" t="s">
        <v>26</v>
      </c>
      <c r="G3388" s="11">
        <v>9801</v>
      </c>
      <c r="H3388" s="12" t="s">
        <v>4469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75">
        <v>65.599999999999994</v>
      </c>
      <c r="Q3388" s="75">
        <v>0</v>
      </c>
      <c r="R3388" s="76">
        <f>+M3388*P3388</f>
        <v>787.19999999999993</v>
      </c>
      <c r="S3388" s="76">
        <v>0</v>
      </c>
      <c r="T3388" s="76">
        <f>+M3388*S3388</f>
        <v>0</v>
      </c>
      <c r="U3388" s="76">
        <f>+R3388-T3388</f>
        <v>787.19999999999993</v>
      </c>
      <c r="V3388" s="76">
        <f>+U3388*0</f>
        <v>0</v>
      </c>
      <c r="W3388" s="76">
        <f>+U3388-V3388</f>
        <v>787.19999999999993</v>
      </c>
      <c r="X3388" s="76">
        <f>+L3388*0</f>
        <v>0</v>
      </c>
      <c r="Y3388" s="76">
        <f>+T3388-X3388</f>
        <v>0</v>
      </c>
      <c r="Z3388" s="69" t="s">
        <v>26</v>
      </c>
      <c r="AA3388" s="12" t="s">
        <v>31</v>
      </c>
    </row>
    <row r="3389" spans="1:27" x14ac:dyDescent="0.25">
      <c r="A3389" s="10">
        <v>45708</v>
      </c>
      <c r="B3389" s="11" t="s">
        <v>683</v>
      </c>
      <c r="C3389" s="11" t="s">
        <v>6131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1930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3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ref="Y3389:Y3403" si="1354">T3389-X3389</f>
        <v>0</v>
      </c>
      <c r="Z3389" s="69" t="s">
        <v>26</v>
      </c>
      <c r="AA3389" s="12" t="s">
        <v>31</v>
      </c>
    </row>
    <row r="3390" spans="1:27" x14ac:dyDescent="0.25">
      <c r="A3390" s="10">
        <v>45708</v>
      </c>
      <c r="B3390" s="11" t="s">
        <v>6132</v>
      </c>
      <c r="C3390" s="11" t="s">
        <v>6133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5">+R3390-T3390</f>
        <v>1500</v>
      </c>
      <c r="V3390" s="72">
        <f>+U3390*0</f>
        <v>0</v>
      </c>
      <c r="W3390" s="72">
        <f t="shared" ref="W3390:W3392" si="1356">+U3390-V3390</f>
        <v>1500</v>
      </c>
      <c r="X3390" s="72">
        <v>0</v>
      </c>
      <c r="Y3390" s="14">
        <f t="shared" si="1354"/>
        <v>0</v>
      </c>
      <c r="Z3390" s="69" t="s">
        <v>26</v>
      </c>
      <c r="AA3390" s="12" t="s">
        <v>31</v>
      </c>
    </row>
    <row r="3391" spans="1:27" x14ac:dyDescent="0.25">
      <c r="A3391" s="10">
        <v>45708</v>
      </c>
      <c r="B3391" s="11" t="s">
        <v>6134</v>
      </c>
      <c r="C3391" s="11" t="s">
        <v>6135</v>
      </c>
      <c r="D3391" s="11">
        <v>17936</v>
      </c>
      <c r="E3391" s="11" t="s">
        <v>486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5"/>
        <v>1500</v>
      </c>
      <c r="V3391" s="72">
        <f>+U3391*0</f>
        <v>0</v>
      </c>
      <c r="W3391" s="72">
        <f t="shared" si="1356"/>
        <v>1500</v>
      </c>
      <c r="X3391" s="72">
        <v>0</v>
      </c>
      <c r="Y3391" s="14">
        <f t="shared" si="1354"/>
        <v>0</v>
      </c>
      <c r="Z3391" s="69" t="s">
        <v>26</v>
      </c>
      <c r="AA3391" s="12" t="s">
        <v>31</v>
      </c>
    </row>
    <row r="3392" spans="1:27" x14ac:dyDescent="0.25">
      <c r="A3392" s="10">
        <v>45708</v>
      </c>
      <c r="B3392" s="11" t="s">
        <v>6136</v>
      </c>
      <c r="C3392" s="11" t="s">
        <v>6137</v>
      </c>
      <c r="D3392" s="11">
        <v>17937</v>
      </c>
      <c r="E3392" s="11" t="s">
        <v>438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5"/>
        <v>576</v>
      </c>
      <c r="V3392" s="72">
        <f>+U3392*0</f>
        <v>0</v>
      </c>
      <c r="W3392" s="72">
        <f t="shared" si="1356"/>
        <v>576</v>
      </c>
      <c r="X3392" s="72">
        <v>0</v>
      </c>
      <c r="Y3392" s="14">
        <f t="shared" si="1354"/>
        <v>0</v>
      </c>
      <c r="Z3392" s="69" t="s">
        <v>26</v>
      </c>
      <c r="AA3392" s="12" t="s">
        <v>31</v>
      </c>
    </row>
    <row r="3393" spans="1:27" x14ac:dyDescent="0.25">
      <c r="A3393" s="10">
        <v>45708</v>
      </c>
      <c r="B3393" s="11" t="s">
        <v>2840</v>
      </c>
      <c r="C3393" s="11" t="s">
        <v>6138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1930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7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4"/>
        <v>0</v>
      </c>
      <c r="Z3393" s="69" t="s">
        <v>26</v>
      </c>
      <c r="AA3393" s="12" t="s">
        <v>31</v>
      </c>
    </row>
    <row r="3394" spans="1:27" x14ac:dyDescent="0.25">
      <c r="A3394" s="10">
        <v>45708</v>
      </c>
      <c r="B3394" s="11" t="s">
        <v>6139</v>
      </c>
      <c r="C3394" s="11" t="s">
        <v>6140</v>
      </c>
      <c r="D3394" s="11">
        <v>17939</v>
      </c>
      <c r="E3394" s="11" t="s">
        <v>592</v>
      </c>
      <c r="F3394" s="11" t="s">
        <v>26</v>
      </c>
      <c r="G3394" s="11">
        <v>56933</v>
      </c>
      <c r="H3394" s="12" t="s">
        <v>4444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8">+L3394*O3394</f>
        <v>1538.2399999999998</v>
      </c>
      <c r="S3394" s="72">
        <v>0</v>
      </c>
      <c r="T3394" s="72">
        <f t="shared" ref="T3394:T3395" si="1359">+L3394*S3394</f>
        <v>0</v>
      </c>
      <c r="U3394" s="72">
        <f t="shared" ref="U3394:U3395" si="1360">+R3394-T3394</f>
        <v>1538.2399999999998</v>
      </c>
      <c r="V3394" s="72">
        <f>+U3394*1</f>
        <v>1538.2399999999998</v>
      </c>
      <c r="W3394" s="72">
        <f t="shared" ref="W3394:W3395" si="1361">+U3394-V3394</f>
        <v>0</v>
      </c>
      <c r="X3394" s="72">
        <v>0</v>
      </c>
      <c r="Y3394" s="14">
        <f t="shared" si="1354"/>
        <v>0</v>
      </c>
      <c r="Z3394" s="69" t="s">
        <v>26</v>
      </c>
      <c r="AA3394" s="12" t="s">
        <v>31</v>
      </c>
    </row>
    <row r="3395" spans="1:27" x14ac:dyDescent="0.25">
      <c r="A3395" s="10">
        <v>45708</v>
      </c>
      <c r="B3395" s="11" t="s">
        <v>620</v>
      </c>
      <c r="C3395" s="11" t="s">
        <v>6141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59"/>
        <v>0</v>
      </c>
      <c r="U3395" s="72">
        <f t="shared" si="1360"/>
        <v>451.79999999999995</v>
      </c>
      <c r="V3395" s="72">
        <f>+U3395*0</f>
        <v>0</v>
      </c>
      <c r="W3395" s="72">
        <f t="shared" si="1361"/>
        <v>451.79999999999995</v>
      </c>
      <c r="X3395" s="72">
        <v>0</v>
      </c>
      <c r="Y3395" s="14">
        <f t="shared" si="1354"/>
        <v>0</v>
      </c>
      <c r="Z3395" s="69" t="s">
        <v>26</v>
      </c>
      <c r="AA3395" s="12" t="s">
        <v>31</v>
      </c>
    </row>
    <row r="3396" spans="1:27" x14ac:dyDescent="0.25">
      <c r="A3396" s="10">
        <v>45708</v>
      </c>
      <c r="B3396" s="11" t="s">
        <v>6142</v>
      </c>
      <c r="C3396" s="11" t="s">
        <v>6143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2">U3396*0</f>
        <v>0</v>
      </c>
      <c r="W3396" s="72">
        <f t="shared" ref="W3396" si="1363">U3396-V3396</f>
        <v>1450</v>
      </c>
      <c r="X3396" s="72">
        <v>0</v>
      </c>
      <c r="Y3396" s="14">
        <f t="shared" si="1354"/>
        <v>0</v>
      </c>
      <c r="Z3396" s="69" t="s">
        <v>26</v>
      </c>
      <c r="AA3396" s="12" t="s">
        <v>31</v>
      </c>
    </row>
    <row r="3397" spans="1:27" x14ac:dyDescent="0.25">
      <c r="A3397" s="10">
        <v>45708</v>
      </c>
      <c r="B3397" s="11" t="s">
        <v>6144</v>
      </c>
      <c r="C3397" s="11" t="s">
        <v>6145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4">+L3397*S3397</f>
        <v>0</v>
      </c>
      <c r="U3397" s="72">
        <f t="shared" ref="U3397:U3399" si="1365">+R3397-T3397</f>
        <v>112</v>
      </c>
      <c r="V3397" s="72">
        <f>+U3397*0</f>
        <v>0</v>
      </c>
      <c r="W3397" s="72">
        <f t="shared" ref="W3397:W3399" si="1366">+U3397-V3397</f>
        <v>112</v>
      </c>
      <c r="X3397" s="72">
        <v>0</v>
      </c>
      <c r="Y3397" s="14">
        <f t="shared" si="1354"/>
        <v>0</v>
      </c>
      <c r="Z3397" s="69" t="s">
        <v>26</v>
      </c>
      <c r="AA3397" s="12" t="s">
        <v>31</v>
      </c>
    </row>
    <row r="3398" spans="1:27" x14ac:dyDescent="0.25">
      <c r="A3398" s="10">
        <v>45708</v>
      </c>
      <c r="B3398" s="11" t="s">
        <v>6146</v>
      </c>
      <c r="C3398" s="11" t="s">
        <v>6147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5"/>
        <v>1600</v>
      </c>
      <c r="V3398" s="72">
        <f t="shared" ref="V3398:V3400" si="1367">+U3398*0</f>
        <v>0</v>
      </c>
      <c r="W3398" s="72">
        <f t="shared" si="1366"/>
        <v>1600</v>
      </c>
      <c r="X3398" s="72">
        <v>0</v>
      </c>
      <c r="Y3398" s="14">
        <f t="shared" si="1354"/>
        <v>0</v>
      </c>
      <c r="Z3398" s="69" t="s">
        <v>26</v>
      </c>
      <c r="AA3398" s="12" t="s">
        <v>31</v>
      </c>
    </row>
    <row r="3399" spans="1:27" x14ac:dyDescent="0.25">
      <c r="A3399" s="10">
        <v>45708</v>
      </c>
      <c r="B3399" s="11" t="s">
        <v>6148</v>
      </c>
      <c r="C3399" s="11" t="s">
        <v>6149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5"/>
        <v>1600</v>
      </c>
      <c r="V3399" s="72">
        <f t="shared" si="1367"/>
        <v>0</v>
      </c>
      <c r="W3399" s="72">
        <f t="shared" si="1366"/>
        <v>1600</v>
      </c>
      <c r="X3399" s="72">
        <v>0</v>
      </c>
      <c r="Y3399" s="14">
        <f t="shared" si="1354"/>
        <v>0</v>
      </c>
      <c r="Z3399" s="69" t="s">
        <v>26</v>
      </c>
      <c r="AA3399" s="12" t="s">
        <v>31</v>
      </c>
    </row>
    <row r="3400" spans="1:27" x14ac:dyDescent="0.25">
      <c r="A3400" s="10">
        <v>45708</v>
      </c>
      <c r="B3400" s="11" t="s">
        <v>6150</v>
      </c>
      <c r="C3400" s="11" t="s">
        <v>6151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143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7"/>
        <v>0</v>
      </c>
      <c r="W3400" s="72">
        <f>+U3400-V3400</f>
        <v>1634.4</v>
      </c>
      <c r="X3400" s="72">
        <v>0</v>
      </c>
      <c r="Y3400" s="14">
        <f t="shared" si="1354"/>
        <v>0</v>
      </c>
      <c r="Z3400" s="69" t="s">
        <v>26</v>
      </c>
      <c r="AA3400" s="12" t="s">
        <v>31</v>
      </c>
    </row>
    <row r="3401" spans="1:27" x14ac:dyDescent="0.25">
      <c r="A3401" s="10">
        <v>45708</v>
      </c>
      <c r="B3401" s="11" t="s">
        <v>6152</v>
      </c>
      <c r="C3401" s="11" t="s">
        <v>6153</v>
      </c>
      <c r="D3401" s="11">
        <v>17946</v>
      </c>
      <c r="E3401" s="11" t="s">
        <v>227</v>
      </c>
      <c r="F3401" s="11" t="s">
        <v>26</v>
      </c>
      <c r="G3401" s="11">
        <v>3230</v>
      </c>
      <c r="H3401" s="12" t="s">
        <v>4444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8">+R3401-T3401</f>
        <v>1614.6000000000001</v>
      </c>
      <c r="V3401" s="72">
        <f>+U3401*1</f>
        <v>1614.6000000000001</v>
      </c>
      <c r="W3401" s="72">
        <f t="shared" ref="W3401" si="1369">+U3401-V3401</f>
        <v>0</v>
      </c>
      <c r="X3401" s="72">
        <v>0</v>
      </c>
      <c r="Y3401" s="14">
        <f t="shared" si="1354"/>
        <v>0</v>
      </c>
      <c r="Z3401" s="69" t="s">
        <v>26</v>
      </c>
      <c r="AA3401" s="12" t="s">
        <v>31</v>
      </c>
    </row>
    <row r="3402" spans="1:27" x14ac:dyDescent="0.25">
      <c r="A3402" s="10">
        <v>45708</v>
      </c>
      <c r="B3402" s="11" t="s">
        <v>6154</v>
      </c>
      <c r="C3402" s="11" t="s">
        <v>6155</v>
      </c>
      <c r="D3402" s="11">
        <v>17947</v>
      </c>
      <c r="E3402" s="11" t="s">
        <v>523</v>
      </c>
      <c r="F3402" s="11" t="s">
        <v>26</v>
      </c>
      <c r="G3402" s="11">
        <v>10454</v>
      </c>
      <c r="H3402" s="12" t="s">
        <v>143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40</v>
      </c>
      <c r="P3402" s="13"/>
      <c r="Q3402" s="13">
        <v>0</v>
      </c>
      <c r="R3402" s="72">
        <f>+L3402*O3402</f>
        <v>1744.8</v>
      </c>
      <c r="S3402" s="72">
        <v>0</v>
      </c>
      <c r="T3402" s="72">
        <f>+L3402*S3402</f>
        <v>0</v>
      </c>
      <c r="U3402" s="72">
        <f>+R3402-T3402</f>
        <v>1744.8</v>
      </c>
      <c r="V3402" s="72">
        <f t="shared" ref="V3402:V3403" si="1370">+U3402*0</f>
        <v>0</v>
      </c>
      <c r="W3402" s="72">
        <f>+U3402-V3402</f>
        <v>1744.8</v>
      </c>
      <c r="X3402" s="72">
        <v>0</v>
      </c>
      <c r="Y3402" s="14">
        <f t="shared" si="1354"/>
        <v>0</v>
      </c>
      <c r="Z3402" s="69" t="s">
        <v>26</v>
      </c>
      <c r="AA3402" s="12" t="s">
        <v>31</v>
      </c>
    </row>
    <row r="3403" spans="1:27" x14ac:dyDescent="0.25">
      <c r="A3403" s="10">
        <v>45708</v>
      </c>
      <c r="B3403" s="11" t="s">
        <v>1122</v>
      </c>
      <c r="C3403" s="11" t="s">
        <v>6156</v>
      </c>
      <c r="D3403" s="11">
        <v>17948</v>
      </c>
      <c r="E3403" s="11" t="s">
        <v>449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1">+L3403*S3403</f>
        <v>0</v>
      </c>
      <c r="U3403" s="72">
        <f t="shared" ref="U3403" si="1372">+R3403-T3403</f>
        <v>670.40000000000009</v>
      </c>
      <c r="V3403" s="72">
        <f t="shared" si="1370"/>
        <v>0</v>
      </c>
      <c r="W3403" s="72">
        <f t="shared" ref="W3403" si="1373">+U3403-V3403</f>
        <v>670.40000000000009</v>
      </c>
      <c r="X3403" s="72">
        <v>0</v>
      </c>
      <c r="Y3403" s="14">
        <f t="shared" si="1354"/>
        <v>0</v>
      </c>
      <c r="Z3403" s="69" t="s">
        <v>26</v>
      </c>
      <c r="AA3403" s="12" t="s">
        <v>31</v>
      </c>
    </row>
    <row r="3404" spans="1:27" x14ac:dyDescent="0.25">
      <c r="A3404" s="10">
        <v>45708</v>
      </c>
      <c r="B3404" s="11" t="s">
        <v>6157</v>
      </c>
      <c r="C3404" s="11" t="s">
        <v>6158</v>
      </c>
      <c r="D3404" s="11">
        <v>17949</v>
      </c>
      <c r="E3404" s="11" t="s">
        <v>6159</v>
      </c>
      <c r="F3404" s="11" t="s">
        <v>26</v>
      </c>
      <c r="G3404" s="11">
        <v>2962</v>
      </c>
      <c r="H3404" s="12" t="s">
        <v>4464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69" t="s">
        <v>26</v>
      </c>
      <c r="AA3404" s="12" t="s">
        <v>31</v>
      </c>
    </row>
    <row r="3405" spans="1:27" x14ac:dyDescent="0.25">
      <c r="A3405" s="10">
        <v>45708</v>
      </c>
      <c r="B3405" s="11" t="s">
        <v>6160</v>
      </c>
      <c r="C3405" s="11" t="s">
        <v>6161</v>
      </c>
      <c r="D3405" s="11">
        <v>17950</v>
      </c>
      <c r="E3405" s="11" t="s">
        <v>504</v>
      </c>
      <c r="F3405" s="11" t="s">
        <v>26</v>
      </c>
      <c r="G3405" s="11" t="s">
        <v>26</v>
      </c>
      <c r="H3405" s="12" t="s">
        <v>4444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69" t="s">
        <v>144</v>
      </c>
      <c r="AA3405" s="12" t="s">
        <v>6054</v>
      </c>
    </row>
    <row r="3406" spans="1:27" x14ac:dyDescent="0.25">
      <c r="A3406" s="10">
        <v>45708</v>
      </c>
      <c r="B3406" s="11" t="s">
        <v>410</v>
      </c>
      <c r="C3406" s="11" t="s">
        <v>6162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1930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4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19" si="1375">T3406-X3406</f>
        <v>0</v>
      </c>
      <c r="Z3406" s="69" t="s">
        <v>26</v>
      </c>
      <c r="AA3406" s="12" t="s">
        <v>31</v>
      </c>
    </row>
    <row r="3407" spans="1:27" x14ac:dyDescent="0.25">
      <c r="A3407" s="10">
        <v>45708</v>
      </c>
      <c r="B3407" s="11" t="s">
        <v>373</v>
      </c>
      <c r="C3407" s="11" t="s">
        <v>6163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6">+L3407*S3407</f>
        <v>0</v>
      </c>
      <c r="U3407" s="72">
        <f t="shared" ref="U3407" si="1377">+R3407-T3407</f>
        <v>150.4</v>
      </c>
      <c r="V3407" s="72">
        <f>+U3407*0</f>
        <v>0</v>
      </c>
      <c r="W3407" s="72">
        <f t="shared" ref="W3407" si="1378">+U3407-V3407</f>
        <v>150.4</v>
      </c>
      <c r="X3407" s="72">
        <v>0</v>
      </c>
      <c r="Y3407" s="14">
        <f t="shared" si="1375"/>
        <v>0</v>
      </c>
      <c r="Z3407" s="69" t="s">
        <v>26</v>
      </c>
      <c r="AA3407" s="12" t="s">
        <v>31</v>
      </c>
    </row>
    <row r="3408" spans="1:27" x14ac:dyDescent="0.25">
      <c r="A3408" s="10">
        <v>45708</v>
      </c>
      <c r="B3408" s="11" t="s">
        <v>6164</v>
      </c>
      <c r="C3408" s="11" t="s">
        <v>6165</v>
      </c>
      <c r="D3408" s="11">
        <v>17953</v>
      </c>
      <c r="E3408" s="11" t="s">
        <v>1221</v>
      </c>
      <c r="F3408" s="11" t="s">
        <v>26</v>
      </c>
      <c r="G3408" s="11">
        <v>2983</v>
      </c>
      <c r="H3408" s="12" t="s">
        <v>166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5"/>
        <v>0</v>
      </c>
      <c r="Z3408" s="69" t="s">
        <v>26</v>
      </c>
      <c r="AA3408" s="12" t="s">
        <v>31</v>
      </c>
    </row>
    <row r="3409" spans="1:27" x14ac:dyDescent="0.25">
      <c r="A3409" s="10">
        <v>45708</v>
      </c>
      <c r="B3409" s="11" t="s">
        <v>5490</v>
      </c>
      <c r="C3409" s="11" t="s">
        <v>6166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79">+R3409-T3409</f>
        <v>1500</v>
      </c>
      <c r="V3409" s="72">
        <f>+U3409*0</f>
        <v>0</v>
      </c>
      <c r="W3409" s="72">
        <f t="shared" ref="W3409" si="1380">+U3409-V3409</f>
        <v>1500</v>
      </c>
      <c r="X3409" s="72">
        <v>0</v>
      </c>
      <c r="Y3409" s="14">
        <f t="shared" si="1375"/>
        <v>0</v>
      </c>
      <c r="Z3409" s="69" t="s">
        <v>26</v>
      </c>
      <c r="AA3409" s="12" t="s">
        <v>31</v>
      </c>
    </row>
    <row r="3410" spans="1:27" x14ac:dyDescent="0.25">
      <c r="A3410" s="10">
        <v>45708</v>
      </c>
      <c r="B3410" s="11" t="s">
        <v>731</v>
      </c>
      <c r="C3410" s="11" t="s">
        <v>6167</v>
      </c>
      <c r="D3410" s="11">
        <v>17955</v>
      </c>
      <c r="E3410" s="11" t="s">
        <v>6168</v>
      </c>
      <c r="F3410" s="11" t="s">
        <v>26</v>
      </c>
      <c r="G3410" s="11">
        <v>4672</v>
      </c>
      <c r="H3410" s="12" t="s">
        <v>143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1">+U3410*0</f>
        <v>0</v>
      </c>
      <c r="W3410" s="72">
        <f>+U3410-V3410</f>
        <v>570.30000000000007</v>
      </c>
      <c r="X3410" s="72">
        <v>0</v>
      </c>
      <c r="Y3410" s="14">
        <f t="shared" si="1375"/>
        <v>0</v>
      </c>
      <c r="Z3410" s="69" t="s">
        <v>26</v>
      </c>
      <c r="AA3410" s="12" t="s">
        <v>31</v>
      </c>
    </row>
    <row r="3411" spans="1:27" x14ac:dyDescent="0.25">
      <c r="A3411" s="10">
        <v>45708</v>
      </c>
      <c r="B3411" s="11" t="s">
        <v>6169</v>
      </c>
      <c r="C3411" s="11" t="s">
        <v>6170</v>
      </c>
      <c r="D3411" s="11">
        <v>17956</v>
      </c>
      <c r="E3411" s="11" t="s">
        <v>573</v>
      </c>
      <c r="F3411" s="11" t="s">
        <v>26</v>
      </c>
      <c r="G3411" s="11">
        <v>10764</v>
      </c>
      <c r="H3411" s="12" t="s">
        <v>143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1"/>
        <v>0</v>
      </c>
      <c r="W3411" s="72">
        <f>+U3411-V3411</f>
        <v>1584</v>
      </c>
      <c r="X3411" s="72">
        <v>0</v>
      </c>
      <c r="Y3411" s="14">
        <f t="shared" si="1375"/>
        <v>0</v>
      </c>
      <c r="Z3411" s="69" t="s">
        <v>26</v>
      </c>
      <c r="AA3411" s="12" t="s">
        <v>31</v>
      </c>
    </row>
    <row r="3412" spans="1:27" x14ac:dyDescent="0.25">
      <c r="A3412" s="10">
        <v>45708</v>
      </c>
      <c r="B3412" s="11" t="s">
        <v>6171</v>
      </c>
      <c r="C3412" s="11" t="s">
        <v>6172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2">+R3412-T3412</f>
        <v>1500</v>
      </c>
      <c r="V3412" s="72">
        <f>+U3412*0</f>
        <v>0</v>
      </c>
      <c r="W3412" s="72">
        <f t="shared" ref="W3412" si="1383">+U3412-V3412</f>
        <v>1500</v>
      </c>
      <c r="X3412" s="72">
        <v>0</v>
      </c>
      <c r="Y3412" s="14">
        <f t="shared" si="1375"/>
        <v>0</v>
      </c>
      <c r="Z3412" s="69" t="s">
        <v>26</v>
      </c>
      <c r="AA3412" s="12" t="s">
        <v>31</v>
      </c>
    </row>
    <row r="3413" spans="1:27" x14ac:dyDescent="0.25">
      <c r="A3413" s="10">
        <v>45708</v>
      </c>
      <c r="B3413" s="11" t="s">
        <v>412</v>
      </c>
      <c r="C3413" s="11" t="s">
        <v>6173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1930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4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5"/>
        <v>0</v>
      </c>
      <c r="Z3413" s="69" t="s">
        <v>26</v>
      </c>
      <c r="AA3413" s="12" t="s">
        <v>31</v>
      </c>
    </row>
    <row r="3414" spans="1:27" x14ac:dyDescent="0.25">
      <c r="A3414" s="10">
        <v>45708</v>
      </c>
      <c r="B3414" s="11" t="s">
        <v>5284</v>
      </c>
      <c r="C3414" s="11" t="s">
        <v>6174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166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5"/>
        <v>0</v>
      </c>
      <c r="Z3414" s="69" t="s">
        <v>26</v>
      </c>
      <c r="AA3414" s="12" t="s">
        <v>31</v>
      </c>
    </row>
    <row r="3415" spans="1:27" x14ac:dyDescent="0.25">
      <c r="A3415" s="10">
        <v>45708</v>
      </c>
      <c r="B3415" s="11" t="s">
        <v>6175</v>
      </c>
      <c r="C3415" s="11" t="s">
        <v>6176</v>
      </c>
      <c r="D3415" s="11">
        <v>17960</v>
      </c>
      <c r="E3415" s="11" t="s">
        <v>592</v>
      </c>
      <c r="F3415" s="11" t="s">
        <v>26</v>
      </c>
      <c r="G3415" s="11">
        <v>56934</v>
      </c>
      <c r="H3415" s="12" t="s">
        <v>4444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5">+R3415-T3415</f>
        <v>1549.8</v>
      </c>
      <c r="V3415" s="72">
        <f>+U3415*1</f>
        <v>1549.8</v>
      </c>
      <c r="W3415" s="72">
        <f t="shared" ref="W3415:W3416" si="1386">+U3415-V3415</f>
        <v>0</v>
      </c>
      <c r="X3415" s="72">
        <v>0</v>
      </c>
      <c r="Y3415" s="14">
        <f t="shared" si="1375"/>
        <v>0</v>
      </c>
      <c r="Z3415" s="69" t="s">
        <v>26</v>
      </c>
      <c r="AA3415" s="12" t="s">
        <v>31</v>
      </c>
    </row>
    <row r="3416" spans="1:27" x14ac:dyDescent="0.25">
      <c r="A3416" s="10">
        <v>45708</v>
      </c>
      <c r="B3416" s="11" t="s">
        <v>1811</v>
      </c>
      <c r="C3416" s="11" t="s">
        <v>6177</v>
      </c>
      <c r="D3416" s="11">
        <v>17961</v>
      </c>
      <c r="E3416" s="11" t="s">
        <v>4786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7">+L3416*S3416</f>
        <v>0</v>
      </c>
      <c r="U3416" s="72">
        <f t="shared" si="1385"/>
        <v>1865.7</v>
      </c>
      <c r="V3416" s="72">
        <f>+U3416*0</f>
        <v>0</v>
      </c>
      <c r="W3416" s="72">
        <f t="shared" si="1386"/>
        <v>1865.7</v>
      </c>
      <c r="X3416" s="72">
        <v>0</v>
      </c>
      <c r="Y3416" s="14">
        <f t="shared" si="1375"/>
        <v>0</v>
      </c>
      <c r="Z3416" s="69" t="s">
        <v>26</v>
      </c>
      <c r="AA3416" s="12" t="s">
        <v>31</v>
      </c>
    </row>
    <row r="3417" spans="1:27" x14ac:dyDescent="0.25">
      <c r="A3417" s="10">
        <v>45708</v>
      </c>
      <c r="B3417" s="11" t="s">
        <v>2988</v>
      </c>
      <c r="C3417" s="11" t="s">
        <v>6178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143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8">+U3417*0</f>
        <v>0</v>
      </c>
      <c r="W3417" s="72">
        <f>+U3417-V3417</f>
        <v>1617.6</v>
      </c>
      <c r="X3417" s="72">
        <v>0</v>
      </c>
      <c r="Y3417" s="14">
        <f t="shared" si="1375"/>
        <v>0</v>
      </c>
      <c r="Z3417" s="69" t="s">
        <v>26</v>
      </c>
      <c r="AA3417" s="12" t="s">
        <v>31</v>
      </c>
    </row>
    <row r="3418" spans="1:27" x14ac:dyDescent="0.25">
      <c r="A3418" s="10">
        <v>45708</v>
      </c>
      <c r="B3418" s="11" t="s">
        <v>6179</v>
      </c>
      <c r="C3418" s="11" t="s">
        <v>6180</v>
      </c>
      <c r="D3418" s="11">
        <v>17963</v>
      </c>
      <c r="E3418" s="11" t="s">
        <v>187</v>
      </c>
      <c r="F3418" s="11" t="s">
        <v>26</v>
      </c>
      <c r="G3418" s="11">
        <v>1024</v>
      </c>
      <c r="H3418" s="12" t="s">
        <v>144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5"/>
        <v>0</v>
      </c>
      <c r="Z3418" s="69" t="s">
        <v>26</v>
      </c>
      <c r="AA3418" s="12" t="s">
        <v>31</v>
      </c>
    </row>
    <row r="3419" spans="1:27" x14ac:dyDescent="0.25">
      <c r="A3419" s="10">
        <v>45708</v>
      </c>
      <c r="B3419" s="11" t="s">
        <v>6181</v>
      </c>
      <c r="C3419" s="11" t="s">
        <v>6182</v>
      </c>
      <c r="D3419" s="11">
        <v>17964</v>
      </c>
      <c r="E3419" s="11" t="s">
        <v>1221</v>
      </c>
      <c r="F3419" s="11" t="s">
        <v>26</v>
      </c>
      <c r="G3419" s="11">
        <v>2984</v>
      </c>
      <c r="H3419" s="12" t="s">
        <v>166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5"/>
        <v>0</v>
      </c>
      <c r="Z3419" s="69" t="s">
        <v>26</v>
      </c>
      <c r="AA3419" s="12" t="s">
        <v>31</v>
      </c>
    </row>
  </sheetData>
  <autoFilter ref="A1:AA1" xr:uid="{59409D17-1C23-4742-B986-241C51B5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92"/>
  <sheetViews>
    <sheetView workbookViewId="0">
      <selection activeCell="A95" sqref="A95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154</v>
      </c>
      <c r="C1" s="23" t="s">
        <v>155</v>
      </c>
      <c r="D1" s="24" t="s">
        <v>156</v>
      </c>
      <c r="E1" s="24" t="s">
        <v>159</v>
      </c>
      <c r="F1" s="23" t="s">
        <v>157</v>
      </c>
      <c r="G1" s="26" t="s">
        <v>158</v>
      </c>
    </row>
    <row r="2" spans="1:7" x14ac:dyDescent="0.25">
      <c r="A2" s="20" t="s">
        <v>149</v>
      </c>
      <c r="B2" s="19">
        <v>30000</v>
      </c>
      <c r="C2" s="17">
        <v>45659</v>
      </c>
      <c r="D2" s="17">
        <v>45749</v>
      </c>
      <c r="E2" s="17" t="s">
        <v>160</v>
      </c>
      <c r="F2" s="18" t="s">
        <v>922</v>
      </c>
      <c r="G2" s="51" t="s">
        <v>4420</v>
      </c>
    </row>
    <row r="3" spans="1:7" x14ac:dyDescent="0.25">
      <c r="A3" s="20" t="s">
        <v>4468</v>
      </c>
      <c r="B3" s="19">
        <v>76388.929999999993</v>
      </c>
      <c r="C3" s="17">
        <v>45664</v>
      </c>
      <c r="D3" s="17">
        <v>45784</v>
      </c>
      <c r="E3" s="17" t="s">
        <v>160</v>
      </c>
      <c r="F3" s="18" t="s">
        <v>1029</v>
      </c>
      <c r="G3" s="51" t="s">
        <v>4421</v>
      </c>
    </row>
    <row r="4" spans="1:7" x14ac:dyDescent="0.25">
      <c r="A4" s="20" t="s">
        <v>143</v>
      </c>
      <c r="B4" s="19">
        <v>50000</v>
      </c>
      <c r="C4" s="17">
        <v>45659</v>
      </c>
      <c r="D4" s="17">
        <v>45659</v>
      </c>
      <c r="E4" s="17" t="s">
        <v>163</v>
      </c>
      <c r="F4" s="18" t="s">
        <v>915</v>
      </c>
      <c r="G4" s="51" t="s">
        <v>4448</v>
      </c>
    </row>
    <row r="5" spans="1:7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163</v>
      </c>
      <c r="F5" s="18" t="s">
        <v>915</v>
      </c>
      <c r="G5" s="51" t="s">
        <v>4449</v>
      </c>
    </row>
    <row r="6" spans="1:7" x14ac:dyDescent="0.25">
      <c r="A6" s="20" t="s">
        <v>568</v>
      </c>
      <c r="B6" s="19">
        <v>40000</v>
      </c>
      <c r="C6" s="17">
        <v>45664</v>
      </c>
      <c r="D6" s="17">
        <v>45664</v>
      </c>
      <c r="E6" s="17" t="s">
        <v>163</v>
      </c>
      <c r="F6" s="18" t="s">
        <v>915</v>
      </c>
      <c r="G6" s="51" t="s">
        <v>4449</v>
      </c>
    </row>
    <row r="7" spans="1:7" x14ac:dyDescent="0.25">
      <c r="A7" s="20" t="s">
        <v>166</v>
      </c>
      <c r="B7" s="19">
        <v>110000</v>
      </c>
      <c r="C7" s="17">
        <v>45664</v>
      </c>
      <c r="D7" s="17">
        <v>45664</v>
      </c>
      <c r="E7" s="17" t="s">
        <v>163</v>
      </c>
      <c r="F7" s="18" t="s">
        <v>915</v>
      </c>
      <c r="G7" s="51" t="s">
        <v>4449</v>
      </c>
    </row>
    <row r="8" spans="1:7" x14ac:dyDescent="0.25">
      <c r="A8" s="20" t="s">
        <v>4466</v>
      </c>
      <c r="B8" s="19">
        <v>30000</v>
      </c>
      <c r="C8" s="17">
        <v>45665</v>
      </c>
      <c r="D8" s="17">
        <v>45665</v>
      </c>
      <c r="E8" s="17" t="s">
        <v>163</v>
      </c>
      <c r="F8" s="18" t="s">
        <v>915</v>
      </c>
      <c r="G8" s="51" t="s">
        <v>4450</v>
      </c>
    </row>
    <row r="9" spans="1:7" x14ac:dyDescent="0.25">
      <c r="A9" s="20" t="s">
        <v>4467</v>
      </c>
      <c r="B9" s="19">
        <v>4910.3999999999996</v>
      </c>
      <c r="C9" s="17">
        <v>45665</v>
      </c>
      <c r="D9" s="17">
        <v>45665</v>
      </c>
      <c r="E9" s="17" t="s">
        <v>160</v>
      </c>
      <c r="F9" s="18" t="s">
        <v>922</v>
      </c>
      <c r="G9" s="51" t="s">
        <v>4422</v>
      </c>
    </row>
    <row r="10" spans="1:7" x14ac:dyDescent="0.25">
      <c r="A10" s="20" t="s">
        <v>4467</v>
      </c>
      <c r="B10" s="19">
        <v>1636.8</v>
      </c>
      <c r="C10" s="17">
        <v>45665</v>
      </c>
      <c r="D10" s="17">
        <v>45665</v>
      </c>
      <c r="E10" s="17" t="s">
        <v>160</v>
      </c>
      <c r="F10" s="18" t="s">
        <v>922</v>
      </c>
      <c r="G10" s="51" t="s">
        <v>4423</v>
      </c>
    </row>
    <row r="11" spans="1:7" x14ac:dyDescent="0.25">
      <c r="A11" s="20" t="s">
        <v>149</v>
      </c>
      <c r="B11" s="19">
        <v>50000</v>
      </c>
      <c r="C11" s="17">
        <v>45666</v>
      </c>
      <c r="D11" s="17">
        <v>45666</v>
      </c>
      <c r="E11" s="17" t="s">
        <v>160</v>
      </c>
      <c r="F11" s="18" t="s">
        <v>922</v>
      </c>
      <c r="G11" s="51" t="s">
        <v>4420</v>
      </c>
    </row>
    <row r="12" spans="1:7" x14ac:dyDescent="0.25">
      <c r="A12" s="20" t="s">
        <v>4470</v>
      </c>
      <c r="B12" s="19">
        <v>40000</v>
      </c>
      <c r="C12" s="17">
        <v>45666</v>
      </c>
      <c r="D12" s="17">
        <v>45666</v>
      </c>
      <c r="E12" s="17" t="s">
        <v>163</v>
      </c>
      <c r="F12" s="18" t="s">
        <v>915</v>
      </c>
      <c r="G12" s="51" t="s">
        <v>4451</v>
      </c>
    </row>
    <row r="13" spans="1:7" x14ac:dyDescent="0.25">
      <c r="A13" s="20" t="s">
        <v>4443</v>
      </c>
      <c r="B13" s="19">
        <v>792008.75</v>
      </c>
      <c r="C13" s="17">
        <v>45666</v>
      </c>
      <c r="D13" s="17">
        <v>45685</v>
      </c>
      <c r="E13" s="17" t="s">
        <v>160</v>
      </c>
      <c r="F13" s="18" t="s">
        <v>1029</v>
      </c>
      <c r="G13" s="51" t="s">
        <v>4424</v>
      </c>
    </row>
    <row r="14" spans="1:7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163</v>
      </c>
      <c r="F14" s="18" t="s">
        <v>915</v>
      </c>
      <c r="G14" s="51" t="s">
        <v>4452</v>
      </c>
    </row>
    <row r="15" spans="1:7" x14ac:dyDescent="0.25">
      <c r="A15" s="20" t="s">
        <v>149</v>
      </c>
      <c r="B15" s="19">
        <v>45086.38</v>
      </c>
      <c r="C15" s="17">
        <v>45667</v>
      </c>
      <c r="D15" s="17">
        <v>45667</v>
      </c>
      <c r="E15" s="17" t="s">
        <v>160</v>
      </c>
      <c r="F15" s="18" t="s">
        <v>922</v>
      </c>
      <c r="G15" s="51" t="s">
        <v>4420</v>
      </c>
    </row>
    <row r="16" spans="1:7" x14ac:dyDescent="0.25">
      <c r="A16" s="20" t="s">
        <v>143</v>
      </c>
      <c r="B16" s="19">
        <v>50000</v>
      </c>
      <c r="C16" s="17">
        <v>45667</v>
      </c>
      <c r="D16" s="17">
        <v>45667</v>
      </c>
      <c r="E16" s="17" t="s">
        <v>163</v>
      </c>
      <c r="F16" s="18" t="s">
        <v>915</v>
      </c>
      <c r="G16" s="51" t="s">
        <v>4453</v>
      </c>
    </row>
    <row r="17" spans="1:7" x14ac:dyDescent="0.25">
      <c r="A17" s="20" t="s">
        <v>4444</v>
      </c>
      <c r="B17" s="19">
        <v>191769.95</v>
      </c>
      <c r="C17" s="17">
        <v>45670</v>
      </c>
      <c r="D17" s="17">
        <v>45747</v>
      </c>
      <c r="E17" s="17" t="s">
        <v>160</v>
      </c>
      <c r="F17" s="18" t="s">
        <v>1029</v>
      </c>
      <c r="G17" s="51" t="s">
        <v>4425</v>
      </c>
    </row>
    <row r="18" spans="1:7" x14ac:dyDescent="0.25">
      <c r="A18" s="20" t="s">
        <v>4444</v>
      </c>
      <c r="B18" s="19">
        <v>191769.95</v>
      </c>
      <c r="C18" s="17">
        <v>45670</v>
      </c>
      <c r="D18" s="17">
        <v>45762</v>
      </c>
      <c r="E18" s="17" t="s">
        <v>160</v>
      </c>
      <c r="F18" s="18" t="s">
        <v>1029</v>
      </c>
      <c r="G18" s="51" t="s">
        <v>4426</v>
      </c>
    </row>
    <row r="19" spans="1:7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160</v>
      </c>
      <c r="F19" s="18" t="s">
        <v>1029</v>
      </c>
      <c r="G19" s="51" t="s">
        <v>4427</v>
      </c>
    </row>
    <row r="20" spans="1:7" x14ac:dyDescent="0.25">
      <c r="A20" s="20" t="s">
        <v>149</v>
      </c>
      <c r="B20" s="19">
        <v>60000</v>
      </c>
      <c r="C20" s="17">
        <v>45674</v>
      </c>
      <c r="D20" s="17">
        <v>45674</v>
      </c>
      <c r="E20" s="17" t="s">
        <v>160</v>
      </c>
      <c r="F20" s="18" t="s">
        <v>922</v>
      </c>
      <c r="G20" s="51" t="s">
        <v>4420</v>
      </c>
    </row>
    <row r="21" spans="1:7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163</v>
      </c>
      <c r="F21" s="18" t="s">
        <v>915</v>
      </c>
      <c r="G21" s="51" t="s">
        <v>4449</v>
      </c>
    </row>
    <row r="22" spans="1:7" x14ac:dyDescent="0.25">
      <c r="A22" s="20" t="s">
        <v>4470</v>
      </c>
      <c r="B22" s="19">
        <v>92300</v>
      </c>
      <c r="C22" s="17">
        <v>45677</v>
      </c>
      <c r="D22" s="17">
        <v>45751</v>
      </c>
      <c r="E22" s="17" t="s">
        <v>160</v>
      </c>
      <c r="F22" s="18" t="s">
        <v>1029</v>
      </c>
      <c r="G22" s="51" t="s">
        <v>4428</v>
      </c>
    </row>
    <row r="23" spans="1:7" x14ac:dyDescent="0.25">
      <c r="A23" s="20" t="s">
        <v>4470</v>
      </c>
      <c r="B23" s="19">
        <v>92725.37</v>
      </c>
      <c r="C23" s="17">
        <v>45677</v>
      </c>
      <c r="D23" s="17">
        <v>45772</v>
      </c>
      <c r="E23" s="17" t="s">
        <v>160</v>
      </c>
      <c r="F23" s="18" t="s">
        <v>1029</v>
      </c>
      <c r="G23" s="51" t="s">
        <v>4429</v>
      </c>
    </row>
    <row r="24" spans="1:7" x14ac:dyDescent="0.25">
      <c r="A24" s="20" t="s">
        <v>4470</v>
      </c>
      <c r="B24" s="19">
        <v>92300</v>
      </c>
      <c r="C24" s="17">
        <v>45677</v>
      </c>
      <c r="D24" s="17">
        <v>45768</v>
      </c>
      <c r="E24" s="17" t="s">
        <v>160</v>
      </c>
      <c r="F24" s="18" t="s">
        <v>1029</v>
      </c>
      <c r="G24" s="51" t="s">
        <v>4430</v>
      </c>
    </row>
    <row r="25" spans="1:7" x14ac:dyDescent="0.25">
      <c r="A25" s="20" t="s">
        <v>4470</v>
      </c>
      <c r="B25" s="19">
        <v>92300</v>
      </c>
      <c r="C25" s="17">
        <v>45677</v>
      </c>
      <c r="D25" s="17">
        <v>45763</v>
      </c>
      <c r="E25" s="17" t="s">
        <v>160</v>
      </c>
      <c r="F25" s="18" t="s">
        <v>1029</v>
      </c>
      <c r="G25" s="51" t="s">
        <v>4431</v>
      </c>
    </row>
    <row r="26" spans="1:7" x14ac:dyDescent="0.25">
      <c r="A26" s="20" t="s">
        <v>4470</v>
      </c>
      <c r="B26" s="19">
        <v>92300</v>
      </c>
      <c r="C26" s="17">
        <v>45677</v>
      </c>
      <c r="D26" s="17">
        <v>45757</v>
      </c>
      <c r="E26" s="17" t="s">
        <v>160</v>
      </c>
      <c r="F26" s="18" t="s">
        <v>1029</v>
      </c>
      <c r="G26" s="51" t="s">
        <v>4432</v>
      </c>
    </row>
    <row r="27" spans="1:7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163</v>
      </c>
      <c r="F27" s="18" t="s">
        <v>915</v>
      </c>
      <c r="G27" s="51" t="s">
        <v>4449</v>
      </c>
    </row>
    <row r="28" spans="1:7" x14ac:dyDescent="0.25">
      <c r="A28" s="20" t="s">
        <v>4470</v>
      </c>
      <c r="B28" s="19">
        <v>40000</v>
      </c>
      <c r="C28" s="17">
        <v>45678</v>
      </c>
      <c r="D28" s="17">
        <v>45759</v>
      </c>
      <c r="E28" s="17" t="s">
        <v>163</v>
      </c>
      <c r="F28" s="18" t="s">
        <v>1029</v>
      </c>
      <c r="G28" s="51" t="s">
        <v>4454</v>
      </c>
    </row>
    <row r="29" spans="1:7" x14ac:dyDescent="0.25">
      <c r="A29" s="20" t="s">
        <v>4470</v>
      </c>
      <c r="B29" s="19">
        <v>40000</v>
      </c>
      <c r="C29" s="17">
        <v>45678</v>
      </c>
      <c r="D29" s="17">
        <v>45769</v>
      </c>
      <c r="E29" s="17" t="s">
        <v>163</v>
      </c>
      <c r="F29" s="18" t="s">
        <v>1029</v>
      </c>
      <c r="G29" s="51" t="s">
        <v>4455</v>
      </c>
    </row>
    <row r="30" spans="1:7" x14ac:dyDescent="0.25">
      <c r="A30" s="20" t="s">
        <v>4470</v>
      </c>
      <c r="B30" s="19">
        <v>47832.19</v>
      </c>
      <c r="C30" s="17">
        <v>45678</v>
      </c>
      <c r="D30" s="17">
        <v>45777</v>
      </c>
      <c r="E30" s="17" t="s">
        <v>163</v>
      </c>
      <c r="F30" s="18" t="s">
        <v>1029</v>
      </c>
      <c r="G30" s="51" t="s">
        <v>4456</v>
      </c>
    </row>
    <row r="31" spans="1:7" x14ac:dyDescent="0.25">
      <c r="A31" s="20" t="s">
        <v>568</v>
      </c>
      <c r="B31" s="19">
        <v>40000</v>
      </c>
      <c r="C31" s="17">
        <v>45678</v>
      </c>
      <c r="D31" s="17">
        <v>45678</v>
      </c>
      <c r="E31" s="17" t="s">
        <v>163</v>
      </c>
      <c r="F31" s="18" t="s">
        <v>915</v>
      </c>
      <c r="G31" s="51" t="s">
        <v>4449</v>
      </c>
    </row>
    <row r="32" spans="1:7" x14ac:dyDescent="0.25">
      <c r="A32" s="20" t="s">
        <v>4471</v>
      </c>
      <c r="B32" s="19">
        <v>72000</v>
      </c>
      <c r="C32" s="17">
        <v>45678</v>
      </c>
      <c r="D32" s="17">
        <v>45678</v>
      </c>
      <c r="E32" s="17" t="s">
        <v>160</v>
      </c>
      <c r="F32" s="18" t="s">
        <v>922</v>
      </c>
      <c r="G32" s="51" t="s">
        <v>4433</v>
      </c>
    </row>
    <row r="33" spans="1:7" x14ac:dyDescent="0.25">
      <c r="A33" s="20" t="s">
        <v>4445</v>
      </c>
      <c r="B33" s="19">
        <v>12600</v>
      </c>
      <c r="C33" s="17">
        <v>45679</v>
      </c>
      <c r="D33" s="17">
        <v>45679</v>
      </c>
      <c r="E33" s="17" t="s">
        <v>163</v>
      </c>
      <c r="F33" s="18" t="s">
        <v>915</v>
      </c>
      <c r="G33" s="51" t="s">
        <v>4457</v>
      </c>
    </row>
    <row r="34" spans="1:7" x14ac:dyDescent="0.25">
      <c r="A34" s="20" t="s">
        <v>4445</v>
      </c>
      <c r="B34" s="19">
        <v>12600</v>
      </c>
      <c r="C34" s="17">
        <v>45679</v>
      </c>
      <c r="D34" s="17">
        <v>45679</v>
      </c>
      <c r="E34" s="17" t="s">
        <v>163</v>
      </c>
      <c r="F34" s="18" t="s">
        <v>915</v>
      </c>
      <c r="G34" s="51" t="s">
        <v>4458</v>
      </c>
    </row>
    <row r="35" spans="1:7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163</v>
      </c>
      <c r="F35" s="18" t="s">
        <v>915</v>
      </c>
      <c r="G35" s="51" t="s">
        <v>4449</v>
      </c>
    </row>
    <row r="36" spans="1:7" x14ac:dyDescent="0.25">
      <c r="A36" s="20" t="s">
        <v>166</v>
      </c>
      <c r="B36" s="19">
        <v>70000</v>
      </c>
      <c r="C36" s="17">
        <v>45681</v>
      </c>
      <c r="D36" s="17">
        <v>45681</v>
      </c>
      <c r="E36" s="17" t="s">
        <v>163</v>
      </c>
      <c r="F36" s="18" t="s">
        <v>915</v>
      </c>
      <c r="G36" s="51" t="s">
        <v>4449</v>
      </c>
    </row>
    <row r="37" spans="1:7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163</v>
      </c>
      <c r="F37" s="18" t="s">
        <v>915</v>
      </c>
      <c r="G37" s="51" t="s">
        <v>4449</v>
      </c>
    </row>
    <row r="38" spans="1:7" x14ac:dyDescent="0.25">
      <c r="A38" s="20" t="s">
        <v>143</v>
      </c>
      <c r="B38" s="19">
        <v>50000</v>
      </c>
      <c r="C38" s="17">
        <v>45680</v>
      </c>
      <c r="D38" s="17">
        <v>45680</v>
      </c>
      <c r="E38" s="17" t="s">
        <v>163</v>
      </c>
      <c r="F38" s="18" t="s">
        <v>915</v>
      </c>
      <c r="G38" s="51" t="s">
        <v>4459</v>
      </c>
    </row>
    <row r="39" spans="1:7" x14ac:dyDescent="0.25">
      <c r="A39" s="20" t="s">
        <v>4444</v>
      </c>
      <c r="B39" s="19">
        <v>172945.02</v>
      </c>
      <c r="C39" s="17">
        <v>45681</v>
      </c>
      <c r="D39" s="17">
        <v>45703</v>
      </c>
      <c r="E39" s="17" t="s">
        <v>160</v>
      </c>
      <c r="F39" s="18" t="s">
        <v>1029</v>
      </c>
      <c r="G39" s="51" t="s">
        <v>4434</v>
      </c>
    </row>
    <row r="40" spans="1:7" x14ac:dyDescent="0.25">
      <c r="A40" s="20" t="s">
        <v>4444</v>
      </c>
      <c r="B40" s="19">
        <v>106577.4</v>
      </c>
      <c r="C40" s="17">
        <v>45681</v>
      </c>
      <c r="D40" s="17">
        <v>45703</v>
      </c>
      <c r="E40" s="17" t="s">
        <v>160</v>
      </c>
      <c r="F40" s="18" t="s">
        <v>1029</v>
      </c>
      <c r="G40" s="51" t="s">
        <v>4435</v>
      </c>
    </row>
    <row r="41" spans="1:7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163</v>
      </c>
      <c r="F41" s="18" t="s">
        <v>915</v>
      </c>
      <c r="G41" s="51" t="s">
        <v>4449</v>
      </c>
    </row>
    <row r="42" spans="1:7" x14ac:dyDescent="0.25">
      <c r="A42" s="20" t="s">
        <v>4468</v>
      </c>
      <c r="B42" s="19">
        <v>69619.48</v>
      </c>
      <c r="C42" s="17">
        <v>45685</v>
      </c>
      <c r="D42" s="17">
        <v>45747</v>
      </c>
      <c r="E42" s="17" t="s">
        <v>160</v>
      </c>
      <c r="F42" s="18" t="s">
        <v>1029</v>
      </c>
      <c r="G42" s="51" t="s">
        <v>4436</v>
      </c>
    </row>
    <row r="43" spans="1:7" x14ac:dyDescent="0.25">
      <c r="A43" s="20" t="s">
        <v>4468</v>
      </c>
      <c r="B43" s="19">
        <v>69619.48</v>
      </c>
      <c r="C43" s="17">
        <v>45685</v>
      </c>
      <c r="D43" s="17">
        <v>45758</v>
      </c>
      <c r="E43" s="17" t="s">
        <v>160</v>
      </c>
      <c r="F43" s="18" t="s">
        <v>1029</v>
      </c>
      <c r="G43" s="51" t="s">
        <v>4437</v>
      </c>
    </row>
    <row r="44" spans="1:7" x14ac:dyDescent="0.25">
      <c r="A44" s="20" t="s">
        <v>4468</v>
      </c>
      <c r="B44" s="19">
        <v>69619.48</v>
      </c>
      <c r="C44" s="17">
        <v>45685</v>
      </c>
      <c r="D44" s="17">
        <v>45777</v>
      </c>
      <c r="E44" s="17" t="s">
        <v>160</v>
      </c>
      <c r="F44" s="18" t="s">
        <v>1029</v>
      </c>
      <c r="G44" s="51" t="s">
        <v>4438</v>
      </c>
    </row>
    <row r="45" spans="1:7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163</v>
      </c>
      <c r="F45" s="18" t="s">
        <v>915</v>
      </c>
      <c r="G45" s="51" t="s">
        <v>4449</v>
      </c>
    </row>
    <row r="46" spans="1:7" x14ac:dyDescent="0.25">
      <c r="A46" s="20" t="s">
        <v>149</v>
      </c>
      <c r="B46" s="19">
        <v>60000</v>
      </c>
      <c r="C46" s="17">
        <v>45685</v>
      </c>
      <c r="D46" s="17">
        <v>45685</v>
      </c>
      <c r="E46" s="17" t="s">
        <v>160</v>
      </c>
      <c r="F46" s="18" t="s">
        <v>922</v>
      </c>
      <c r="G46" s="51" t="s">
        <v>4439</v>
      </c>
    </row>
    <row r="47" spans="1:7" x14ac:dyDescent="0.25">
      <c r="A47" s="20" t="s">
        <v>4445</v>
      </c>
      <c r="B47" s="19">
        <v>80000</v>
      </c>
      <c r="C47" s="17">
        <v>45686</v>
      </c>
      <c r="D47" s="17">
        <v>45686</v>
      </c>
      <c r="E47" s="17" t="s">
        <v>160</v>
      </c>
      <c r="F47" s="18" t="s">
        <v>922</v>
      </c>
      <c r="G47" s="51" t="s">
        <v>4440</v>
      </c>
    </row>
    <row r="48" spans="1:7" x14ac:dyDescent="0.25">
      <c r="A48" s="20" t="s">
        <v>4444</v>
      </c>
      <c r="B48" s="19">
        <v>269033.57</v>
      </c>
      <c r="C48" s="17">
        <v>45687</v>
      </c>
      <c r="D48" s="17">
        <v>45777</v>
      </c>
      <c r="E48" s="17" t="s">
        <v>160</v>
      </c>
      <c r="F48" s="18" t="s">
        <v>1029</v>
      </c>
      <c r="G48" s="51" t="s">
        <v>4441</v>
      </c>
    </row>
    <row r="49" spans="1:7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163</v>
      </c>
      <c r="F49" s="18" t="s">
        <v>915</v>
      </c>
      <c r="G49" s="51" t="s">
        <v>4449</v>
      </c>
    </row>
    <row r="50" spans="1:7" x14ac:dyDescent="0.25">
      <c r="A50" s="20" t="s">
        <v>166</v>
      </c>
      <c r="B50" s="19">
        <v>20000</v>
      </c>
      <c r="C50" s="17">
        <v>45687</v>
      </c>
      <c r="D50" s="17">
        <v>45687</v>
      </c>
      <c r="E50" s="17" t="s">
        <v>163</v>
      </c>
      <c r="F50" s="18" t="s">
        <v>915</v>
      </c>
      <c r="G50" s="51" t="s">
        <v>4449</v>
      </c>
    </row>
    <row r="51" spans="1:7" x14ac:dyDescent="0.25">
      <c r="A51" s="20" t="s">
        <v>4464</v>
      </c>
      <c r="B51" s="19">
        <v>19776</v>
      </c>
      <c r="C51" s="17">
        <v>45687</v>
      </c>
      <c r="D51" s="17">
        <v>45687</v>
      </c>
      <c r="E51" s="17" t="s">
        <v>160</v>
      </c>
      <c r="F51" s="18" t="s">
        <v>922</v>
      </c>
      <c r="G51" s="51" t="s">
        <v>4442</v>
      </c>
    </row>
    <row r="52" spans="1:7" x14ac:dyDescent="0.25">
      <c r="A52" s="20" t="s">
        <v>144</v>
      </c>
      <c r="B52" s="19">
        <v>10000</v>
      </c>
      <c r="C52" s="17">
        <v>45688</v>
      </c>
      <c r="D52" s="17">
        <v>45688</v>
      </c>
      <c r="E52" s="17" t="s">
        <v>163</v>
      </c>
      <c r="F52" s="18" t="s">
        <v>915</v>
      </c>
      <c r="G52" s="51" t="s">
        <v>4449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163</v>
      </c>
      <c r="F53" s="18" t="s">
        <v>915</v>
      </c>
      <c r="G53" s="51" t="s">
        <v>4449</v>
      </c>
    </row>
    <row r="54" spans="1:7" x14ac:dyDescent="0.25">
      <c r="A54" s="20" t="s">
        <v>4470</v>
      </c>
      <c r="B54" s="19">
        <v>47082</v>
      </c>
      <c r="C54" s="17">
        <v>45691</v>
      </c>
      <c r="D54" s="17">
        <v>45691</v>
      </c>
      <c r="E54" s="17" t="s">
        <v>163</v>
      </c>
      <c r="F54" s="18" t="s">
        <v>915</v>
      </c>
      <c r="G54" s="51" t="s">
        <v>4515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160</v>
      </c>
      <c r="F55" s="18" t="s">
        <v>922</v>
      </c>
      <c r="G55" s="51" t="s">
        <v>4518</v>
      </c>
    </row>
    <row r="56" spans="1:7" x14ac:dyDescent="0.25">
      <c r="A56" s="20" t="s">
        <v>144</v>
      </c>
      <c r="B56" s="19">
        <v>20000</v>
      </c>
      <c r="C56" s="17">
        <v>45691</v>
      </c>
      <c r="D56" s="17">
        <v>45691</v>
      </c>
      <c r="E56" s="17" t="s">
        <v>163</v>
      </c>
      <c r="F56" s="18" t="s">
        <v>915</v>
      </c>
      <c r="G56" s="51" t="s">
        <v>4449</v>
      </c>
    </row>
    <row r="57" spans="1:7" x14ac:dyDescent="0.25">
      <c r="A57" s="20" t="s">
        <v>143</v>
      </c>
      <c r="B57" s="19">
        <v>50000</v>
      </c>
      <c r="C57" s="17">
        <v>45692</v>
      </c>
      <c r="D57" s="17">
        <v>45690</v>
      </c>
      <c r="E57" s="17" t="s">
        <v>163</v>
      </c>
      <c r="F57" s="18" t="s">
        <v>915</v>
      </c>
      <c r="G57" s="51" t="s">
        <v>4519</v>
      </c>
    </row>
    <row r="58" spans="1:7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163</v>
      </c>
      <c r="F58" s="18" t="s">
        <v>915</v>
      </c>
      <c r="G58" s="51" t="s">
        <v>4460</v>
      </c>
    </row>
    <row r="59" spans="1:7" x14ac:dyDescent="0.25">
      <c r="A59" s="20" t="s">
        <v>144</v>
      </c>
      <c r="B59" s="19">
        <v>160122.22400000005</v>
      </c>
      <c r="C59" s="17">
        <v>45688</v>
      </c>
      <c r="D59" s="17">
        <v>45688</v>
      </c>
      <c r="E59" s="17" t="s">
        <v>163</v>
      </c>
      <c r="F59" s="18" t="s">
        <v>4447</v>
      </c>
      <c r="G59" s="51" t="s">
        <v>4461</v>
      </c>
    </row>
    <row r="60" spans="1:7" x14ac:dyDescent="0.25">
      <c r="A60" s="20" t="s">
        <v>143</v>
      </c>
      <c r="B60" s="19">
        <v>78356.880000000019</v>
      </c>
      <c r="C60" s="17">
        <v>45688</v>
      </c>
      <c r="D60" s="17">
        <v>45688</v>
      </c>
      <c r="E60" s="17" t="s">
        <v>163</v>
      </c>
      <c r="F60" s="18" t="s">
        <v>4447</v>
      </c>
      <c r="G60" s="51" t="s">
        <v>4461</v>
      </c>
    </row>
    <row r="61" spans="1:7" x14ac:dyDescent="0.25">
      <c r="A61" s="20" t="s">
        <v>568</v>
      </c>
      <c r="B61" s="19">
        <v>26766.179999999997</v>
      </c>
      <c r="C61" s="17">
        <v>45688</v>
      </c>
      <c r="D61" s="17">
        <v>45688</v>
      </c>
      <c r="E61" s="17" t="s">
        <v>163</v>
      </c>
      <c r="F61" s="18" t="s">
        <v>4447</v>
      </c>
      <c r="G61" s="51" t="s">
        <v>4461</v>
      </c>
    </row>
    <row r="62" spans="1:7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163</v>
      </c>
      <c r="F62" s="18" t="s">
        <v>4447</v>
      </c>
      <c r="G62" s="51" t="s">
        <v>4461</v>
      </c>
    </row>
    <row r="63" spans="1:7" x14ac:dyDescent="0.25">
      <c r="A63" s="20" t="s">
        <v>115</v>
      </c>
      <c r="B63" s="19">
        <v>13192.14</v>
      </c>
      <c r="C63" s="17">
        <v>45688</v>
      </c>
      <c r="D63" s="17">
        <v>45688</v>
      </c>
      <c r="E63" s="17" t="s">
        <v>163</v>
      </c>
      <c r="F63" s="18" t="s">
        <v>4447</v>
      </c>
      <c r="G63" s="51" t="s">
        <v>4461</v>
      </c>
    </row>
    <row r="64" spans="1:7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163</v>
      </c>
      <c r="F64" s="18" t="s">
        <v>4447</v>
      </c>
      <c r="G64" s="51" t="s">
        <v>4461</v>
      </c>
    </row>
    <row r="65" spans="1:7" x14ac:dyDescent="0.25">
      <c r="A65" s="20" t="s">
        <v>1052</v>
      </c>
      <c r="B65" s="19">
        <v>102282.91</v>
      </c>
      <c r="C65" s="17">
        <v>45688</v>
      </c>
      <c r="D65" s="17">
        <v>45688</v>
      </c>
      <c r="E65" s="17" t="s">
        <v>163</v>
      </c>
      <c r="F65" s="18" t="s">
        <v>4447</v>
      </c>
      <c r="G65" s="51" t="s">
        <v>4461</v>
      </c>
    </row>
    <row r="66" spans="1:7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163</v>
      </c>
      <c r="F66" s="18" t="s">
        <v>4447</v>
      </c>
      <c r="G66" s="51" t="s">
        <v>4461</v>
      </c>
    </row>
    <row r="67" spans="1:7" x14ac:dyDescent="0.25">
      <c r="A67" s="20" t="s">
        <v>166</v>
      </c>
      <c r="B67" s="19">
        <v>50000</v>
      </c>
      <c r="C67" s="17">
        <v>45693</v>
      </c>
      <c r="D67" s="17">
        <v>45693</v>
      </c>
      <c r="E67" s="17" t="s">
        <v>163</v>
      </c>
      <c r="F67" s="18" t="s">
        <v>915</v>
      </c>
      <c r="G67" s="51" t="s">
        <v>4533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163</v>
      </c>
      <c r="F68" s="18" t="s">
        <v>915</v>
      </c>
      <c r="G68" s="51" t="s">
        <v>4452</v>
      </c>
    </row>
    <row r="69" spans="1:7" x14ac:dyDescent="0.25">
      <c r="A69" s="20" t="s">
        <v>149</v>
      </c>
      <c r="B69" s="19">
        <v>50000</v>
      </c>
      <c r="C69" s="17">
        <v>45693</v>
      </c>
      <c r="D69" s="17">
        <v>45693</v>
      </c>
      <c r="E69" s="17" t="s">
        <v>160</v>
      </c>
      <c r="F69" s="18" t="s">
        <v>922</v>
      </c>
      <c r="G69" s="51" t="s">
        <v>4439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163</v>
      </c>
      <c r="F70" s="18" t="s">
        <v>915</v>
      </c>
      <c r="G70" s="51" t="s">
        <v>4533</v>
      </c>
    </row>
    <row r="71" spans="1:7" x14ac:dyDescent="0.25">
      <c r="A71" s="20" t="s">
        <v>144</v>
      </c>
      <c r="B71" s="19">
        <v>20000</v>
      </c>
      <c r="C71" s="17">
        <v>45695</v>
      </c>
      <c r="D71" s="17">
        <v>45695</v>
      </c>
      <c r="E71" s="17" t="s">
        <v>163</v>
      </c>
      <c r="F71" s="18" t="s">
        <v>915</v>
      </c>
      <c r="G71" s="51" t="s">
        <v>4452</v>
      </c>
    </row>
    <row r="72" spans="1:7" x14ac:dyDescent="0.25">
      <c r="A72" s="20" t="s">
        <v>4443</v>
      </c>
      <c r="B72" s="19">
        <v>1011886.51</v>
      </c>
      <c r="C72" s="17">
        <v>45698</v>
      </c>
      <c r="D72" s="17">
        <v>45714</v>
      </c>
      <c r="E72" s="17" t="s">
        <v>160</v>
      </c>
      <c r="F72" s="18" t="s">
        <v>1029</v>
      </c>
      <c r="G72" s="51" t="s">
        <v>4535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160</v>
      </c>
      <c r="F73" s="18" t="s">
        <v>1029</v>
      </c>
      <c r="G73" s="51" t="s">
        <v>4537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160</v>
      </c>
      <c r="F74" s="18" t="s">
        <v>1029</v>
      </c>
      <c r="G74" s="51" t="s">
        <v>4538</v>
      </c>
    </row>
    <row r="75" spans="1:7" x14ac:dyDescent="0.25">
      <c r="A75" s="20" t="s">
        <v>4445</v>
      </c>
      <c r="B75" s="19">
        <v>16100</v>
      </c>
      <c r="C75" s="17">
        <v>45698</v>
      </c>
      <c r="D75" s="17">
        <v>45698</v>
      </c>
      <c r="E75" s="17" t="s">
        <v>163</v>
      </c>
      <c r="F75" s="18" t="s">
        <v>915</v>
      </c>
      <c r="G75" s="51" t="s">
        <v>4452</v>
      </c>
    </row>
    <row r="76" spans="1:7" x14ac:dyDescent="0.25">
      <c r="A76" s="20" t="s">
        <v>166</v>
      </c>
      <c r="B76" s="19">
        <v>50000</v>
      </c>
      <c r="C76" s="17">
        <v>45699</v>
      </c>
      <c r="D76" s="17">
        <v>45699</v>
      </c>
      <c r="E76" s="17" t="s">
        <v>163</v>
      </c>
      <c r="F76" s="18" t="s">
        <v>915</v>
      </c>
      <c r="G76" s="51" t="s">
        <v>4452</v>
      </c>
    </row>
    <row r="77" spans="1:7" x14ac:dyDescent="0.25">
      <c r="A77" s="20" t="s">
        <v>143</v>
      </c>
      <c r="B77" s="19">
        <v>50000</v>
      </c>
      <c r="C77" s="17">
        <v>45698</v>
      </c>
      <c r="D77" s="17">
        <v>45695</v>
      </c>
      <c r="E77" s="17" t="s">
        <v>163</v>
      </c>
      <c r="F77" s="18" t="s">
        <v>915</v>
      </c>
      <c r="G77" s="51" t="s">
        <v>4539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163</v>
      </c>
      <c r="F78" s="18" t="s">
        <v>915</v>
      </c>
      <c r="G78" s="51" t="s">
        <v>4540</v>
      </c>
    </row>
    <row r="79" spans="1:7" x14ac:dyDescent="0.25">
      <c r="A79" s="20" t="s">
        <v>568</v>
      </c>
      <c r="B79" s="19">
        <v>50000</v>
      </c>
      <c r="C79" s="17">
        <v>45700</v>
      </c>
      <c r="D79" s="17">
        <v>45700</v>
      </c>
      <c r="E79" s="17" t="s">
        <v>163</v>
      </c>
      <c r="F79" s="18" t="s">
        <v>915</v>
      </c>
      <c r="G79" s="51" t="s">
        <v>4541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163</v>
      </c>
      <c r="F80" s="18" t="s">
        <v>915</v>
      </c>
      <c r="G80" s="51" t="s">
        <v>4541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163</v>
      </c>
      <c r="F81" s="18" t="s">
        <v>915</v>
      </c>
      <c r="G81" s="51" t="s">
        <v>4541</v>
      </c>
    </row>
    <row r="82" spans="1:7" x14ac:dyDescent="0.25">
      <c r="A82" s="20" t="s">
        <v>4470</v>
      </c>
      <c r="B82" s="19">
        <v>51829.03</v>
      </c>
      <c r="C82" s="17">
        <v>45705</v>
      </c>
      <c r="D82" s="17">
        <v>45803</v>
      </c>
      <c r="E82" s="17" t="s">
        <v>160</v>
      </c>
      <c r="F82" s="18" t="s">
        <v>1029</v>
      </c>
      <c r="G82" s="51" t="s">
        <v>4542</v>
      </c>
    </row>
    <row r="83" spans="1:7" x14ac:dyDescent="0.25">
      <c r="A83" s="20" t="s">
        <v>4470</v>
      </c>
      <c r="B83" s="19">
        <v>51000</v>
      </c>
      <c r="C83" s="17">
        <v>45705</v>
      </c>
      <c r="D83" s="17">
        <v>45796</v>
      </c>
      <c r="E83" s="17" t="s">
        <v>160</v>
      </c>
      <c r="F83" s="18" t="s">
        <v>1029</v>
      </c>
      <c r="G83" s="51" t="s">
        <v>4543</v>
      </c>
    </row>
    <row r="84" spans="1:7" x14ac:dyDescent="0.25">
      <c r="A84" s="20" t="s">
        <v>4470</v>
      </c>
      <c r="B84" s="19">
        <v>51000</v>
      </c>
      <c r="C84" s="17">
        <v>45705</v>
      </c>
      <c r="D84" s="17">
        <v>45782</v>
      </c>
      <c r="E84" s="17" t="s">
        <v>160</v>
      </c>
      <c r="F84" s="18" t="s">
        <v>1029</v>
      </c>
      <c r="G84" s="51" t="s">
        <v>4544</v>
      </c>
    </row>
    <row r="85" spans="1:7" x14ac:dyDescent="0.25">
      <c r="A85" s="20" t="s">
        <v>4470</v>
      </c>
      <c r="B85" s="19">
        <v>51000</v>
      </c>
      <c r="C85" s="17">
        <v>45705</v>
      </c>
      <c r="D85" s="17">
        <v>45789</v>
      </c>
      <c r="E85" s="17" t="s">
        <v>160</v>
      </c>
      <c r="F85" s="18" t="s">
        <v>1029</v>
      </c>
      <c r="G85" s="51" t="s">
        <v>4545</v>
      </c>
    </row>
    <row r="86" spans="1:7" x14ac:dyDescent="0.25">
      <c r="A86" s="20" t="s">
        <v>4470</v>
      </c>
      <c r="B86" s="19">
        <v>27000</v>
      </c>
      <c r="C86" s="17">
        <v>45705</v>
      </c>
      <c r="D86" s="17">
        <v>45794</v>
      </c>
      <c r="E86" s="17" t="s">
        <v>163</v>
      </c>
      <c r="F86" s="18" t="s">
        <v>1029</v>
      </c>
      <c r="G86" s="51" t="s">
        <v>4546</v>
      </c>
    </row>
    <row r="87" spans="1:7" x14ac:dyDescent="0.25">
      <c r="A87" s="20" t="s">
        <v>4470</v>
      </c>
      <c r="B87" s="19">
        <v>27990</v>
      </c>
      <c r="C87" s="17">
        <v>45705</v>
      </c>
      <c r="D87" s="17">
        <v>45808</v>
      </c>
      <c r="E87" s="17" t="s">
        <v>163</v>
      </c>
      <c r="F87" s="18" t="s">
        <v>1029</v>
      </c>
      <c r="G87" s="51" t="s">
        <v>4547</v>
      </c>
    </row>
    <row r="88" spans="1:7" x14ac:dyDescent="0.25">
      <c r="A88" s="20" t="s">
        <v>143</v>
      </c>
      <c r="B88" s="19">
        <v>50000</v>
      </c>
      <c r="C88" s="17">
        <v>45707</v>
      </c>
      <c r="D88" s="17">
        <v>45707</v>
      </c>
      <c r="E88" s="17" t="s">
        <v>163</v>
      </c>
      <c r="F88" s="18" t="s">
        <v>915</v>
      </c>
      <c r="G88" s="51" t="s">
        <v>4541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163</v>
      </c>
      <c r="F89" s="18" t="s">
        <v>915</v>
      </c>
      <c r="G89" s="51" t="s">
        <v>4541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163</v>
      </c>
      <c r="F90" s="18" t="s">
        <v>4510</v>
      </c>
      <c r="G90" s="51" t="s">
        <v>4549</v>
      </c>
    </row>
    <row r="91" spans="1:7" x14ac:dyDescent="0.25">
      <c r="A91" s="20"/>
      <c r="B91" s="19"/>
      <c r="C91" s="17"/>
      <c r="D91" s="17"/>
      <c r="E91" s="17"/>
      <c r="F91" s="18"/>
      <c r="G91" s="51"/>
    </row>
    <row r="92" spans="1:7" x14ac:dyDescent="0.25">
      <c r="A92" s="20"/>
      <c r="B92" s="19"/>
      <c r="C92" s="17"/>
      <c r="D92" s="17"/>
      <c r="E92" s="17"/>
      <c r="F92" s="18"/>
      <c r="G92" s="51"/>
    </row>
  </sheetData>
  <autoFilter ref="A1:G90" xr:uid="{C99477AF-5F0E-4B79-9C41-F5F353EC67B7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F7" sqref="F7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175</v>
      </c>
      <c r="C1" s="27" t="s">
        <v>170</v>
      </c>
      <c r="D1" s="27" t="s">
        <v>171</v>
      </c>
      <c r="E1" s="27" t="s">
        <v>172</v>
      </c>
      <c r="F1" s="27" t="s">
        <v>173</v>
      </c>
      <c r="G1" s="27" t="s">
        <v>174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2092782.66</v>
      </c>
      <c r="C3" s="29">
        <v>3159625.809799999</v>
      </c>
      <c r="D3" s="29">
        <v>9648026.2980000004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D23" sqref="D2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167</v>
      </c>
      <c r="C1" s="27" t="s">
        <v>168</v>
      </c>
      <c r="D1" s="27" t="s">
        <v>169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v>154</v>
      </c>
      <c r="C3" s="13">
        <v>154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D32" sqref="D32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211</v>
      </c>
      <c r="B1" s="30" t="s">
        <v>212</v>
      </c>
      <c r="C1" s="30" t="s">
        <v>213</v>
      </c>
      <c r="D1" s="30" t="s">
        <v>214</v>
      </c>
      <c r="E1" s="30" t="s">
        <v>215</v>
      </c>
      <c r="F1" s="30" t="s">
        <v>216</v>
      </c>
      <c r="G1" s="30" t="s">
        <v>217</v>
      </c>
      <c r="H1" s="30" t="s">
        <v>218</v>
      </c>
      <c r="I1" s="30" t="s">
        <v>219</v>
      </c>
      <c r="J1" s="30" t="s">
        <v>220</v>
      </c>
      <c r="K1" s="30" t="s">
        <v>222</v>
      </c>
      <c r="L1" s="30" t="s">
        <v>221</v>
      </c>
      <c r="M1" s="30" t="s">
        <v>223</v>
      </c>
      <c r="N1" s="30" t="s">
        <v>224</v>
      </c>
      <c r="O1" s="30" t="s">
        <v>226</v>
      </c>
      <c r="P1" s="30" t="s">
        <v>225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210"/>
  <sheetViews>
    <sheetView topLeftCell="A180" workbookViewId="0">
      <selection activeCell="C114" sqref="C114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4491</v>
      </c>
      <c r="D1" s="55" t="s">
        <v>4492</v>
      </c>
      <c r="E1" s="55" t="s">
        <v>4493</v>
      </c>
      <c r="F1" s="56" t="s">
        <v>4494</v>
      </c>
      <c r="G1" s="56" t="s">
        <v>4550</v>
      </c>
      <c r="H1" s="52" t="s">
        <v>4495</v>
      </c>
      <c r="I1" s="56" t="s">
        <v>158</v>
      </c>
      <c r="J1" s="56" t="s">
        <v>4496</v>
      </c>
      <c r="K1" s="57" t="s">
        <v>4497</v>
      </c>
      <c r="L1" s="58" t="s">
        <v>4498</v>
      </c>
    </row>
    <row r="2" spans="1:12" x14ac:dyDescent="0.25">
      <c r="A2" s="60">
        <v>45657</v>
      </c>
      <c r="B2" s="61" t="s">
        <v>149</v>
      </c>
      <c r="C2" s="62" t="s">
        <v>4499</v>
      </c>
      <c r="D2" s="62" t="s">
        <v>26</v>
      </c>
      <c r="E2" s="62" t="s">
        <v>26</v>
      </c>
      <c r="F2" s="60">
        <f>A2+SUMIF('[1]RECAP DES SOLDES CREANCES'!$B$7:$B$53,B2,'[1]RECAP DES SOLDES CREANCES'!$F$7:$F$53)</f>
        <v>45747</v>
      </c>
      <c r="G2" s="62" t="str">
        <f ca="1">IF(TODAY()&lt;F2,"Non Echueé","Echueé")</f>
        <v>Non Echueé</v>
      </c>
      <c r="H2" s="62" t="s">
        <v>160</v>
      </c>
      <c r="I2" s="61" t="s">
        <v>4499</v>
      </c>
      <c r="J2" s="63">
        <v>558857.1679999996</v>
      </c>
      <c r="K2" s="63">
        <v>0</v>
      </c>
      <c r="L2" s="64">
        <f>+J2-K2</f>
        <v>558857.1679999996</v>
      </c>
    </row>
    <row r="3" spans="1:12" x14ac:dyDescent="0.25">
      <c r="A3" s="65">
        <v>45291</v>
      </c>
      <c r="B3" s="61" t="s">
        <v>4472</v>
      </c>
      <c r="C3" s="62" t="s">
        <v>4499</v>
      </c>
      <c r="D3" s="62" t="s">
        <v>26</v>
      </c>
      <c r="E3" s="62" t="s">
        <v>26</v>
      </c>
      <c r="F3" s="60">
        <f>A3+SUMIF('[1]RECAP DES SOLDES CREANCES'!$B$7:$B$53,B3,'[1]RECAP DES SOLDES CREANCES'!$F$7:$F$53)</f>
        <v>45381</v>
      </c>
      <c r="G3" s="62" t="str">
        <f t="shared" ref="G3:G67" ca="1" si="0">IF(TODAY()&lt;F3,"Non Echueé","Echueé")</f>
        <v>Echueé</v>
      </c>
      <c r="H3" s="66" t="s">
        <v>160</v>
      </c>
      <c r="I3" s="61" t="s">
        <v>4499</v>
      </c>
      <c r="J3" s="63">
        <v>150973.6</v>
      </c>
      <c r="K3" s="63">
        <v>0</v>
      </c>
      <c r="L3" s="64">
        <f>+J3-K3</f>
        <v>150973.6</v>
      </c>
    </row>
    <row r="4" spans="1:12" x14ac:dyDescent="0.25">
      <c r="A4" s="65">
        <v>45291</v>
      </c>
      <c r="B4" s="67" t="s">
        <v>923</v>
      </c>
      <c r="C4" s="62" t="s">
        <v>4499</v>
      </c>
      <c r="D4" s="62" t="s">
        <v>26</v>
      </c>
      <c r="E4" s="62" t="s">
        <v>26</v>
      </c>
      <c r="F4" s="60">
        <f>A4+SUMIF('[1]RECAP DES SOLDES CREANCES'!$B$7:$B$53,B4,'[1]RECAP DES SOLDES CREANCES'!$F$7:$F$53)</f>
        <v>45381</v>
      </c>
      <c r="G4" s="62" t="str">
        <f t="shared" ca="1" si="0"/>
        <v>Echueé</v>
      </c>
      <c r="H4" s="66" t="s">
        <v>160</v>
      </c>
      <c r="I4" s="61" t="s">
        <v>4499</v>
      </c>
      <c r="J4" s="63">
        <v>7794.976000000318</v>
      </c>
      <c r="K4" s="63">
        <v>0</v>
      </c>
      <c r="L4" s="64">
        <f t="shared" ref="L4:L67" si="1">+J4-K4</f>
        <v>7794.976000000318</v>
      </c>
    </row>
    <row r="5" spans="1:12" x14ac:dyDescent="0.25">
      <c r="A5" s="65">
        <v>45291</v>
      </c>
      <c r="B5" s="67" t="s">
        <v>142</v>
      </c>
      <c r="C5" s="62" t="s">
        <v>4499</v>
      </c>
      <c r="D5" s="62" t="s">
        <v>26</v>
      </c>
      <c r="E5" s="62" t="s">
        <v>26</v>
      </c>
      <c r="F5" s="60">
        <f>A5+SUMIF('[1]RECAP DES SOLDES CREANCES'!$B$7:$B$53,B5,'[1]RECAP DES SOLDES CREANCES'!$F$7:$F$53)</f>
        <v>45381</v>
      </c>
      <c r="G5" s="62" t="str">
        <f t="shared" ca="1" si="0"/>
        <v>Echueé</v>
      </c>
      <c r="H5" s="66" t="s">
        <v>160</v>
      </c>
      <c r="I5" s="61" t="s">
        <v>4499</v>
      </c>
      <c r="J5" s="63">
        <v>159476.37399999998</v>
      </c>
      <c r="K5" s="63">
        <v>0</v>
      </c>
      <c r="L5" s="64">
        <f t="shared" si="1"/>
        <v>159476.37399999998</v>
      </c>
    </row>
    <row r="6" spans="1:12" x14ac:dyDescent="0.25">
      <c r="A6" s="65">
        <v>45291</v>
      </c>
      <c r="B6" s="67" t="s">
        <v>924</v>
      </c>
      <c r="C6" s="62" t="s">
        <v>4499</v>
      </c>
      <c r="D6" s="62" t="s">
        <v>26</v>
      </c>
      <c r="E6" s="62" t="s">
        <v>26</v>
      </c>
      <c r="F6" s="60">
        <f>A6+SUMIF('[1]RECAP DES SOLDES CREANCES'!$B$7:$B$53,B6,'[1]RECAP DES SOLDES CREANCES'!$F$7:$F$53)</f>
        <v>45351</v>
      </c>
      <c r="G6" s="62" t="str">
        <f t="shared" ca="1" si="0"/>
        <v>Echueé</v>
      </c>
      <c r="H6" s="66" t="s">
        <v>160</v>
      </c>
      <c r="I6" s="61" t="s">
        <v>4499</v>
      </c>
      <c r="J6" s="63">
        <v>2250</v>
      </c>
      <c r="K6" s="63">
        <v>0</v>
      </c>
      <c r="L6" s="64">
        <f t="shared" si="1"/>
        <v>2250</v>
      </c>
    </row>
    <row r="7" spans="1:12" x14ac:dyDescent="0.25">
      <c r="A7" s="65">
        <v>45291</v>
      </c>
      <c r="B7" s="67" t="s">
        <v>164</v>
      </c>
      <c r="C7" s="62" t="s">
        <v>4499</v>
      </c>
      <c r="D7" s="62" t="s">
        <v>26</v>
      </c>
      <c r="E7" s="62" t="s">
        <v>26</v>
      </c>
      <c r="F7" s="60">
        <f>A7+SUMIF('[1]RECAP DES SOLDES CREANCES'!$B$7:$B$53,B7,'[1]RECAP DES SOLDES CREANCES'!$F$7:$F$53)</f>
        <v>45381</v>
      </c>
      <c r="G7" s="62" t="str">
        <f t="shared" ca="1" si="0"/>
        <v>Echueé</v>
      </c>
      <c r="H7" s="66" t="s">
        <v>160</v>
      </c>
      <c r="I7" s="61" t="s">
        <v>4499</v>
      </c>
      <c r="J7" s="63">
        <v>266920.00199999998</v>
      </c>
      <c r="K7" s="63">
        <v>0</v>
      </c>
      <c r="L7" s="64">
        <f t="shared" si="1"/>
        <v>266920.00199999998</v>
      </c>
    </row>
    <row r="8" spans="1:12" x14ac:dyDescent="0.25">
      <c r="A8" s="65">
        <v>45657</v>
      </c>
      <c r="B8" s="67" t="s">
        <v>4444</v>
      </c>
      <c r="C8" s="62" t="s">
        <v>4499</v>
      </c>
      <c r="D8" s="62" t="s">
        <v>26</v>
      </c>
      <c r="E8" s="62" t="s">
        <v>26</v>
      </c>
      <c r="F8" s="60">
        <f>A8+SUMIF('[1]RECAP DES SOLDES CREANCES'!$B$7:$B$53,B8,'[1]RECAP DES SOLDES CREANCES'!$F$7:$F$53)</f>
        <v>45777</v>
      </c>
      <c r="G8" s="62" t="str">
        <f t="shared" ca="1" si="0"/>
        <v>Non Echueé</v>
      </c>
      <c r="H8" s="66" t="s">
        <v>160</v>
      </c>
      <c r="I8" s="61" t="s">
        <v>4499</v>
      </c>
      <c r="J8" s="63">
        <v>761286.82700000098</v>
      </c>
      <c r="K8" s="63">
        <v>0</v>
      </c>
      <c r="L8" s="64">
        <f t="shared" si="1"/>
        <v>761286.82700000098</v>
      </c>
    </row>
    <row r="9" spans="1:12" x14ac:dyDescent="0.25">
      <c r="A9" s="65">
        <v>45657</v>
      </c>
      <c r="B9" s="67" t="s">
        <v>4469</v>
      </c>
      <c r="C9" s="62" t="s">
        <v>4499</v>
      </c>
      <c r="D9" s="62" t="s">
        <v>26</v>
      </c>
      <c r="E9" s="62" t="s">
        <v>26</v>
      </c>
      <c r="F9" s="60">
        <f>A9+SUMIF('[1]RECAP DES SOLDES CREANCES'!$B$7:$B$53,B9,'[1]RECAP DES SOLDES CREANCES'!$F$7:$F$53)</f>
        <v>45657</v>
      </c>
      <c r="G9" s="62" t="str">
        <f t="shared" ca="1" si="0"/>
        <v>Echueé</v>
      </c>
      <c r="H9" s="66" t="s">
        <v>160</v>
      </c>
      <c r="I9" s="61" t="s">
        <v>4499</v>
      </c>
      <c r="J9" s="63">
        <v>0</v>
      </c>
      <c r="K9" s="63">
        <v>0</v>
      </c>
      <c r="L9" s="64">
        <f t="shared" si="1"/>
        <v>0</v>
      </c>
    </row>
    <row r="10" spans="1:12" x14ac:dyDescent="0.25">
      <c r="A10" s="65">
        <v>45291</v>
      </c>
      <c r="B10" s="68" t="s">
        <v>4473</v>
      </c>
      <c r="C10" s="62" t="s">
        <v>4499</v>
      </c>
      <c r="D10" s="62" t="s">
        <v>26</v>
      </c>
      <c r="E10" s="62" t="s">
        <v>26</v>
      </c>
      <c r="F10" s="60">
        <f>A10+SUMIF('[1]RECAP DES SOLDES CREANCES'!$B$7:$B$53,B10,'[1]RECAP DES SOLDES CREANCES'!$F$7:$F$53)</f>
        <v>45351</v>
      </c>
      <c r="G10" s="62" t="str">
        <f t="shared" ca="1" si="0"/>
        <v>Echueé</v>
      </c>
      <c r="H10" s="66" t="s">
        <v>160</v>
      </c>
      <c r="I10" s="61" t="s">
        <v>4499</v>
      </c>
      <c r="J10" s="63">
        <v>21900</v>
      </c>
      <c r="K10" s="63">
        <v>0</v>
      </c>
      <c r="L10" s="64">
        <f t="shared" si="1"/>
        <v>21900</v>
      </c>
    </row>
    <row r="11" spans="1:12" x14ac:dyDescent="0.25">
      <c r="A11" s="65">
        <v>45291</v>
      </c>
      <c r="B11" s="67" t="s">
        <v>151</v>
      </c>
      <c r="C11" s="62" t="s">
        <v>4499</v>
      </c>
      <c r="D11" s="62" t="s">
        <v>26</v>
      </c>
      <c r="E11" s="62" t="s">
        <v>26</v>
      </c>
      <c r="F11" s="60">
        <f>A11+SUMIF('[1]RECAP DES SOLDES CREANCES'!$B$7:$B$53,B11,'[1]RECAP DES SOLDES CREANCES'!$F$7:$F$53)</f>
        <v>45381</v>
      </c>
      <c r="G11" s="62" t="str">
        <f t="shared" ca="1" si="0"/>
        <v>Echueé</v>
      </c>
      <c r="H11" s="66" t="s">
        <v>160</v>
      </c>
      <c r="I11" s="61" t="s">
        <v>4499</v>
      </c>
      <c r="J11" s="63">
        <v>3082322.17</v>
      </c>
      <c r="K11" s="63">
        <v>0</v>
      </c>
      <c r="L11" s="64">
        <f t="shared" si="1"/>
        <v>3082322.17</v>
      </c>
    </row>
    <row r="12" spans="1:12" x14ac:dyDescent="0.25">
      <c r="A12" s="65">
        <v>45291</v>
      </c>
      <c r="B12" s="67" t="s">
        <v>165</v>
      </c>
      <c r="C12" s="62" t="s">
        <v>4499</v>
      </c>
      <c r="D12" s="62" t="s">
        <v>26</v>
      </c>
      <c r="E12" s="62" t="s">
        <v>26</v>
      </c>
      <c r="F12" s="60">
        <f>A12+SUMIF('[1]RECAP DES SOLDES CREANCES'!$B$7:$B$53,B12,'[1]RECAP DES SOLDES CREANCES'!$F$7:$F$53)</f>
        <v>45381</v>
      </c>
      <c r="G12" s="62" t="str">
        <f t="shared" ca="1" si="0"/>
        <v>Echueé</v>
      </c>
      <c r="H12" s="66" t="s">
        <v>160</v>
      </c>
      <c r="I12" s="61" t="s">
        <v>4499</v>
      </c>
      <c r="J12" s="63">
        <v>1625316</v>
      </c>
      <c r="K12" s="63">
        <v>0</v>
      </c>
      <c r="L12" s="64">
        <f t="shared" si="1"/>
        <v>1625316</v>
      </c>
    </row>
    <row r="13" spans="1:12" x14ac:dyDescent="0.25">
      <c r="A13" s="65">
        <v>45291</v>
      </c>
      <c r="B13" s="67" t="s">
        <v>1052</v>
      </c>
      <c r="C13" s="62" t="s">
        <v>4499</v>
      </c>
      <c r="D13" s="62" t="s">
        <v>26</v>
      </c>
      <c r="E13" s="62" t="s">
        <v>26</v>
      </c>
      <c r="F13" s="60">
        <f>A13+SUMIF('[1]RECAP DES SOLDES CREANCES'!$B$7:$B$53,B13,'[1]RECAP DES SOLDES CREANCES'!$F$7:$F$53)</f>
        <v>45381</v>
      </c>
      <c r="G13" s="62" t="str">
        <f t="shared" ca="1" si="0"/>
        <v>Echueé</v>
      </c>
      <c r="H13" s="66" t="s">
        <v>160</v>
      </c>
      <c r="I13" s="61" t="s">
        <v>4499</v>
      </c>
      <c r="J13" s="63">
        <v>408310.38959999965</v>
      </c>
      <c r="K13" s="63">
        <v>0</v>
      </c>
      <c r="L13" s="64">
        <f t="shared" si="1"/>
        <v>408310.38959999965</v>
      </c>
    </row>
    <row r="14" spans="1:12" x14ac:dyDescent="0.25">
      <c r="A14" s="65">
        <v>45291</v>
      </c>
      <c r="B14" s="67" t="s">
        <v>152</v>
      </c>
      <c r="C14" s="62" t="s">
        <v>4499</v>
      </c>
      <c r="D14" s="62" t="s">
        <v>26</v>
      </c>
      <c r="E14" s="62" t="s">
        <v>26</v>
      </c>
      <c r="F14" s="60">
        <f>A14+SUMIF('[1]RECAP DES SOLDES CREANCES'!$B$7:$B$53,B14,'[1]RECAP DES SOLDES CREANCES'!$F$7:$F$53)</f>
        <v>45381</v>
      </c>
      <c r="G14" s="62" t="str">
        <f t="shared" ca="1" si="0"/>
        <v>Echueé</v>
      </c>
      <c r="H14" s="66" t="s">
        <v>160</v>
      </c>
      <c r="I14" s="61" t="s">
        <v>4499</v>
      </c>
      <c r="J14" s="63">
        <v>123911.84400000019</v>
      </c>
      <c r="K14" s="63">
        <v>0</v>
      </c>
      <c r="L14" s="64">
        <f t="shared" si="1"/>
        <v>123911.84400000019</v>
      </c>
    </row>
    <row r="15" spans="1:12" x14ac:dyDescent="0.25">
      <c r="A15" s="65">
        <v>45291</v>
      </c>
      <c r="B15" s="67" t="s">
        <v>4474</v>
      </c>
      <c r="C15" s="62" t="s">
        <v>4499</v>
      </c>
      <c r="D15" s="62" t="s">
        <v>26</v>
      </c>
      <c r="E15" s="62" t="s">
        <v>26</v>
      </c>
      <c r="F15" s="60">
        <f>A15+SUMIF('[1]RECAP DES SOLDES CREANCES'!$B$7:$B$53,B15,'[1]RECAP DES SOLDES CREANCES'!$F$7:$F$53)</f>
        <v>45381</v>
      </c>
      <c r="G15" s="62" t="str">
        <f t="shared" ca="1" si="0"/>
        <v>Echueé</v>
      </c>
      <c r="H15" s="66" t="s">
        <v>160</v>
      </c>
      <c r="I15" s="61" t="s">
        <v>4499</v>
      </c>
      <c r="J15" s="63">
        <v>386395.59000000008</v>
      </c>
      <c r="K15" s="63">
        <v>0</v>
      </c>
      <c r="L15" s="64">
        <f t="shared" si="1"/>
        <v>386395.59000000008</v>
      </c>
    </row>
    <row r="16" spans="1:12" x14ac:dyDescent="0.25">
      <c r="A16" s="65">
        <v>45291</v>
      </c>
      <c r="B16" s="67" t="s">
        <v>4475</v>
      </c>
      <c r="C16" s="62" t="s">
        <v>4499</v>
      </c>
      <c r="D16" s="62" t="s">
        <v>26</v>
      </c>
      <c r="E16" s="62" t="s">
        <v>26</v>
      </c>
      <c r="F16" s="60">
        <f>A16+SUMIF('[1]RECAP DES SOLDES CREANCES'!$B$7:$B$53,B16,'[1]RECAP DES SOLDES CREANCES'!$F$7:$F$53)</f>
        <v>45351</v>
      </c>
      <c r="G16" s="62" t="str">
        <f t="shared" ca="1" si="0"/>
        <v>Echueé</v>
      </c>
      <c r="H16" s="66" t="s">
        <v>160</v>
      </c>
      <c r="I16" s="61" t="s">
        <v>4499</v>
      </c>
      <c r="J16" s="63">
        <v>162783.98800000007</v>
      </c>
      <c r="K16" s="63">
        <v>0</v>
      </c>
      <c r="L16" s="64">
        <f t="shared" si="1"/>
        <v>162783.98800000007</v>
      </c>
    </row>
    <row r="17" spans="1:12" x14ac:dyDescent="0.25">
      <c r="A17" s="65">
        <v>45291</v>
      </c>
      <c r="B17" s="67" t="s">
        <v>925</v>
      </c>
      <c r="C17" s="62" t="s">
        <v>4499</v>
      </c>
      <c r="D17" s="62" t="s">
        <v>26</v>
      </c>
      <c r="E17" s="62" t="s">
        <v>26</v>
      </c>
      <c r="F17" s="60">
        <f>A17+SUMIF('[1]RECAP DES SOLDES CREANCES'!$B$7:$B$53,B17,'[1]RECAP DES SOLDES CREANCES'!$F$7:$F$53)</f>
        <v>45351</v>
      </c>
      <c r="G17" s="62" t="str">
        <f t="shared" ca="1" si="0"/>
        <v>Echueé</v>
      </c>
      <c r="H17" s="66" t="s">
        <v>160</v>
      </c>
      <c r="I17" s="61" t="s">
        <v>4499</v>
      </c>
      <c r="J17" s="63">
        <v>24685.415999999997</v>
      </c>
      <c r="K17" s="63">
        <v>0</v>
      </c>
      <c r="L17" s="64">
        <f t="shared" si="1"/>
        <v>24685.415999999997</v>
      </c>
    </row>
    <row r="18" spans="1:12" x14ac:dyDescent="0.25">
      <c r="A18" s="65">
        <v>45291</v>
      </c>
      <c r="B18" s="67" t="s">
        <v>926</v>
      </c>
      <c r="C18" s="62" t="s">
        <v>4499</v>
      </c>
      <c r="D18" s="62" t="s">
        <v>26</v>
      </c>
      <c r="E18" s="62" t="s">
        <v>26</v>
      </c>
      <c r="F18" s="60">
        <f>A18+SUMIF('[1]RECAP DES SOLDES CREANCES'!$B$7:$B$53,B18,'[1]RECAP DES SOLDES CREANCES'!$F$7:$F$53)</f>
        <v>45381</v>
      </c>
      <c r="G18" s="62" t="str">
        <f t="shared" ca="1" si="0"/>
        <v>Echueé</v>
      </c>
      <c r="H18" s="66" t="s">
        <v>160</v>
      </c>
      <c r="I18" s="61" t="s">
        <v>4499</v>
      </c>
      <c r="J18" s="63">
        <v>2411812.6999999997</v>
      </c>
      <c r="K18" s="63">
        <v>0</v>
      </c>
      <c r="L18" s="64">
        <f t="shared" si="1"/>
        <v>2411812.6999999997</v>
      </c>
    </row>
    <row r="19" spans="1:12" x14ac:dyDescent="0.25">
      <c r="A19" s="65">
        <v>45291</v>
      </c>
      <c r="B19" s="67" t="s">
        <v>4476</v>
      </c>
      <c r="C19" s="62" t="s">
        <v>4499</v>
      </c>
      <c r="D19" s="62" t="s">
        <v>26</v>
      </c>
      <c r="E19" s="62" t="s">
        <v>26</v>
      </c>
      <c r="F19" s="60">
        <f>A19+SUMIF('[1]RECAP DES SOLDES CREANCES'!$B$7:$B$53,B19,'[1]RECAP DES SOLDES CREANCES'!$F$7:$F$53)</f>
        <v>45381</v>
      </c>
      <c r="G19" s="62" t="str">
        <f t="shared" ca="1" si="0"/>
        <v>Echueé</v>
      </c>
      <c r="H19" s="66" t="s">
        <v>160</v>
      </c>
      <c r="I19" s="61" t="s">
        <v>4499</v>
      </c>
      <c r="J19" s="63">
        <v>89044.893999999971</v>
      </c>
      <c r="K19" s="63">
        <v>0</v>
      </c>
      <c r="L19" s="64">
        <f t="shared" si="1"/>
        <v>89044.893999999971</v>
      </c>
    </row>
    <row r="20" spans="1:12" x14ac:dyDescent="0.25">
      <c r="A20" s="65">
        <v>45291</v>
      </c>
      <c r="B20" s="67" t="s">
        <v>4477</v>
      </c>
      <c r="C20" s="66" t="s">
        <v>4499</v>
      </c>
      <c r="D20" s="62" t="s">
        <v>26</v>
      </c>
      <c r="E20" s="62" t="s">
        <v>26</v>
      </c>
      <c r="F20" s="60">
        <f>A20+SUMIF('[1]RECAP DES SOLDES CREANCES'!$B$7:$B$53,B20,'[1]RECAP DES SOLDES CREANCES'!$F$7:$F$53)</f>
        <v>45381</v>
      </c>
      <c r="G20" s="62" t="str">
        <f t="shared" ca="1" si="0"/>
        <v>Echueé</v>
      </c>
      <c r="H20" s="66" t="s">
        <v>160</v>
      </c>
      <c r="I20" s="61" t="s">
        <v>4499</v>
      </c>
      <c r="J20" s="63">
        <v>3007.3439999999978</v>
      </c>
      <c r="K20" s="63">
        <v>0</v>
      </c>
      <c r="L20" s="64">
        <f t="shared" si="1"/>
        <v>3007.3439999999978</v>
      </c>
    </row>
    <row r="21" spans="1:12" x14ac:dyDescent="0.25">
      <c r="A21" s="65">
        <v>45657</v>
      </c>
      <c r="B21" s="67" t="s">
        <v>4443</v>
      </c>
      <c r="C21" s="66" t="s">
        <v>4499</v>
      </c>
      <c r="D21" s="62" t="s">
        <v>26</v>
      </c>
      <c r="E21" s="62" t="s">
        <v>26</v>
      </c>
      <c r="F21" s="60">
        <f>A21+SUMIF('[1]RECAP DES SOLDES CREANCES'!$B$7:$B$53,B21,'[1]RECAP DES SOLDES CREANCES'!$F$7:$F$53)</f>
        <v>45717</v>
      </c>
      <c r="G21" s="62" t="str">
        <f t="shared" ca="1" si="0"/>
        <v>Non Echueé</v>
      </c>
      <c r="H21" s="66" t="s">
        <v>160</v>
      </c>
      <c r="I21" s="61" t="s">
        <v>4499</v>
      </c>
      <c r="J21" s="63">
        <v>1808360.0219999999</v>
      </c>
      <c r="K21" s="63">
        <v>0</v>
      </c>
      <c r="L21" s="64">
        <f t="shared" si="1"/>
        <v>1808360.0219999999</v>
      </c>
    </row>
    <row r="22" spans="1:12" x14ac:dyDescent="0.25">
      <c r="A22" s="65">
        <v>45291</v>
      </c>
      <c r="B22" s="12" t="s">
        <v>4478</v>
      </c>
      <c r="C22" s="66" t="s">
        <v>4499</v>
      </c>
      <c r="D22" s="62" t="s">
        <v>26</v>
      </c>
      <c r="E22" s="62" t="s">
        <v>26</v>
      </c>
      <c r="F22" s="60">
        <f>A22+SUMIF('[1]RECAP DES SOLDES CREANCES'!$B$7:$B$53,B22,'[1]RECAP DES SOLDES CREANCES'!$F$7:$F$53)</f>
        <v>45351</v>
      </c>
      <c r="G22" s="62" t="str">
        <f t="shared" ca="1" si="0"/>
        <v>Echueé</v>
      </c>
      <c r="H22" s="66" t="s">
        <v>160</v>
      </c>
      <c r="I22" s="61" t="s">
        <v>4499</v>
      </c>
      <c r="J22" s="63">
        <v>2463.7439999999997</v>
      </c>
      <c r="K22" s="63">
        <v>0</v>
      </c>
      <c r="L22" s="64">
        <f t="shared" si="1"/>
        <v>2463.7439999999997</v>
      </c>
    </row>
    <row r="23" spans="1:12" x14ac:dyDescent="0.25">
      <c r="A23" s="65">
        <v>45657</v>
      </c>
      <c r="B23" s="67" t="s">
        <v>4470</v>
      </c>
      <c r="C23" s="66" t="s">
        <v>4499</v>
      </c>
      <c r="D23" s="62" t="s">
        <v>26</v>
      </c>
      <c r="E23" s="62" t="s">
        <v>26</v>
      </c>
      <c r="F23" s="60">
        <f>A23+SUMIF('[1]RECAP DES SOLDES CREANCES'!$B$7:$B$53,B23,'[1]RECAP DES SOLDES CREANCES'!$F$7:$F$53)</f>
        <v>45747</v>
      </c>
      <c r="G23" s="62" t="str">
        <f t="shared" ca="1" si="0"/>
        <v>Non Echueé</v>
      </c>
      <c r="H23" s="66" t="s">
        <v>160</v>
      </c>
      <c r="I23" s="61" t="s">
        <v>4499</v>
      </c>
      <c r="J23" s="63">
        <v>461926.35519999964</v>
      </c>
      <c r="K23" s="63">
        <v>0</v>
      </c>
      <c r="L23" s="64">
        <f t="shared" si="1"/>
        <v>461926.35519999964</v>
      </c>
    </row>
    <row r="24" spans="1:12" x14ac:dyDescent="0.25">
      <c r="A24" s="65">
        <v>45291</v>
      </c>
      <c r="B24" s="67" t="s">
        <v>4479</v>
      </c>
      <c r="C24" s="66" t="s">
        <v>4499</v>
      </c>
      <c r="D24" s="62" t="s">
        <v>26</v>
      </c>
      <c r="E24" s="62" t="s">
        <v>26</v>
      </c>
      <c r="F24" s="60">
        <f>A24+SUMIF('[1]RECAP DES SOLDES CREANCES'!$B$7:$B$53,B24,'[1]RECAP DES SOLDES CREANCES'!$F$7:$F$53)</f>
        <v>45291</v>
      </c>
      <c r="G24" s="62" t="str">
        <f t="shared" ca="1" si="0"/>
        <v>Echueé</v>
      </c>
      <c r="H24" s="66" t="s">
        <v>160</v>
      </c>
      <c r="I24" s="61" t="s">
        <v>4499</v>
      </c>
      <c r="J24" s="63">
        <v>-9839.6680000000633</v>
      </c>
      <c r="K24" s="63">
        <v>0</v>
      </c>
      <c r="L24" s="64">
        <f t="shared" si="1"/>
        <v>-9839.6680000000633</v>
      </c>
    </row>
    <row r="25" spans="1:12" x14ac:dyDescent="0.25">
      <c r="A25" s="65">
        <v>45657</v>
      </c>
      <c r="B25" s="67" t="s">
        <v>66</v>
      </c>
      <c r="C25" s="66" t="s">
        <v>4499</v>
      </c>
      <c r="D25" s="62" t="s">
        <v>26</v>
      </c>
      <c r="E25" s="62" t="s">
        <v>26</v>
      </c>
      <c r="F25" s="60">
        <f>A25+SUMIF('[1]RECAP DES SOLDES CREANCES'!$B$7:$B$53,B25,'[1]RECAP DES SOLDES CREANCES'!$F$7:$F$53)</f>
        <v>45747</v>
      </c>
      <c r="G25" s="62" t="str">
        <f t="shared" ca="1" si="0"/>
        <v>Non Echueé</v>
      </c>
      <c r="H25" s="66" t="s">
        <v>160</v>
      </c>
      <c r="I25" s="61" t="s">
        <v>4499</v>
      </c>
      <c r="J25" s="63">
        <v>118649.28000000003</v>
      </c>
      <c r="K25" s="63">
        <v>0</v>
      </c>
      <c r="L25" s="64">
        <f t="shared" si="1"/>
        <v>118649.28000000003</v>
      </c>
    </row>
    <row r="26" spans="1:12" x14ac:dyDescent="0.25">
      <c r="A26" s="65">
        <v>45291</v>
      </c>
      <c r="B26" s="67" t="s">
        <v>4480</v>
      </c>
      <c r="C26" s="66" t="s">
        <v>4499</v>
      </c>
      <c r="D26" s="62" t="s">
        <v>26</v>
      </c>
      <c r="E26" s="62" t="s">
        <v>26</v>
      </c>
      <c r="F26" s="60">
        <f>A26+SUMIF('[1]RECAP DES SOLDES CREANCES'!$B$7:$B$53,B26,'[1]RECAP DES SOLDES CREANCES'!$F$7:$F$53)</f>
        <v>45381</v>
      </c>
      <c r="G26" s="62" t="str">
        <f t="shared" ca="1" si="0"/>
        <v>Echueé</v>
      </c>
      <c r="H26" s="66" t="s">
        <v>160</v>
      </c>
      <c r="I26" s="61" t="s">
        <v>4499</v>
      </c>
      <c r="J26" s="63">
        <v>690873</v>
      </c>
      <c r="K26" s="63">
        <v>0</v>
      </c>
      <c r="L26" s="64">
        <f t="shared" si="1"/>
        <v>690873</v>
      </c>
    </row>
    <row r="27" spans="1:12" x14ac:dyDescent="0.25">
      <c r="A27" s="65">
        <v>45291</v>
      </c>
      <c r="B27" s="67" t="s">
        <v>4481</v>
      </c>
      <c r="C27" s="66" t="s">
        <v>4499</v>
      </c>
      <c r="D27" s="62" t="s">
        <v>26</v>
      </c>
      <c r="E27" s="62" t="s">
        <v>26</v>
      </c>
      <c r="F27" s="60">
        <f>A27+SUMIF('[1]RECAP DES SOLDES CREANCES'!$B$7:$B$53,B27,'[1]RECAP DES SOLDES CREANCES'!$F$7:$F$53)</f>
        <v>45381</v>
      </c>
      <c r="G27" s="62" t="str">
        <f t="shared" ca="1" si="0"/>
        <v>Echueé</v>
      </c>
      <c r="H27" s="66" t="s">
        <v>160</v>
      </c>
      <c r="I27" s="61" t="s">
        <v>4499</v>
      </c>
      <c r="J27" s="63">
        <v>27345.599999999991</v>
      </c>
      <c r="K27" s="63">
        <v>0</v>
      </c>
      <c r="L27" s="64">
        <f t="shared" si="1"/>
        <v>27345.599999999991</v>
      </c>
    </row>
    <row r="28" spans="1:12" x14ac:dyDescent="0.25">
      <c r="A28" s="65">
        <v>45291</v>
      </c>
      <c r="B28" s="67" t="s">
        <v>153</v>
      </c>
      <c r="C28" s="66" t="s">
        <v>4499</v>
      </c>
      <c r="D28" s="62" t="s">
        <v>26</v>
      </c>
      <c r="E28" s="62" t="s">
        <v>26</v>
      </c>
      <c r="F28" s="60">
        <f>A28+SUMIF('[1]RECAP DES SOLDES CREANCES'!$B$7:$B$53,B28,'[1]RECAP DES SOLDES CREANCES'!$F$7:$F$53)</f>
        <v>45381</v>
      </c>
      <c r="G28" s="62" t="str">
        <f t="shared" ca="1" si="0"/>
        <v>Echueé</v>
      </c>
      <c r="H28" s="66" t="s">
        <v>160</v>
      </c>
      <c r="I28" s="61" t="s">
        <v>4499</v>
      </c>
      <c r="J28" s="63">
        <v>906180.2</v>
      </c>
      <c r="K28" s="63">
        <v>0</v>
      </c>
      <c r="L28" s="64">
        <f t="shared" si="1"/>
        <v>906180.2</v>
      </c>
    </row>
    <row r="29" spans="1:12" x14ac:dyDescent="0.25">
      <c r="A29" s="65">
        <v>45291</v>
      </c>
      <c r="B29" s="67" t="s">
        <v>6183</v>
      </c>
      <c r="C29" s="66" t="s">
        <v>4499</v>
      </c>
      <c r="D29" s="62" t="s">
        <v>26</v>
      </c>
      <c r="E29" s="62" t="s">
        <v>26</v>
      </c>
      <c r="F29" s="60">
        <f>A29+SUMIF('[1]RECAP DES SOLDES CREANCES'!$B$7:$B$53,B29,'[1]RECAP DES SOLDES CREANCES'!$F$7:$F$53)</f>
        <v>45291</v>
      </c>
      <c r="G29" s="62" t="str">
        <f t="shared" ca="1" si="0"/>
        <v>Echueé</v>
      </c>
      <c r="H29" s="66" t="s">
        <v>160</v>
      </c>
      <c r="I29" s="61" t="s">
        <v>4499</v>
      </c>
      <c r="J29" s="63">
        <v>5397.0959999999977</v>
      </c>
      <c r="K29" s="63">
        <v>0</v>
      </c>
      <c r="L29" s="64">
        <f t="shared" si="1"/>
        <v>5397.0959999999977</v>
      </c>
    </row>
    <row r="30" spans="1:12" x14ac:dyDescent="0.25">
      <c r="A30" s="65">
        <v>45412</v>
      </c>
      <c r="B30" s="67" t="s">
        <v>51</v>
      </c>
      <c r="C30" s="66" t="s">
        <v>4499</v>
      </c>
      <c r="D30" s="62" t="s">
        <v>26</v>
      </c>
      <c r="E30" s="62" t="s">
        <v>26</v>
      </c>
      <c r="F30" s="60">
        <f>A30+SUMIF('[1]RECAP DES SOLDES CREANCES'!$B$7:$B$53,B30,'[1]RECAP DES SOLDES CREANCES'!$F$7:$F$53)</f>
        <v>45502</v>
      </c>
      <c r="G30" s="62" t="str">
        <f t="shared" ca="1" si="0"/>
        <v>Echueé</v>
      </c>
      <c r="H30" s="66" t="s">
        <v>160</v>
      </c>
      <c r="I30" s="61" t="s">
        <v>4499</v>
      </c>
      <c r="J30" s="63">
        <v>553197.69999999995</v>
      </c>
      <c r="K30" s="63">
        <v>0</v>
      </c>
      <c r="L30" s="64">
        <f t="shared" si="1"/>
        <v>553197.69999999995</v>
      </c>
    </row>
    <row r="31" spans="1:12" x14ac:dyDescent="0.25">
      <c r="A31" s="65">
        <v>45657</v>
      </c>
      <c r="B31" s="67" t="s">
        <v>4467</v>
      </c>
      <c r="C31" s="66" t="s">
        <v>4499</v>
      </c>
      <c r="D31" s="62" t="s">
        <v>26</v>
      </c>
      <c r="E31" s="62" t="s">
        <v>26</v>
      </c>
      <c r="F31" s="60">
        <f>A31+SUMIF('[1]RECAP DES SOLDES CREANCES'!$B$7:$B$53,B31,'[1]RECAP DES SOLDES CREANCES'!$F$7:$F$53)</f>
        <v>45657</v>
      </c>
      <c r="G31" s="62" t="str">
        <f ca="1">IF(TODAY()&lt;F31,"Non Echueé","Echueé")</f>
        <v>Echueé</v>
      </c>
      <c r="H31" s="66" t="s">
        <v>160</v>
      </c>
      <c r="I31" s="61" t="s">
        <v>4499</v>
      </c>
      <c r="J31" s="63">
        <v>0</v>
      </c>
      <c r="K31" s="63">
        <v>0</v>
      </c>
      <c r="L31" s="64">
        <f t="shared" si="1"/>
        <v>0</v>
      </c>
    </row>
    <row r="32" spans="1:12" x14ac:dyDescent="0.25">
      <c r="A32" s="65">
        <v>45657</v>
      </c>
      <c r="B32" s="67" t="s">
        <v>4482</v>
      </c>
      <c r="C32" s="66" t="s">
        <v>4499</v>
      </c>
      <c r="D32" s="62" t="s">
        <v>26</v>
      </c>
      <c r="E32" s="62" t="s">
        <v>26</v>
      </c>
      <c r="F32" s="60">
        <f>A32+SUMIF('[1]RECAP DES SOLDES CREANCES'!$B$7:$B$53,B32,'[1]RECAP DES SOLDES CREANCES'!$F$7:$F$53)</f>
        <v>45657</v>
      </c>
      <c r="G32" s="62" t="str">
        <f t="shared" ca="1" si="0"/>
        <v>Echueé</v>
      </c>
      <c r="H32" s="66" t="s">
        <v>160</v>
      </c>
      <c r="I32" s="61" t="s">
        <v>4499</v>
      </c>
      <c r="J32" s="63">
        <v>-802.22</v>
      </c>
      <c r="K32" s="63">
        <v>0</v>
      </c>
      <c r="L32" s="64">
        <f t="shared" si="1"/>
        <v>-802.22</v>
      </c>
    </row>
    <row r="33" spans="1:12" x14ac:dyDescent="0.25">
      <c r="A33" s="65">
        <v>45657</v>
      </c>
      <c r="B33" s="67" t="s">
        <v>89</v>
      </c>
      <c r="C33" s="66" t="s">
        <v>4499</v>
      </c>
      <c r="D33" s="62" t="s">
        <v>26</v>
      </c>
      <c r="E33" s="62" t="s">
        <v>26</v>
      </c>
      <c r="F33" s="60">
        <f>A33+SUMIF('[1]RECAP DES SOLDES CREANCES'!$B$7:$B$53,B33,'[1]RECAP DES SOLDES CREANCES'!$F$7:$F$53)</f>
        <v>45657</v>
      </c>
      <c r="G33" s="62" t="str">
        <f t="shared" ca="1" si="0"/>
        <v>Echueé</v>
      </c>
      <c r="H33" s="66" t="s">
        <v>160</v>
      </c>
      <c r="I33" s="61" t="s">
        <v>4499</v>
      </c>
      <c r="J33" s="63">
        <v>20669.471999999994</v>
      </c>
      <c r="K33" s="63">
        <v>0</v>
      </c>
      <c r="L33" s="64">
        <f t="shared" si="1"/>
        <v>20669.471999999994</v>
      </c>
    </row>
    <row r="34" spans="1:12" x14ac:dyDescent="0.25">
      <c r="A34" s="65">
        <v>45565</v>
      </c>
      <c r="B34" s="67" t="s">
        <v>4483</v>
      </c>
      <c r="C34" s="66" t="s">
        <v>4499</v>
      </c>
      <c r="D34" s="62" t="s">
        <v>26</v>
      </c>
      <c r="E34" s="62" t="s">
        <v>26</v>
      </c>
      <c r="F34" s="60">
        <f>A34+SUMIF('[1]RECAP DES SOLDES CREANCES'!$B$7:$B$53,B34,'[1]RECAP DES SOLDES CREANCES'!$F$7:$F$53)</f>
        <v>45655</v>
      </c>
      <c r="G34" s="62" t="str">
        <f t="shared" ca="1" si="0"/>
        <v>Echueé</v>
      </c>
      <c r="H34" s="66" t="s">
        <v>160</v>
      </c>
      <c r="I34" s="61" t="s">
        <v>4499</v>
      </c>
      <c r="J34" s="63">
        <v>508660.2128000001</v>
      </c>
      <c r="K34" s="63">
        <v>0</v>
      </c>
      <c r="L34" s="64">
        <f t="shared" si="1"/>
        <v>508660.2128000001</v>
      </c>
    </row>
    <row r="35" spans="1:12" x14ac:dyDescent="0.25">
      <c r="A35" s="65">
        <v>45677</v>
      </c>
      <c r="B35" s="67" t="s">
        <v>4483</v>
      </c>
      <c r="C35" s="66" t="s">
        <v>4500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160</v>
      </c>
      <c r="I35" s="61" t="s">
        <v>4501</v>
      </c>
      <c r="J35" s="63">
        <v>60850.51</v>
      </c>
      <c r="K35" s="63">
        <v>0</v>
      </c>
      <c r="L35" s="64">
        <f t="shared" si="1"/>
        <v>60850.51</v>
      </c>
    </row>
    <row r="36" spans="1:12" x14ac:dyDescent="0.25">
      <c r="A36" s="65">
        <v>45657</v>
      </c>
      <c r="B36" s="67" t="s">
        <v>4468</v>
      </c>
      <c r="C36" s="66" t="s">
        <v>4499</v>
      </c>
      <c r="D36" s="62" t="s">
        <v>26</v>
      </c>
      <c r="E36" s="62" t="s">
        <v>26</v>
      </c>
      <c r="F36" s="60">
        <f>A36+SUMIF('[1]RECAP DES SOLDES CREANCES'!$B$7:$B$53,B36,'[1]RECAP DES SOLDES CREANCES'!$F$7:$F$53)</f>
        <v>45777</v>
      </c>
      <c r="G36" s="62" t="str">
        <f t="shared" ca="1" si="0"/>
        <v>Non Echueé</v>
      </c>
      <c r="H36" s="66" t="s">
        <v>160</v>
      </c>
      <c r="I36" s="61" t="s">
        <v>4499</v>
      </c>
      <c r="J36" s="63">
        <v>285247.36599999998</v>
      </c>
      <c r="K36" s="63">
        <v>0</v>
      </c>
      <c r="L36" s="64">
        <f t="shared" si="1"/>
        <v>285247.36599999998</v>
      </c>
    </row>
    <row r="37" spans="1:12" x14ac:dyDescent="0.25">
      <c r="A37" s="65">
        <v>44926</v>
      </c>
      <c r="B37" s="67" t="s">
        <v>4484</v>
      </c>
      <c r="C37" s="66" t="s">
        <v>4499</v>
      </c>
      <c r="D37" s="62" t="s">
        <v>26</v>
      </c>
      <c r="E37" s="62" t="s">
        <v>26</v>
      </c>
      <c r="F37" s="60">
        <f>A37+SUMIF('[1]RECAP DES SOLDES CREANCES'!$B$7:$B$53,B37,'[1]RECAP DES SOLDES CREANCES'!$F$7:$F$53)</f>
        <v>45016</v>
      </c>
      <c r="G37" s="62" t="str">
        <f t="shared" ca="1" si="0"/>
        <v>Echueé</v>
      </c>
      <c r="H37" s="66" t="s">
        <v>160</v>
      </c>
      <c r="I37" s="61" t="s">
        <v>4499</v>
      </c>
      <c r="J37" s="63">
        <v>107800.00000000001</v>
      </c>
      <c r="K37" s="63">
        <v>0</v>
      </c>
      <c r="L37" s="64">
        <f t="shared" si="1"/>
        <v>107800.00000000001</v>
      </c>
    </row>
    <row r="38" spans="1:12" x14ac:dyDescent="0.25">
      <c r="A38" s="65">
        <v>44957</v>
      </c>
      <c r="B38" s="67" t="s">
        <v>4485</v>
      </c>
      <c r="C38" s="66" t="s">
        <v>4499</v>
      </c>
      <c r="D38" s="62" t="s">
        <v>26</v>
      </c>
      <c r="E38" s="62" t="s">
        <v>26</v>
      </c>
      <c r="F38" s="60">
        <f>A38+SUMIF('[1]RECAP DES SOLDES CREANCES'!$B$7:$B$53,B38,'[1]RECAP DES SOLDES CREANCES'!$F$7:$F$53)</f>
        <v>45047</v>
      </c>
      <c r="G38" s="62" t="str">
        <f t="shared" ca="1" si="0"/>
        <v>Echueé</v>
      </c>
      <c r="H38" s="66" t="s">
        <v>160</v>
      </c>
      <c r="I38" s="61" t="s">
        <v>4499</v>
      </c>
      <c r="J38" s="63">
        <v>623610</v>
      </c>
      <c r="K38" s="63">
        <v>0</v>
      </c>
      <c r="L38" s="64">
        <f t="shared" si="1"/>
        <v>623610</v>
      </c>
    </row>
    <row r="39" spans="1:12" x14ac:dyDescent="0.25">
      <c r="A39" s="65">
        <v>44561</v>
      </c>
      <c r="B39" s="67" t="s">
        <v>930</v>
      </c>
      <c r="C39" s="66" t="s">
        <v>4499</v>
      </c>
      <c r="D39" s="62" t="s">
        <v>26</v>
      </c>
      <c r="E39" s="62" t="s">
        <v>26</v>
      </c>
      <c r="F39" s="60">
        <f>A39+SUMIF('[1]RECAP DES SOLDES CREANCES'!$B$7:$B$53,B39,'[1]RECAP DES SOLDES CREANCES'!$F$7:$F$53)</f>
        <v>44651</v>
      </c>
      <c r="G39" s="62" t="str">
        <f t="shared" ca="1" si="0"/>
        <v>Echueé</v>
      </c>
      <c r="H39" s="66" t="s">
        <v>160</v>
      </c>
      <c r="I39" s="61" t="s">
        <v>4499</v>
      </c>
      <c r="J39" s="63">
        <v>191611.31</v>
      </c>
      <c r="K39" s="63">
        <v>0</v>
      </c>
      <c r="L39" s="64">
        <f t="shared" si="1"/>
        <v>191611.31</v>
      </c>
    </row>
    <row r="40" spans="1:12" x14ac:dyDescent="0.25">
      <c r="A40" s="65">
        <v>44561</v>
      </c>
      <c r="B40" s="67" t="s">
        <v>931</v>
      </c>
      <c r="C40" s="66" t="s">
        <v>4499</v>
      </c>
      <c r="D40" s="62" t="s">
        <v>26</v>
      </c>
      <c r="E40" s="62" t="s">
        <v>26</v>
      </c>
      <c r="F40" s="60">
        <f>A40+SUMIF('[1]RECAP DES SOLDES CREANCES'!$B$7:$B$53,B40,'[1]RECAP DES SOLDES CREANCES'!$F$7:$F$53)</f>
        <v>44651</v>
      </c>
      <c r="G40" s="62" t="str">
        <f t="shared" ca="1" si="0"/>
        <v>Echueé</v>
      </c>
      <c r="H40" s="66" t="s">
        <v>160</v>
      </c>
      <c r="I40" s="61" t="s">
        <v>4499</v>
      </c>
      <c r="J40" s="63">
        <v>22800</v>
      </c>
      <c r="K40" s="63">
        <v>0</v>
      </c>
      <c r="L40" s="64">
        <f t="shared" si="1"/>
        <v>22800</v>
      </c>
    </row>
    <row r="41" spans="1:12" x14ac:dyDescent="0.25">
      <c r="A41" s="65">
        <v>45657</v>
      </c>
      <c r="B41" s="67" t="s">
        <v>4445</v>
      </c>
      <c r="C41" s="66" t="s">
        <v>4499</v>
      </c>
      <c r="D41" s="62" t="s">
        <v>26</v>
      </c>
      <c r="E41" s="62" t="s">
        <v>26</v>
      </c>
      <c r="F41" s="60">
        <f>A41+SUMIF('[1]RECAP DES SOLDES CREANCES'!$B$7:$B$53,B41,'[1]RECAP DES SOLDES CREANCES'!$F$7:$F$53)</f>
        <v>45717</v>
      </c>
      <c r="G41" s="62" t="str">
        <f t="shared" ca="1" si="0"/>
        <v>Non Echueé</v>
      </c>
      <c r="H41" s="66" t="s">
        <v>160</v>
      </c>
      <c r="I41" s="61" t="s">
        <v>4499</v>
      </c>
      <c r="J41" s="63">
        <v>117553.728</v>
      </c>
      <c r="K41" s="63">
        <v>0</v>
      </c>
      <c r="L41" s="64">
        <f t="shared" si="1"/>
        <v>117553.728</v>
      </c>
    </row>
    <row r="42" spans="1:12" x14ac:dyDescent="0.25">
      <c r="A42" s="65">
        <v>44926</v>
      </c>
      <c r="B42" s="67" t="s">
        <v>4486</v>
      </c>
      <c r="C42" s="66" t="s">
        <v>4499</v>
      </c>
      <c r="D42" s="62" t="s">
        <v>26</v>
      </c>
      <c r="E42" s="62" t="s">
        <v>26</v>
      </c>
      <c r="F42" s="60">
        <f>A42+SUMIF('[1]RECAP DES SOLDES CREANCES'!$B$7:$B$53,B42,'[1]RECAP DES SOLDES CREANCES'!$F$7:$F$53)</f>
        <v>45016</v>
      </c>
      <c r="G42" s="62" t="str">
        <f t="shared" ca="1" si="0"/>
        <v>Echueé</v>
      </c>
      <c r="H42" s="66" t="s">
        <v>160</v>
      </c>
      <c r="I42" s="61" t="s">
        <v>4499</v>
      </c>
      <c r="J42" s="63">
        <v>12000</v>
      </c>
      <c r="K42" s="63">
        <v>0</v>
      </c>
      <c r="L42" s="64">
        <f t="shared" si="1"/>
        <v>12000</v>
      </c>
    </row>
    <row r="43" spans="1:12" x14ac:dyDescent="0.25">
      <c r="A43" s="65">
        <v>44865</v>
      </c>
      <c r="B43" s="67" t="s">
        <v>4487</v>
      </c>
      <c r="C43" s="66" t="s">
        <v>4499</v>
      </c>
      <c r="D43" s="62" t="s">
        <v>26</v>
      </c>
      <c r="E43" s="62" t="s">
        <v>26</v>
      </c>
      <c r="F43" s="60">
        <f>A43+SUMIF('[1]RECAP DES SOLDES CREANCES'!$B$7:$B$53,B43,'[1]RECAP DES SOLDES CREANCES'!$F$7:$F$53)</f>
        <v>44955</v>
      </c>
      <c r="G43" s="62" t="str">
        <f t="shared" ca="1" si="0"/>
        <v>Echueé</v>
      </c>
      <c r="H43" s="66" t="s">
        <v>160</v>
      </c>
      <c r="I43" s="61" t="s">
        <v>4499</v>
      </c>
      <c r="J43" s="63">
        <v>72875</v>
      </c>
      <c r="K43" s="63">
        <v>0</v>
      </c>
      <c r="L43" s="64">
        <f t="shared" si="1"/>
        <v>72875</v>
      </c>
    </row>
    <row r="44" spans="1:12" x14ac:dyDescent="0.25">
      <c r="A44" s="65">
        <v>45473</v>
      </c>
      <c r="B44" s="67" t="s">
        <v>4488</v>
      </c>
      <c r="C44" s="66" t="s">
        <v>4499</v>
      </c>
      <c r="D44" s="62" t="s">
        <v>26</v>
      </c>
      <c r="E44" s="62" t="s">
        <v>26</v>
      </c>
      <c r="F44" s="60">
        <f>A44+SUMIF('[1]RECAP DES SOLDES CREANCES'!$B$7:$B$53,B44,'[1]RECAP DES SOLDES CREANCES'!$F$7:$F$53)</f>
        <v>45593</v>
      </c>
      <c r="G44" s="62" t="str">
        <f t="shared" ca="1" si="0"/>
        <v>Echueé</v>
      </c>
      <c r="H44" s="66" t="s">
        <v>160</v>
      </c>
      <c r="I44" s="61" t="s">
        <v>4499</v>
      </c>
      <c r="J44" s="63">
        <v>74379.600000000093</v>
      </c>
      <c r="K44" s="63">
        <v>0</v>
      </c>
      <c r="L44" s="64">
        <f t="shared" si="1"/>
        <v>74379.600000000093</v>
      </c>
    </row>
    <row r="45" spans="1:12" x14ac:dyDescent="0.25">
      <c r="A45" s="81">
        <v>45659</v>
      </c>
      <c r="B45" s="61" t="s">
        <v>149</v>
      </c>
      <c r="C45" s="11" t="s">
        <v>4502</v>
      </c>
      <c r="D45" s="11" t="s">
        <v>4503</v>
      </c>
      <c r="E45" s="11" t="s">
        <v>922</v>
      </c>
      <c r="F45" s="60">
        <f>A45+SUMIF('[1]RECAP DES SOLDES CREANCES'!$B$7:$B$53,B45,'[1]RECAP DES SOLDES CREANCES'!$F$7:$F$53)</f>
        <v>45749</v>
      </c>
      <c r="G45" s="82" t="s">
        <v>26</v>
      </c>
      <c r="H45" s="11" t="s">
        <v>160</v>
      </c>
      <c r="I45" s="69" t="s">
        <v>4420</v>
      </c>
      <c r="J45" s="83">
        <v>0</v>
      </c>
      <c r="K45" s="83">
        <v>30000</v>
      </c>
      <c r="L45" s="84">
        <f>+J45-K45</f>
        <v>-30000</v>
      </c>
    </row>
    <row r="46" spans="1:12" x14ac:dyDescent="0.25">
      <c r="A46" s="81">
        <v>45664</v>
      </c>
      <c r="B46" s="67" t="s">
        <v>4468</v>
      </c>
      <c r="C46" s="11" t="s">
        <v>4502</v>
      </c>
      <c r="D46" s="11" t="s">
        <v>4503</v>
      </c>
      <c r="E46" s="11" t="s">
        <v>1029</v>
      </c>
      <c r="F46" s="60">
        <f>A46+SUMIF('[1]RECAP DES SOLDES CREANCES'!$B$7:$B$53,B46,'[1]RECAP DES SOLDES CREANCES'!$F$7:$F$53)</f>
        <v>45784</v>
      </c>
      <c r="G46" s="82" t="s">
        <v>26</v>
      </c>
      <c r="H46" s="11" t="s">
        <v>160</v>
      </c>
      <c r="I46" s="69" t="s">
        <v>4421</v>
      </c>
      <c r="J46" s="83"/>
      <c r="K46" s="83">
        <v>76388.929999999993</v>
      </c>
      <c r="L46" s="84">
        <f t="shared" si="1"/>
        <v>-76388.929999999993</v>
      </c>
    </row>
    <row r="47" spans="1:12" x14ac:dyDescent="0.25">
      <c r="A47" s="65">
        <v>45657</v>
      </c>
      <c r="B47" s="67" t="s">
        <v>4469</v>
      </c>
      <c r="C47" s="66" t="s">
        <v>4499</v>
      </c>
      <c r="D47" s="62" t="s">
        <v>26</v>
      </c>
      <c r="E47" s="62" t="s">
        <v>26</v>
      </c>
      <c r="F47" s="60">
        <f>A47+SUMIF('[1]RECAP DES SOLDES CREANCES'!$B$7:$B$53,B47,'[1]RECAP DES SOLDES CREANCES'!$F$7:$F$53)</f>
        <v>45657</v>
      </c>
      <c r="G47" s="62" t="s">
        <v>26</v>
      </c>
      <c r="H47" s="66" t="s">
        <v>163</v>
      </c>
      <c r="I47" s="67" t="s">
        <v>4499</v>
      </c>
      <c r="J47" s="63">
        <v>-38869.699999999997</v>
      </c>
      <c r="K47" s="63">
        <v>0</v>
      </c>
      <c r="L47" s="64">
        <f t="shared" si="1"/>
        <v>-38869.699999999997</v>
      </c>
    </row>
    <row r="48" spans="1:12" x14ac:dyDescent="0.25">
      <c r="A48" s="65">
        <v>45291</v>
      </c>
      <c r="B48" s="67" t="s">
        <v>164</v>
      </c>
      <c r="C48" s="66" t="s">
        <v>4499</v>
      </c>
      <c r="D48" s="62" t="s">
        <v>26</v>
      </c>
      <c r="E48" s="62" t="s">
        <v>26</v>
      </c>
      <c r="F48" s="60">
        <f>A48+SUMIF('[1]RECAP DES SOLDES CREANCES'!$B$7:$B$53,B48,'[1]RECAP DES SOLDES CREANCES'!$F$7:$F$53)</f>
        <v>45381</v>
      </c>
      <c r="G48" s="62" t="str">
        <f t="shared" ca="1" si="0"/>
        <v>Echueé</v>
      </c>
      <c r="H48" s="66" t="s">
        <v>163</v>
      </c>
      <c r="I48" s="67" t="s">
        <v>4499</v>
      </c>
      <c r="J48" s="63">
        <v>20604.689999999988</v>
      </c>
      <c r="K48" s="63">
        <v>0</v>
      </c>
      <c r="L48" s="64">
        <f t="shared" si="1"/>
        <v>20604.689999999988</v>
      </c>
    </row>
    <row r="49" spans="1:12" x14ac:dyDescent="0.25">
      <c r="A49" s="65">
        <v>45291</v>
      </c>
      <c r="B49" s="67" t="s">
        <v>150</v>
      </c>
      <c r="C49" s="66" t="s">
        <v>4499</v>
      </c>
      <c r="D49" s="62" t="s">
        <v>26</v>
      </c>
      <c r="E49" s="62" t="s">
        <v>26</v>
      </c>
      <c r="F49" s="60">
        <f>A49+SUMIF('[1]RECAP DES SOLDES CREANCES'!$B$7:$B$53,B49,'[1]RECAP DES SOLDES CREANCES'!$F$7:$F$53)</f>
        <v>45351</v>
      </c>
      <c r="G49" s="62" t="str">
        <f t="shared" ca="1" si="0"/>
        <v>Echueé</v>
      </c>
      <c r="H49" s="66" t="s">
        <v>163</v>
      </c>
      <c r="I49" s="67" t="s">
        <v>4499</v>
      </c>
      <c r="J49" s="63">
        <v>1200</v>
      </c>
      <c r="K49" s="63">
        <v>0</v>
      </c>
      <c r="L49" s="64">
        <f t="shared" si="1"/>
        <v>1200</v>
      </c>
    </row>
    <row r="50" spans="1:12" x14ac:dyDescent="0.25">
      <c r="A50" s="65">
        <v>45291</v>
      </c>
      <c r="B50" s="67" t="s">
        <v>4504</v>
      </c>
      <c r="C50" s="66" t="s">
        <v>4499</v>
      </c>
      <c r="D50" s="62" t="s">
        <v>26</v>
      </c>
      <c r="E50" s="62" t="s">
        <v>26</v>
      </c>
      <c r="F50" s="60">
        <f>A50+SUMIF('[1]RECAP DES SOLDES CREANCES'!$B$7:$B$53,B50,'[1]RECAP DES SOLDES CREANCES'!$F$7:$F$53)</f>
        <v>45291</v>
      </c>
      <c r="G50" s="62" t="str">
        <f t="shared" ca="1" si="0"/>
        <v>Echueé</v>
      </c>
      <c r="H50" s="66" t="s">
        <v>163</v>
      </c>
      <c r="I50" s="67" t="s">
        <v>4499</v>
      </c>
      <c r="J50" s="63">
        <v>6375</v>
      </c>
      <c r="K50" s="63">
        <v>0</v>
      </c>
      <c r="L50" s="64">
        <f t="shared" si="1"/>
        <v>6375</v>
      </c>
    </row>
    <row r="51" spans="1:12" x14ac:dyDescent="0.25">
      <c r="A51" s="65">
        <v>45291</v>
      </c>
      <c r="B51" s="67" t="s">
        <v>152</v>
      </c>
      <c r="C51" s="66" t="s">
        <v>4499</v>
      </c>
      <c r="D51" s="62" t="s">
        <v>26</v>
      </c>
      <c r="E51" s="62" t="s">
        <v>26</v>
      </c>
      <c r="F51" s="60">
        <f>A51+SUMIF('[1]RECAP DES SOLDES CREANCES'!$B$7:$B$53,B51,'[1]RECAP DES SOLDES CREANCES'!$F$7:$F$53)</f>
        <v>45381</v>
      </c>
      <c r="G51" s="62" t="str">
        <f t="shared" ca="1" si="0"/>
        <v>Echueé</v>
      </c>
      <c r="H51" s="66" t="s">
        <v>163</v>
      </c>
      <c r="I51" s="67" t="s">
        <v>4499</v>
      </c>
      <c r="J51" s="63">
        <v>13908.970000000001</v>
      </c>
      <c r="K51" s="63">
        <v>0</v>
      </c>
      <c r="L51" s="64">
        <f t="shared" si="1"/>
        <v>13908.970000000001</v>
      </c>
    </row>
    <row r="52" spans="1:12" x14ac:dyDescent="0.25">
      <c r="A52" s="65">
        <v>45291</v>
      </c>
      <c r="B52" s="67" t="s">
        <v>4474</v>
      </c>
      <c r="C52" s="66" t="s">
        <v>4499</v>
      </c>
      <c r="D52" s="62" t="s">
        <v>26</v>
      </c>
      <c r="E52" s="62" t="s">
        <v>26</v>
      </c>
      <c r="F52" s="60">
        <f>A52+SUMIF('[1]RECAP DES SOLDES CREANCES'!$B$7:$B$53,B52,'[1]RECAP DES SOLDES CREANCES'!$F$7:$F$53)</f>
        <v>45381</v>
      </c>
      <c r="G52" s="62" t="str">
        <f t="shared" ca="1" si="0"/>
        <v>Echueé</v>
      </c>
      <c r="H52" s="66" t="s">
        <v>163</v>
      </c>
      <c r="I52" s="67" t="s">
        <v>4499</v>
      </c>
      <c r="J52" s="63">
        <v>17795.939999999944</v>
      </c>
      <c r="K52" s="63">
        <v>0</v>
      </c>
      <c r="L52" s="64">
        <f t="shared" si="1"/>
        <v>17795.939999999944</v>
      </c>
    </row>
    <row r="53" spans="1:12" x14ac:dyDescent="0.25">
      <c r="A53" s="65">
        <v>45291</v>
      </c>
      <c r="B53" s="67" t="s">
        <v>4505</v>
      </c>
      <c r="C53" s="66" t="s">
        <v>4499</v>
      </c>
      <c r="D53" s="62" t="s">
        <v>26</v>
      </c>
      <c r="E53" s="62" t="s">
        <v>26</v>
      </c>
      <c r="F53" s="60">
        <f>A53+SUMIF('[1]RECAP DES SOLDES CREANCES'!$B$7:$B$53,B53,'[1]RECAP DES SOLDES CREANCES'!$F$7:$F$53)</f>
        <v>45291</v>
      </c>
      <c r="G53" s="62" t="str">
        <f t="shared" ca="1" si="0"/>
        <v>Echueé</v>
      </c>
      <c r="H53" s="66" t="s">
        <v>163</v>
      </c>
      <c r="I53" s="67" t="s">
        <v>4499</v>
      </c>
      <c r="J53" s="63">
        <v>1637.54</v>
      </c>
      <c r="K53" s="63">
        <v>0</v>
      </c>
      <c r="L53" s="64">
        <f t="shared" si="1"/>
        <v>1637.54</v>
      </c>
    </row>
    <row r="54" spans="1:12" x14ac:dyDescent="0.25">
      <c r="A54" s="65">
        <v>45657</v>
      </c>
      <c r="B54" s="67" t="s">
        <v>4470</v>
      </c>
      <c r="C54" s="66" t="s">
        <v>4499</v>
      </c>
      <c r="D54" s="62" t="s">
        <v>26</v>
      </c>
      <c r="E54" s="62" t="s">
        <v>26</v>
      </c>
      <c r="F54" s="60">
        <f>A54+SUMIF('[1]RECAP DES SOLDES CREANCES'!$B$7:$B$53,B54,'[1]RECAP DES SOLDES CREANCES'!$F$7:$F$53)</f>
        <v>45747</v>
      </c>
      <c r="G54" s="62" t="str">
        <f t="shared" ca="1" si="0"/>
        <v>Non Echueé</v>
      </c>
      <c r="H54" s="66" t="s">
        <v>163</v>
      </c>
      <c r="I54" s="67" t="s">
        <v>4499</v>
      </c>
      <c r="J54" s="63">
        <v>127831.79619999998</v>
      </c>
      <c r="K54" s="63">
        <v>0</v>
      </c>
      <c r="L54" s="64">
        <f t="shared" si="1"/>
        <v>127831.79619999998</v>
      </c>
    </row>
    <row r="55" spans="1:12" x14ac:dyDescent="0.25">
      <c r="A55" s="65">
        <v>45291</v>
      </c>
      <c r="B55" s="67" t="s">
        <v>4506</v>
      </c>
      <c r="C55" s="66" t="s">
        <v>4499</v>
      </c>
      <c r="D55" s="62" t="s">
        <v>26</v>
      </c>
      <c r="E55" s="62" t="s">
        <v>26</v>
      </c>
      <c r="F55" s="60">
        <f>A55+SUMIF('[1]RECAP DES SOLDES CREANCES'!$B$7:$B$53,B55,'[1]RECAP DES SOLDES CREANCES'!$F$7:$F$53)</f>
        <v>45291</v>
      </c>
      <c r="G55" s="62" t="str">
        <f t="shared" ca="1" si="0"/>
        <v>Echueé</v>
      </c>
      <c r="H55" s="66" t="s">
        <v>163</v>
      </c>
      <c r="I55" s="67" t="s">
        <v>4499</v>
      </c>
      <c r="J55" s="63">
        <v>0</v>
      </c>
      <c r="K55" s="63">
        <v>0</v>
      </c>
      <c r="L55" s="64">
        <f t="shared" si="1"/>
        <v>0</v>
      </c>
    </row>
    <row r="56" spans="1:12" x14ac:dyDescent="0.25">
      <c r="A56" s="65">
        <v>45291</v>
      </c>
      <c r="B56" s="67" t="s">
        <v>151</v>
      </c>
      <c r="C56" s="66" t="s">
        <v>4499</v>
      </c>
      <c r="D56" s="62" t="s">
        <v>26</v>
      </c>
      <c r="E56" s="62" t="s">
        <v>26</v>
      </c>
      <c r="F56" s="60">
        <f>A56+SUMIF('[1]RECAP DES SOLDES CREANCES'!$B$7:$B$53,B56,'[1]RECAP DES SOLDES CREANCES'!$F$7:$F$53)</f>
        <v>45381</v>
      </c>
      <c r="G56" s="62" t="str">
        <f t="shared" ca="1" si="0"/>
        <v>Echueé</v>
      </c>
      <c r="H56" s="66" t="s">
        <v>163</v>
      </c>
      <c r="I56" s="67" t="s">
        <v>4499</v>
      </c>
      <c r="J56" s="63">
        <v>703807.9299999997</v>
      </c>
      <c r="K56" s="63">
        <v>0</v>
      </c>
      <c r="L56" s="64">
        <f t="shared" si="1"/>
        <v>703807.9299999997</v>
      </c>
    </row>
    <row r="57" spans="1:12" x14ac:dyDescent="0.25">
      <c r="A57" s="65">
        <v>45291</v>
      </c>
      <c r="B57" s="68" t="s">
        <v>4473</v>
      </c>
      <c r="C57" s="66" t="s">
        <v>4499</v>
      </c>
      <c r="D57" s="62" t="s">
        <v>26</v>
      </c>
      <c r="E57" s="62" t="s">
        <v>26</v>
      </c>
      <c r="F57" s="60">
        <f>A57+SUMIF('[1]RECAP DES SOLDES CREANCES'!$B$7:$B$53,B57,'[1]RECAP DES SOLDES CREANCES'!$F$7:$F$53)</f>
        <v>45351</v>
      </c>
      <c r="G57" s="62" t="str">
        <f t="shared" ca="1" si="0"/>
        <v>Echueé</v>
      </c>
      <c r="H57" s="66" t="s">
        <v>163</v>
      </c>
      <c r="I57" s="67" t="s">
        <v>4499</v>
      </c>
      <c r="J57" s="63">
        <v>-1447</v>
      </c>
      <c r="K57" s="63">
        <v>0</v>
      </c>
      <c r="L57" s="64">
        <f t="shared" si="1"/>
        <v>-1447</v>
      </c>
    </row>
    <row r="58" spans="1:12" x14ac:dyDescent="0.25">
      <c r="A58" s="65">
        <v>45657</v>
      </c>
      <c r="B58" s="67" t="s">
        <v>1052</v>
      </c>
      <c r="C58" s="66" t="s">
        <v>4499</v>
      </c>
      <c r="D58" s="62" t="s">
        <v>26</v>
      </c>
      <c r="E58" s="62" t="s">
        <v>26</v>
      </c>
      <c r="F58" s="60">
        <f>A58+SUMIF('[1]RECAP DES SOLDES CREANCES'!$B$7:$B$53,B58,'[1]RECAP DES SOLDES CREANCES'!$F$7:$F$53)</f>
        <v>45747</v>
      </c>
      <c r="G58" s="62" t="str">
        <f t="shared" ca="1" si="0"/>
        <v>Non Echueé</v>
      </c>
      <c r="H58" s="66" t="s">
        <v>163</v>
      </c>
      <c r="I58" s="67" t="s">
        <v>4499</v>
      </c>
      <c r="J58" s="63">
        <v>126421.15499999997</v>
      </c>
      <c r="K58" s="63">
        <v>0</v>
      </c>
      <c r="L58" s="64">
        <f t="shared" si="1"/>
        <v>126421.15499999997</v>
      </c>
    </row>
    <row r="59" spans="1:12" x14ac:dyDescent="0.25">
      <c r="A59" s="65">
        <v>45657</v>
      </c>
      <c r="B59" s="67" t="s">
        <v>41</v>
      </c>
      <c r="C59" s="66" t="s">
        <v>4499</v>
      </c>
      <c r="D59" s="62" t="s">
        <v>26</v>
      </c>
      <c r="E59" s="62" t="s">
        <v>26</v>
      </c>
      <c r="F59" s="60">
        <f>A59+SUMIF('[1]RECAP DES SOLDES CREANCES'!$B$7:$B$53,B59,'[1]RECAP DES SOLDES CREANCES'!$F$7:$F$53)</f>
        <v>45657</v>
      </c>
      <c r="G59" s="62" t="s">
        <v>26</v>
      </c>
      <c r="H59" s="66" t="s">
        <v>163</v>
      </c>
      <c r="I59" s="67" t="s">
        <v>4499</v>
      </c>
      <c r="J59" s="63">
        <v>-31356.479999999981</v>
      </c>
      <c r="K59" s="63">
        <v>0</v>
      </c>
      <c r="L59" s="64">
        <f t="shared" si="1"/>
        <v>-31356.479999999981</v>
      </c>
    </row>
    <row r="60" spans="1:12" x14ac:dyDescent="0.25">
      <c r="A60" s="65">
        <v>45291</v>
      </c>
      <c r="B60" s="67" t="s">
        <v>924</v>
      </c>
      <c r="C60" s="66" t="s">
        <v>4499</v>
      </c>
      <c r="D60" s="62" t="s">
        <v>26</v>
      </c>
      <c r="E60" s="62" t="s">
        <v>26</v>
      </c>
      <c r="F60" s="60">
        <f>A60+SUMIF('[1]RECAP DES SOLDES CREANCES'!$B$7:$B$53,B60,'[1]RECAP DES SOLDES CREANCES'!$F$7:$F$53)</f>
        <v>45351</v>
      </c>
      <c r="G60" s="62" t="str">
        <f t="shared" ca="1" si="0"/>
        <v>Echueé</v>
      </c>
      <c r="H60" s="66" t="s">
        <v>163</v>
      </c>
      <c r="I60" s="67" t="s">
        <v>4499</v>
      </c>
      <c r="J60" s="63">
        <v>47469.399999999994</v>
      </c>
      <c r="K60" s="63">
        <v>0</v>
      </c>
      <c r="L60" s="64">
        <f t="shared" si="1"/>
        <v>47469.399999999994</v>
      </c>
    </row>
    <row r="61" spans="1:12" x14ac:dyDescent="0.25">
      <c r="A61" s="65">
        <v>45322</v>
      </c>
      <c r="B61" s="67" t="s">
        <v>165</v>
      </c>
      <c r="C61" s="66" t="s">
        <v>4499</v>
      </c>
      <c r="D61" s="62" t="s">
        <v>26</v>
      </c>
      <c r="E61" s="62" t="s">
        <v>26</v>
      </c>
      <c r="F61" s="60">
        <f>A61+SUMIF('[1]RECAP DES SOLDES CREANCES'!$B$7:$B$53,B61,'[1]RECAP DES SOLDES CREANCES'!$F$7:$F$53)</f>
        <v>45412</v>
      </c>
      <c r="G61" s="62" t="str">
        <f t="shared" ca="1" si="0"/>
        <v>Echueé</v>
      </c>
      <c r="H61" s="66" t="s">
        <v>163</v>
      </c>
      <c r="I61" s="67" t="s">
        <v>4499</v>
      </c>
      <c r="J61" s="63">
        <v>31175.079999999725</v>
      </c>
      <c r="K61" s="63">
        <v>0</v>
      </c>
      <c r="L61" s="64">
        <f t="shared" si="1"/>
        <v>31175.079999999725</v>
      </c>
    </row>
    <row r="62" spans="1:12" x14ac:dyDescent="0.25">
      <c r="A62" s="65">
        <v>45657</v>
      </c>
      <c r="B62" s="67" t="s">
        <v>166</v>
      </c>
      <c r="C62" s="66" t="s">
        <v>4499</v>
      </c>
      <c r="D62" s="62" t="s">
        <v>26</v>
      </c>
      <c r="E62" s="62" t="s">
        <v>26</v>
      </c>
      <c r="F62" s="60">
        <f>A62+SUMIF('[1]RECAP DES SOLDES CREANCES'!$B$7:$B$53,B62,'[1]RECAP DES SOLDES CREANCES'!$F$7:$F$53)</f>
        <v>45657</v>
      </c>
      <c r="G62" s="62" t="s">
        <v>26</v>
      </c>
      <c r="H62" s="66" t="s">
        <v>163</v>
      </c>
      <c r="I62" s="67" t="s">
        <v>4499</v>
      </c>
      <c r="J62" s="63">
        <v>-9285.859999999986</v>
      </c>
      <c r="K62" s="63">
        <v>0</v>
      </c>
      <c r="L62" s="64">
        <f t="shared" si="1"/>
        <v>-9285.859999999986</v>
      </c>
    </row>
    <row r="63" spans="1:12" x14ac:dyDescent="0.25">
      <c r="A63" s="65">
        <v>45291</v>
      </c>
      <c r="B63" s="67" t="s">
        <v>4507</v>
      </c>
      <c r="C63" s="66" t="s">
        <v>4499</v>
      </c>
      <c r="D63" s="62" t="s">
        <v>26</v>
      </c>
      <c r="E63" s="62" t="s">
        <v>26</v>
      </c>
      <c r="F63" s="60">
        <f>A63+SUMIF('[1]RECAP DES SOLDES CREANCES'!$B$7:$B$53,B63,'[1]RECAP DES SOLDES CREANCES'!$F$7:$F$53)</f>
        <v>45291</v>
      </c>
      <c r="G63" s="62" t="str">
        <f t="shared" ca="1" si="0"/>
        <v>Echueé</v>
      </c>
      <c r="H63" s="66" t="s">
        <v>163</v>
      </c>
      <c r="I63" s="67" t="s">
        <v>4499</v>
      </c>
      <c r="J63" s="63">
        <v>108872.23999999999</v>
      </c>
      <c r="K63" s="63">
        <v>0</v>
      </c>
      <c r="L63" s="64">
        <f t="shared" si="1"/>
        <v>108872.23999999999</v>
      </c>
    </row>
    <row r="64" spans="1:12" x14ac:dyDescent="0.25">
      <c r="A64" s="65">
        <v>45291</v>
      </c>
      <c r="B64" s="67" t="s">
        <v>925</v>
      </c>
      <c r="C64" s="66" t="s">
        <v>4499</v>
      </c>
      <c r="D64" s="62" t="s">
        <v>26</v>
      </c>
      <c r="E64" s="62" t="s">
        <v>26</v>
      </c>
      <c r="F64" s="60">
        <f>A64+SUMIF('[1]RECAP DES SOLDES CREANCES'!$B$7:$B$53,B64,'[1]RECAP DES SOLDES CREANCES'!$F$7:$F$53)</f>
        <v>45351</v>
      </c>
      <c r="G64" s="62" t="str">
        <f t="shared" ca="1" si="0"/>
        <v>Echueé</v>
      </c>
      <c r="H64" s="66" t="s">
        <v>163</v>
      </c>
      <c r="I64" s="67" t="s">
        <v>4499</v>
      </c>
      <c r="J64" s="63">
        <v>14288.14</v>
      </c>
      <c r="K64" s="63">
        <v>0</v>
      </c>
      <c r="L64" s="64">
        <f t="shared" si="1"/>
        <v>14288.14</v>
      </c>
    </row>
    <row r="65" spans="1:12" x14ac:dyDescent="0.25">
      <c r="A65" s="65">
        <v>45291</v>
      </c>
      <c r="B65" s="67" t="s">
        <v>926</v>
      </c>
      <c r="C65" s="66" t="s">
        <v>4499</v>
      </c>
      <c r="D65" s="62" t="s">
        <v>26</v>
      </c>
      <c r="E65" s="62" t="s">
        <v>26</v>
      </c>
      <c r="F65" s="60">
        <f>A65+SUMIF('[1]RECAP DES SOLDES CREANCES'!$B$7:$B$53,B65,'[1]RECAP DES SOLDES CREANCES'!$F$7:$F$53)</f>
        <v>45381</v>
      </c>
      <c r="G65" s="62" t="str">
        <f t="shared" ca="1" si="0"/>
        <v>Echueé</v>
      </c>
      <c r="H65" s="66" t="s">
        <v>163</v>
      </c>
      <c r="I65" s="67" t="s">
        <v>4499</v>
      </c>
      <c r="J65" s="63">
        <v>0</v>
      </c>
      <c r="K65" s="63">
        <v>0</v>
      </c>
      <c r="L65" s="64">
        <f t="shared" si="1"/>
        <v>0</v>
      </c>
    </row>
    <row r="66" spans="1:12" x14ac:dyDescent="0.25">
      <c r="A66" s="65">
        <v>45657</v>
      </c>
      <c r="B66" s="67" t="s">
        <v>4508</v>
      </c>
      <c r="C66" s="66" t="s">
        <v>4499</v>
      </c>
      <c r="D66" s="62" t="s">
        <v>26</v>
      </c>
      <c r="E66" s="62" t="s">
        <v>26</v>
      </c>
      <c r="F66" s="60">
        <f>A66+SUMIF('[1]RECAP DES SOLDES CREANCES'!$B$7:$B$53,B66,'[1]RECAP DES SOLDES CREANCES'!$F$7:$F$53)</f>
        <v>45657</v>
      </c>
      <c r="G66" s="62" t="s">
        <v>26</v>
      </c>
      <c r="H66" s="66" t="s">
        <v>163</v>
      </c>
      <c r="I66" s="67" t="s">
        <v>4499</v>
      </c>
      <c r="J66" s="63">
        <v>-26159.520000000019</v>
      </c>
      <c r="K66" s="63">
        <v>0</v>
      </c>
      <c r="L66" s="64">
        <f t="shared" si="1"/>
        <v>-26159.520000000019</v>
      </c>
    </row>
    <row r="67" spans="1:12" x14ac:dyDescent="0.25">
      <c r="A67" s="65">
        <v>45291</v>
      </c>
      <c r="B67" s="67" t="s">
        <v>142</v>
      </c>
      <c r="C67" s="66" t="s">
        <v>4499</v>
      </c>
      <c r="D67" s="62" t="s">
        <v>26</v>
      </c>
      <c r="E67" s="62" t="s">
        <v>26</v>
      </c>
      <c r="F67" s="60">
        <f>A67+SUMIF('[1]RECAP DES SOLDES CREANCES'!$B$7:$B$53,B67,'[1]RECAP DES SOLDES CREANCES'!$F$7:$F$53)</f>
        <v>45381</v>
      </c>
      <c r="G67" s="62" t="str">
        <f t="shared" ca="1" si="0"/>
        <v>Echueé</v>
      </c>
      <c r="H67" s="66" t="s">
        <v>163</v>
      </c>
      <c r="I67" s="67" t="s">
        <v>4499</v>
      </c>
      <c r="J67" s="63">
        <v>67747.100000000035</v>
      </c>
      <c r="K67" s="63">
        <v>0</v>
      </c>
      <c r="L67" s="64">
        <f t="shared" si="1"/>
        <v>67747.100000000035</v>
      </c>
    </row>
    <row r="68" spans="1:12" x14ac:dyDescent="0.25">
      <c r="A68" s="65">
        <v>45291</v>
      </c>
      <c r="B68" s="67" t="s">
        <v>4476</v>
      </c>
      <c r="C68" s="66" t="s">
        <v>4499</v>
      </c>
      <c r="D68" s="62" t="s">
        <v>26</v>
      </c>
      <c r="E68" s="62" t="s">
        <v>26</v>
      </c>
      <c r="F68" s="60">
        <f>A68+SUMIF('[1]RECAP DES SOLDES CREANCES'!$B$7:$B$53,B68,'[1]RECAP DES SOLDES CREANCES'!$F$7:$F$53)</f>
        <v>45381</v>
      </c>
      <c r="G68" s="62" t="str">
        <f t="shared" ref="G68" ca="1" si="2">IF(TODAY()&lt;F68,"Non Echueé","Echueé")</f>
        <v>Echueé</v>
      </c>
      <c r="H68" s="66" t="s">
        <v>163</v>
      </c>
      <c r="I68" s="67" t="s">
        <v>4499</v>
      </c>
      <c r="J68" s="63">
        <v>-13135.499999999985</v>
      </c>
      <c r="K68" s="63">
        <v>0</v>
      </c>
      <c r="L68" s="64">
        <f t="shared" ref="L68:L131" si="3">+J68-K68</f>
        <v>-13135.499999999985</v>
      </c>
    </row>
    <row r="69" spans="1:12" x14ac:dyDescent="0.25">
      <c r="A69" s="65">
        <v>45657</v>
      </c>
      <c r="B69" s="67" t="s">
        <v>70</v>
      </c>
      <c r="C69" s="66" t="s">
        <v>4499</v>
      </c>
      <c r="D69" s="62" t="s">
        <v>26</v>
      </c>
      <c r="E69" s="62" t="s">
        <v>26</v>
      </c>
      <c r="F69" s="60">
        <f>A69+SUMIF('[1]RECAP DES SOLDES CREANCES'!$B$7:$B$53,B69,'[1]RECAP DES SOLDES CREANCES'!$F$7:$F$53)</f>
        <v>45657</v>
      </c>
      <c r="G69" s="62" t="s">
        <v>26</v>
      </c>
      <c r="H69" s="66" t="s">
        <v>163</v>
      </c>
      <c r="I69" s="67" t="s">
        <v>4499</v>
      </c>
      <c r="J69" s="63">
        <v>-32116.499999999942</v>
      </c>
      <c r="K69" s="63">
        <v>0</v>
      </c>
      <c r="L69" s="64">
        <f t="shared" si="3"/>
        <v>-32116.499999999942</v>
      </c>
    </row>
    <row r="70" spans="1:12" x14ac:dyDescent="0.25">
      <c r="A70" s="65">
        <v>45657</v>
      </c>
      <c r="B70" s="67" t="s">
        <v>45</v>
      </c>
      <c r="C70" s="66" t="s">
        <v>4499</v>
      </c>
      <c r="D70" s="62" t="s">
        <v>26</v>
      </c>
      <c r="E70" s="62" t="s">
        <v>26</v>
      </c>
      <c r="F70" s="60">
        <f>A70+SUMIF('[1]RECAP DES SOLDES CREANCES'!$B$7:$B$53,B70,'[1]RECAP DES SOLDES CREANCES'!$F$7:$F$53)</f>
        <v>45657</v>
      </c>
      <c r="G70" s="62" t="s">
        <v>26</v>
      </c>
      <c r="H70" s="66" t="s">
        <v>163</v>
      </c>
      <c r="I70" s="67" t="s">
        <v>4499</v>
      </c>
      <c r="J70" s="63">
        <v>-7704.3400000003166</v>
      </c>
      <c r="K70" s="63">
        <v>0</v>
      </c>
      <c r="L70" s="64">
        <f t="shared" si="3"/>
        <v>-7704.3400000003166</v>
      </c>
    </row>
    <row r="71" spans="1:12" x14ac:dyDescent="0.25">
      <c r="A71" s="65">
        <v>45657</v>
      </c>
      <c r="B71" s="67" t="s">
        <v>71</v>
      </c>
      <c r="C71" s="66" t="s">
        <v>4499</v>
      </c>
      <c r="D71" s="62" t="s">
        <v>26</v>
      </c>
      <c r="E71" s="62" t="s">
        <v>26</v>
      </c>
      <c r="F71" s="60">
        <f>A71+SUMIF('[1]RECAP DES SOLDES CREANCES'!$B$7:$B$53,B71,'[1]RECAP DES SOLDES CREANCES'!$F$7:$F$53)</f>
        <v>45657</v>
      </c>
      <c r="G71" s="62" t="s">
        <v>26</v>
      </c>
      <c r="H71" s="66" t="s">
        <v>163</v>
      </c>
      <c r="I71" s="67" t="s">
        <v>4499</v>
      </c>
      <c r="J71" s="63">
        <v>0</v>
      </c>
      <c r="K71" s="63">
        <v>0</v>
      </c>
      <c r="L71" s="64">
        <f t="shared" si="3"/>
        <v>0</v>
      </c>
    </row>
    <row r="72" spans="1:12" x14ac:dyDescent="0.25">
      <c r="A72" s="65">
        <v>45657</v>
      </c>
      <c r="B72" s="67" t="s">
        <v>143</v>
      </c>
      <c r="C72" s="66" t="s">
        <v>4499</v>
      </c>
      <c r="D72" s="62" t="s">
        <v>26</v>
      </c>
      <c r="E72" s="62" t="s">
        <v>26</v>
      </c>
      <c r="F72" s="60">
        <f>A72+SUMIF('[1]RECAP DES SOLDES CREANCES'!$B$7:$B$53,B72,'[1]RECAP DES SOLDES CREANCES'!$F$7:$F$53)</f>
        <v>45657</v>
      </c>
      <c r="G72" s="62" t="s">
        <v>26</v>
      </c>
      <c r="H72" s="66" t="s">
        <v>163</v>
      </c>
      <c r="I72" s="67" t="s">
        <v>4499</v>
      </c>
      <c r="J72" s="63">
        <v>-25939.820000000065</v>
      </c>
      <c r="K72" s="63">
        <v>0</v>
      </c>
      <c r="L72" s="64">
        <f t="shared" si="3"/>
        <v>-25939.820000000065</v>
      </c>
    </row>
    <row r="73" spans="1:12" x14ac:dyDescent="0.25">
      <c r="A73" s="65">
        <v>45657</v>
      </c>
      <c r="B73" s="67" t="s">
        <v>4446</v>
      </c>
      <c r="C73" s="66" t="s">
        <v>4499</v>
      </c>
      <c r="D73" s="62" t="s">
        <v>26</v>
      </c>
      <c r="E73" s="62" t="s">
        <v>26</v>
      </c>
      <c r="F73" s="60">
        <f>A73+SUMIF('[1]RECAP DES SOLDES CREANCES'!$B$7:$B$53,B73,'[1]RECAP DES SOLDES CREANCES'!$F$7:$F$53)</f>
        <v>45657</v>
      </c>
      <c r="G73" s="62" t="s">
        <v>26</v>
      </c>
      <c r="H73" s="66" t="s">
        <v>163</v>
      </c>
      <c r="I73" s="67" t="s">
        <v>4499</v>
      </c>
      <c r="J73" s="63">
        <v>-67638.41</v>
      </c>
      <c r="K73" s="63">
        <v>0</v>
      </c>
      <c r="L73" s="64">
        <f t="shared" si="3"/>
        <v>-67638.41</v>
      </c>
    </row>
    <row r="74" spans="1:12" x14ac:dyDescent="0.25">
      <c r="A74" s="65">
        <v>45657</v>
      </c>
      <c r="B74" s="67" t="s">
        <v>141</v>
      </c>
      <c r="C74" s="66" t="s">
        <v>4499</v>
      </c>
      <c r="D74" s="62" t="s">
        <v>26</v>
      </c>
      <c r="E74" s="62" t="s">
        <v>26</v>
      </c>
      <c r="F74" s="60">
        <f>A74+SUMIF('[1]RECAP DES SOLDES CREANCES'!$B$7:$B$53,B74,'[1]RECAP DES SOLDES CREANCES'!$F$7:$F$53)</f>
        <v>45747</v>
      </c>
      <c r="G74" s="62" t="s">
        <v>26</v>
      </c>
      <c r="H74" s="66" t="s">
        <v>163</v>
      </c>
      <c r="I74" s="67" t="s">
        <v>4499</v>
      </c>
      <c r="J74" s="63">
        <v>955.34</v>
      </c>
      <c r="K74" s="63">
        <v>0</v>
      </c>
      <c r="L74" s="64">
        <f t="shared" si="3"/>
        <v>955.34</v>
      </c>
    </row>
    <row r="75" spans="1:12" x14ac:dyDescent="0.25">
      <c r="A75" s="65">
        <v>45657</v>
      </c>
      <c r="B75" s="67" t="s">
        <v>6184</v>
      </c>
      <c r="C75" s="66" t="s">
        <v>4499</v>
      </c>
      <c r="D75" s="62" t="s">
        <v>26</v>
      </c>
      <c r="E75" s="62" t="s">
        <v>26</v>
      </c>
      <c r="F75" s="60">
        <f>A75+SUMIF('[1]RECAP DES SOLDES CREANCES'!$B$7:$B$53,B75,'[1]RECAP DES SOLDES CREANCES'!$F$7:$F$53)</f>
        <v>45657</v>
      </c>
      <c r="G75" s="62" t="s">
        <v>26</v>
      </c>
      <c r="H75" s="66" t="s">
        <v>163</v>
      </c>
      <c r="I75" s="67" t="s">
        <v>4499</v>
      </c>
      <c r="J75" s="63">
        <v>1018.7999999999302</v>
      </c>
      <c r="K75" s="63">
        <v>0</v>
      </c>
      <c r="L75" s="64">
        <f t="shared" si="3"/>
        <v>1018.7999999999302</v>
      </c>
    </row>
    <row r="76" spans="1:12" x14ac:dyDescent="0.25">
      <c r="A76" s="65">
        <v>45657</v>
      </c>
      <c r="B76" s="67" t="s">
        <v>568</v>
      </c>
      <c r="C76" s="66" t="s">
        <v>4499</v>
      </c>
      <c r="D76" s="62" t="s">
        <v>26</v>
      </c>
      <c r="E76" s="62" t="s">
        <v>26</v>
      </c>
      <c r="F76" s="60">
        <f>A76+SUMIF('[1]RECAP DES SOLDES CREANCES'!$B$7:$B$53,B76,'[1]RECAP DES SOLDES CREANCES'!$F$7:$F$53)</f>
        <v>45657</v>
      </c>
      <c r="G76" s="62" t="s">
        <v>26</v>
      </c>
      <c r="H76" s="66" t="s">
        <v>163</v>
      </c>
      <c r="I76" s="67" t="s">
        <v>4499</v>
      </c>
      <c r="J76" s="63">
        <v>-3373.9199999999837</v>
      </c>
      <c r="K76" s="63">
        <v>0</v>
      </c>
      <c r="L76" s="64">
        <f t="shared" si="3"/>
        <v>-3373.9199999999837</v>
      </c>
    </row>
    <row r="77" spans="1:12" x14ac:dyDescent="0.25">
      <c r="A77" s="65">
        <v>45657</v>
      </c>
      <c r="B77" s="67" t="s">
        <v>144</v>
      </c>
      <c r="C77" s="66" t="s">
        <v>4499</v>
      </c>
      <c r="D77" s="62" t="s">
        <v>26</v>
      </c>
      <c r="E77" s="62" t="s">
        <v>26</v>
      </c>
      <c r="F77" s="60">
        <f>A77+SUMIF('[1]RECAP DES SOLDES CREANCES'!$B$7:$B$53,B77,'[1]RECAP DES SOLDES CREANCES'!$F$7:$F$53)</f>
        <v>45657</v>
      </c>
      <c r="G77" s="62" t="s">
        <v>26</v>
      </c>
      <c r="H77" s="66" t="s">
        <v>163</v>
      </c>
      <c r="I77" s="67" t="s">
        <v>4499</v>
      </c>
      <c r="J77" s="63">
        <v>-87051.379999999888</v>
      </c>
      <c r="K77" s="63">
        <v>0</v>
      </c>
      <c r="L77" s="64">
        <f t="shared" si="3"/>
        <v>-87051.379999999888</v>
      </c>
    </row>
    <row r="78" spans="1:12" x14ac:dyDescent="0.25">
      <c r="A78" s="65">
        <v>45657</v>
      </c>
      <c r="B78" s="67" t="s">
        <v>4466</v>
      </c>
      <c r="C78" s="66" t="s">
        <v>4499</v>
      </c>
      <c r="D78" s="62" t="s">
        <v>26</v>
      </c>
      <c r="E78" s="62" t="s">
        <v>26</v>
      </c>
      <c r="F78" s="60">
        <f>A78+SUMIF('[1]RECAP DES SOLDES CREANCES'!$B$7:$B$53,B78,'[1]RECAP DES SOLDES CREANCES'!$F$7:$F$53)</f>
        <v>45657</v>
      </c>
      <c r="G78" s="62" t="s">
        <v>26</v>
      </c>
      <c r="H78" s="66" t="s">
        <v>163</v>
      </c>
      <c r="I78" s="67" t="s">
        <v>4499</v>
      </c>
      <c r="J78" s="63">
        <v>-2395.8000000000029</v>
      </c>
      <c r="K78" s="63">
        <v>0</v>
      </c>
      <c r="L78" s="64">
        <f t="shared" si="3"/>
        <v>-2395.8000000000029</v>
      </c>
    </row>
    <row r="79" spans="1:12" x14ac:dyDescent="0.25">
      <c r="A79" s="65">
        <v>45659</v>
      </c>
      <c r="B79" s="67" t="s">
        <v>143</v>
      </c>
      <c r="C79" s="66" t="s">
        <v>4509</v>
      </c>
      <c r="D79" s="62" t="s">
        <v>26</v>
      </c>
      <c r="E79" s="62" t="s">
        <v>4510</v>
      </c>
      <c r="F79" s="60">
        <v>45659</v>
      </c>
      <c r="G79" s="62" t="s">
        <v>26</v>
      </c>
      <c r="H79" s="66" t="s">
        <v>163</v>
      </c>
      <c r="I79" s="67" t="s">
        <v>762</v>
      </c>
      <c r="J79" s="63">
        <v>50000</v>
      </c>
      <c r="K79" s="63"/>
      <c r="L79" s="64">
        <f t="shared" si="3"/>
        <v>50000</v>
      </c>
    </row>
    <row r="80" spans="1:12" x14ac:dyDescent="0.25">
      <c r="A80" s="65">
        <v>45659</v>
      </c>
      <c r="B80" s="67" t="s">
        <v>143</v>
      </c>
      <c r="C80" s="66" t="s">
        <v>4502</v>
      </c>
      <c r="D80" s="62" t="s">
        <v>4452</v>
      </c>
      <c r="E80" s="62" t="s">
        <v>915</v>
      </c>
      <c r="F80" s="60">
        <v>45659</v>
      </c>
      <c r="G80" s="62" t="s">
        <v>26</v>
      </c>
      <c r="H80" s="66" t="s">
        <v>163</v>
      </c>
      <c r="I80" s="67" t="s">
        <v>4448</v>
      </c>
      <c r="J80" s="63"/>
      <c r="K80" s="63">
        <v>50000</v>
      </c>
      <c r="L80" s="64">
        <f t="shared" si="3"/>
        <v>-50000</v>
      </c>
    </row>
    <row r="81" spans="1:12" x14ac:dyDescent="0.25">
      <c r="A81" s="81">
        <v>45664</v>
      </c>
      <c r="B81" s="69" t="s">
        <v>45</v>
      </c>
      <c r="C81" s="11" t="s">
        <v>4502</v>
      </c>
      <c r="D81" s="62" t="s">
        <v>4452</v>
      </c>
      <c r="E81" s="11" t="s">
        <v>915</v>
      </c>
      <c r="F81" s="60">
        <f>A81+SUMIF('[1]RECAP DES SOLDES CREANCES'!$B$7:$B$53,B81,'[1]RECAP DES SOLDES CREANCES'!$F$7:$F$53)</f>
        <v>45664</v>
      </c>
      <c r="G81" s="82" t="s">
        <v>26</v>
      </c>
      <c r="H81" s="11" t="s">
        <v>163</v>
      </c>
      <c r="I81" s="69" t="s">
        <v>4449</v>
      </c>
      <c r="J81" s="83"/>
      <c r="K81" s="83">
        <v>80000</v>
      </c>
      <c r="L81" s="84">
        <f t="shared" si="3"/>
        <v>-80000</v>
      </c>
    </row>
    <row r="82" spans="1:12" x14ac:dyDescent="0.25">
      <c r="A82" s="81">
        <v>45664</v>
      </c>
      <c r="B82" s="67" t="s">
        <v>568</v>
      </c>
      <c r="C82" s="11" t="s">
        <v>4502</v>
      </c>
      <c r="D82" s="62" t="s">
        <v>4452</v>
      </c>
      <c r="E82" s="11" t="s">
        <v>915</v>
      </c>
      <c r="F82" s="60">
        <f>A82+SUMIF('[1]RECAP DES SOLDES CREANCES'!$B$7:$B$53,B82,'[1]RECAP DES SOLDES CREANCES'!$F$7:$F$53)</f>
        <v>45664</v>
      </c>
      <c r="G82" s="82" t="s">
        <v>26</v>
      </c>
      <c r="H82" s="11" t="s">
        <v>163</v>
      </c>
      <c r="I82" s="69" t="s">
        <v>4449</v>
      </c>
      <c r="J82" s="83"/>
      <c r="K82" s="83">
        <v>40000</v>
      </c>
      <c r="L82" s="84">
        <f t="shared" si="3"/>
        <v>-40000</v>
      </c>
    </row>
    <row r="83" spans="1:12" x14ac:dyDescent="0.25">
      <c r="A83" s="81">
        <v>45664</v>
      </c>
      <c r="B83" s="67" t="s">
        <v>166</v>
      </c>
      <c r="C83" s="11" t="s">
        <v>4502</v>
      </c>
      <c r="D83" s="62" t="s">
        <v>4452</v>
      </c>
      <c r="E83" s="11" t="s">
        <v>915</v>
      </c>
      <c r="F83" s="60">
        <f>A83+SUMIF('[1]RECAP DES SOLDES CREANCES'!$B$7:$B$53,B83,'[1]RECAP DES SOLDES CREANCES'!$F$7:$F$53)</f>
        <v>45664</v>
      </c>
      <c r="G83" s="82" t="s">
        <v>26</v>
      </c>
      <c r="H83" s="11" t="s">
        <v>163</v>
      </c>
      <c r="I83" s="69" t="s">
        <v>4449</v>
      </c>
      <c r="J83" s="83"/>
      <c r="K83" s="83">
        <v>110000</v>
      </c>
      <c r="L83" s="84">
        <f t="shared" si="3"/>
        <v>-110000</v>
      </c>
    </row>
    <row r="84" spans="1:12" x14ac:dyDescent="0.25">
      <c r="A84" s="81">
        <v>45665</v>
      </c>
      <c r="B84" s="67" t="s">
        <v>4466</v>
      </c>
      <c r="C84" s="11" t="s">
        <v>4502</v>
      </c>
      <c r="D84" s="62" t="s">
        <v>4452</v>
      </c>
      <c r="E84" s="82" t="s">
        <v>915</v>
      </c>
      <c r="F84" s="60">
        <f>A84+SUMIF('[1]RECAP DES SOLDES CREANCES'!$B$7:$B$53,B84,'[1]RECAP DES SOLDES CREANCES'!$F$7:$F$53)</f>
        <v>45665</v>
      </c>
      <c r="G84" s="82" t="s">
        <v>26</v>
      </c>
      <c r="H84" s="11" t="s">
        <v>163</v>
      </c>
      <c r="I84" s="69" t="s">
        <v>4450</v>
      </c>
      <c r="J84" s="83"/>
      <c r="K84" s="83">
        <v>30000</v>
      </c>
      <c r="L84" s="84">
        <f t="shared" si="3"/>
        <v>-30000</v>
      </c>
    </row>
    <row r="85" spans="1:12" x14ac:dyDescent="0.25">
      <c r="A85" s="81">
        <v>45665</v>
      </c>
      <c r="B85" s="67" t="s">
        <v>4467</v>
      </c>
      <c r="C85" s="11" t="s">
        <v>4502</v>
      </c>
      <c r="D85" s="82" t="s">
        <v>4452</v>
      </c>
      <c r="E85" s="82" t="s">
        <v>922</v>
      </c>
      <c r="F85" s="60">
        <f>A85+SUMIF('[1]RECAP DES SOLDES CREANCES'!$B$7:$B$53,B85,'[1]RECAP DES SOLDES CREANCES'!$F$7:$F$53)</f>
        <v>45665</v>
      </c>
      <c r="G85" s="82" t="s">
        <v>26</v>
      </c>
      <c r="H85" s="11" t="s">
        <v>160</v>
      </c>
      <c r="I85" s="69" t="s">
        <v>4422</v>
      </c>
      <c r="J85" s="83"/>
      <c r="K85" s="83">
        <v>4910.3999999999996</v>
      </c>
      <c r="L85" s="84">
        <f t="shared" si="3"/>
        <v>-4910.3999999999996</v>
      </c>
    </row>
    <row r="86" spans="1:12" x14ac:dyDescent="0.25">
      <c r="A86" s="81">
        <v>45665</v>
      </c>
      <c r="B86" s="67" t="s">
        <v>4467</v>
      </c>
      <c r="C86" s="11" t="s">
        <v>4502</v>
      </c>
      <c r="D86" s="82" t="s">
        <v>4452</v>
      </c>
      <c r="E86" s="82" t="s">
        <v>922</v>
      </c>
      <c r="F86" s="60">
        <f>A86+SUMIF('[1]RECAP DES SOLDES CREANCES'!$B$7:$B$53,B86,'[1]RECAP DES SOLDES CREANCES'!$F$7:$F$53)</f>
        <v>45665</v>
      </c>
      <c r="G86" s="82" t="s">
        <v>26</v>
      </c>
      <c r="H86" s="11" t="s">
        <v>160</v>
      </c>
      <c r="I86" s="69" t="s">
        <v>4423</v>
      </c>
      <c r="J86" s="83"/>
      <c r="K86" s="83">
        <v>1636.8</v>
      </c>
      <c r="L86" s="84">
        <f t="shared" si="3"/>
        <v>-1636.8</v>
      </c>
    </row>
    <row r="87" spans="1:12" x14ac:dyDescent="0.25">
      <c r="A87" s="81">
        <v>45666</v>
      </c>
      <c r="B87" s="61" t="s">
        <v>149</v>
      </c>
      <c r="C87" s="11" t="s">
        <v>4502</v>
      </c>
      <c r="D87" s="11" t="s">
        <v>4503</v>
      </c>
      <c r="E87" s="82" t="s">
        <v>922</v>
      </c>
      <c r="F87" s="85">
        <v>45666</v>
      </c>
      <c r="G87" s="82" t="s">
        <v>26</v>
      </c>
      <c r="H87" s="11" t="s">
        <v>160</v>
      </c>
      <c r="I87" s="69" t="s">
        <v>4420</v>
      </c>
      <c r="J87" s="83"/>
      <c r="K87" s="83">
        <v>50000</v>
      </c>
      <c r="L87" s="84">
        <f t="shared" si="3"/>
        <v>-50000</v>
      </c>
    </row>
    <row r="88" spans="1:12" x14ac:dyDescent="0.25">
      <c r="A88" s="81">
        <v>45666</v>
      </c>
      <c r="B88" s="67" t="s">
        <v>4470</v>
      </c>
      <c r="C88" s="66" t="s">
        <v>4509</v>
      </c>
      <c r="D88" s="62" t="s">
        <v>26</v>
      </c>
      <c r="E88" s="82" t="s">
        <v>1029</v>
      </c>
      <c r="F88" s="85">
        <v>45647</v>
      </c>
      <c r="G88" s="82" t="s">
        <v>26</v>
      </c>
      <c r="H88" s="11" t="s">
        <v>163</v>
      </c>
      <c r="I88" s="69" t="s">
        <v>161</v>
      </c>
      <c r="J88" s="83">
        <v>40000</v>
      </c>
      <c r="K88" s="83">
        <v>0</v>
      </c>
      <c r="L88" s="84">
        <f t="shared" si="3"/>
        <v>40000</v>
      </c>
    </row>
    <row r="89" spans="1:12" x14ac:dyDescent="0.25">
      <c r="A89" s="81">
        <v>45666</v>
      </c>
      <c r="B89" s="67" t="s">
        <v>4470</v>
      </c>
      <c r="C89" s="11" t="s">
        <v>4502</v>
      </c>
      <c r="D89" s="82" t="s">
        <v>4503</v>
      </c>
      <c r="E89" s="82" t="s">
        <v>915</v>
      </c>
      <c r="F89" s="85">
        <v>45666</v>
      </c>
      <c r="G89" s="82" t="s">
        <v>26</v>
      </c>
      <c r="H89" s="11" t="s">
        <v>163</v>
      </c>
      <c r="I89" s="69" t="s">
        <v>4451</v>
      </c>
      <c r="J89" s="83"/>
      <c r="K89" s="83">
        <v>40000</v>
      </c>
      <c r="L89" s="84">
        <f t="shared" si="3"/>
        <v>-40000</v>
      </c>
    </row>
    <row r="90" spans="1:12" x14ac:dyDescent="0.25">
      <c r="A90" s="81">
        <v>45666</v>
      </c>
      <c r="B90" s="67" t="s">
        <v>4443</v>
      </c>
      <c r="C90" s="11" t="s">
        <v>4502</v>
      </c>
      <c r="D90" s="11" t="s">
        <v>4503</v>
      </c>
      <c r="E90" s="82" t="s">
        <v>1029</v>
      </c>
      <c r="F90" s="85">
        <v>45685</v>
      </c>
      <c r="G90" s="82" t="s">
        <v>26</v>
      </c>
      <c r="H90" s="11" t="s">
        <v>160</v>
      </c>
      <c r="I90" s="69" t="s">
        <v>4424</v>
      </c>
      <c r="J90" s="83"/>
      <c r="K90" s="83">
        <v>792008.75</v>
      </c>
      <c r="L90" s="84">
        <f t="shared" si="3"/>
        <v>-792008.75</v>
      </c>
    </row>
    <row r="91" spans="1:12" x14ac:dyDescent="0.25">
      <c r="A91" s="81">
        <v>45666</v>
      </c>
      <c r="B91" s="67" t="s">
        <v>41</v>
      </c>
      <c r="C91" s="11" t="s">
        <v>4502</v>
      </c>
      <c r="D91" s="62" t="s">
        <v>4452</v>
      </c>
      <c r="E91" s="82" t="s">
        <v>915</v>
      </c>
      <c r="F91" s="85">
        <v>45666</v>
      </c>
      <c r="G91" s="82" t="s">
        <v>26</v>
      </c>
      <c r="H91" s="11" t="s">
        <v>163</v>
      </c>
      <c r="I91" s="69" t="s">
        <v>4452</v>
      </c>
      <c r="J91" s="83"/>
      <c r="K91" s="83">
        <v>20000</v>
      </c>
      <c r="L91" s="84">
        <f t="shared" si="3"/>
        <v>-20000</v>
      </c>
    </row>
    <row r="92" spans="1:12" x14ac:dyDescent="0.25">
      <c r="A92" s="81">
        <v>45667</v>
      </c>
      <c r="B92" s="69" t="s">
        <v>143</v>
      </c>
      <c r="C92" s="66" t="s">
        <v>4509</v>
      </c>
      <c r="D92" s="62" t="s">
        <v>4452</v>
      </c>
      <c r="E92" s="82" t="s">
        <v>4510</v>
      </c>
      <c r="F92" s="85">
        <v>45667</v>
      </c>
      <c r="G92" s="82" t="s">
        <v>26</v>
      </c>
      <c r="H92" s="11" t="s">
        <v>163</v>
      </c>
      <c r="I92" s="69" t="s">
        <v>4511</v>
      </c>
      <c r="J92" s="86"/>
      <c r="K92" s="86">
        <v>50000</v>
      </c>
      <c r="L92" s="84">
        <f t="shared" si="3"/>
        <v>-50000</v>
      </c>
    </row>
    <row r="93" spans="1:12" x14ac:dyDescent="0.25">
      <c r="A93" s="81">
        <v>45667</v>
      </c>
      <c r="B93" s="61" t="s">
        <v>149</v>
      </c>
      <c r="C93" s="11" t="s">
        <v>4502</v>
      </c>
      <c r="D93" s="11" t="s">
        <v>4503</v>
      </c>
      <c r="E93" s="82" t="s">
        <v>922</v>
      </c>
      <c r="F93" s="85">
        <v>45667</v>
      </c>
      <c r="G93" s="82" t="s">
        <v>26</v>
      </c>
      <c r="H93" s="11" t="s">
        <v>160</v>
      </c>
      <c r="I93" s="69" t="s">
        <v>4420</v>
      </c>
      <c r="J93" s="83"/>
      <c r="K93" s="83">
        <v>45086.38</v>
      </c>
      <c r="L93" s="84">
        <f t="shared" si="3"/>
        <v>-45086.38</v>
      </c>
    </row>
    <row r="94" spans="1:12" x14ac:dyDescent="0.25">
      <c r="A94" s="81">
        <v>45667</v>
      </c>
      <c r="B94" s="69" t="s">
        <v>143</v>
      </c>
      <c r="C94" s="66" t="s">
        <v>4509</v>
      </c>
      <c r="D94" s="62" t="s">
        <v>4452</v>
      </c>
      <c r="E94" s="82" t="s">
        <v>4510</v>
      </c>
      <c r="F94" s="85">
        <v>45667</v>
      </c>
      <c r="G94" s="82" t="s">
        <v>26</v>
      </c>
      <c r="H94" s="11" t="s">
        <v>163</v>
      </c>
      <c r="I94" s="69" t="s">
        <v>4511</v>
      </c>
      <c r="J94" s="86">
        <v>50000</v>
      </c>
      <c r="K94" s="86">
        <v>0</v>
      </c>
      <c r="L94" s="84">
        <f t="shared" si="3"/>
        <v>50000</v>
      </c>
    </row>
    <row r="95" spans="1:12" x14ac:dyDescent="0.25">
      <c r="A95" s="81">
        <v>45667</v>
      </c>
      <c r="B95" s="69" t="s">
        <v>143</v>
      </c>
      <c r="C95" s="11" t="s">
        <v>4502</v>
      </c>
      <c r="D95" s="62" t="s">
        <v>4452</v>
      </c>
      <c r="E95" s="82" t="s">
        <v>915</v>
      </c>
      <c r="F95" s="85">
        <v>45667</v>
      </c>
      <c r="G95" s="82" t="s">
        <v>26</v>
      </c>
      <c r="H95" s="11" t="s">
        <v>163</v>
      </c>
      <c r="I95" s="69" t="s">
        <v>4453</v>
      </c>
      <c r="J95" s="86"/>
      <c r="K95" s="86">
        <v>50000</v>
      </c>
      <c r="L95" s="84">
        <f t="shared" si="3"/>
        <v>-50000</v>
      </c>
    </row>
    <row r="96" spans="1:12" x14ac:dyDescent="0.25">
      <c r="A96" s="81">
        <v>45670</v>
      </c>
      <c r="B96" s="67" t="s">
        <v>4444</v>
      </c>
      <c r="C96" s="11" t="s">
        <v>4502</v>
      </c>
      <c r="D96" s="11" t="s">
        <v>4503</v>
      </c>
      <c r="E96" s="82" t="s">
        <v>1029</v>
      </c>
      <c r="F96" s="85">
        <v>45747</v>
      </c>
      <c r="G96" s="82" t="s">
        <v>26</v>
      </c>
      <c r="H96" s="11" t="s">
        <v>160</v>
      </c>
      <c r="I96" s="69" t="s">
        <v>4425</v>
      </c>
      <c r="J96" s="83"/>
      <c r="K96" s="83">
        <v>191769.95</v>
      </c>
      <c r="L96" s="84">
        <f t="shared" si="3"/>
        <v>-191769.95</v>
      </c>
    </row>
    <row r="97" spans="1:12" x14ac:dyDescent="0.25">
      <c r="A97" s="81">
        <v>45670</v>
      </c>
      <c r="B97" s="67" t="s">
        <v>4444</v>
      </c>
      <c r="C97" s="11" t="s">
        <v>4502</v>
      </c>
      <c r="D97" s="11" t="s">
        <v>4503</v>
      </c>
      <c r="E97" s="82" t="s">
        <v>1029</v>
      </c>
      <c r="F97" s="85">
        <v>45762</v>
      </c>
      <c r="G97" s="82" t="s">
        <v>26</v>
      </c>
      <c r="H97" s="11" t="s">
        <v>160</v>
      </c>
      <c r="I97" s="69" t="s">
        <v>4426</v>
      </c>
      <c r="J97" s="83"/>
      <c r="K97" s="83">
        <v>191769.95</v>
      </c>
      <c r="L97" s="84">
        <f t="shared" si="3"/>
        <v>-191769.95</v>
      </c>
    </row>
    <row r="98" spans="1:12" x14ac:dyDescent="0.25">
      <c r="A98" s="81">
        <v>45673</v>
      </c>
      <c r="B98" s="69" t="s">
        <v>66</v>
      </c>
      <c r="C98" s="11" t="s">
        <v>4500</v>
      </c>
      <c r="D98" s="62" t="s">
        <v>26</v>
      </c>
      <c r="E98" s="82" t="s">
        <v>1029</v>
      </c>
      <c r="F98" s="85">
        <v>45673</v>
      </c>
      <c r="G98" s="82" t="s">
        <v>26</v>
      </c>
      <c r="H98" s="11" t="s">
        <v>160</v>
      </c>
      <c r="I98" s="69" t="s">
        <v>146</v>
      </c>
      <c r="J98" s="83">
        <v>76110</v>
      </c>
      <c r="K98" s="83">
        <v>0</v>
      </c>
      <c r="L98" s="84">
        <f t="shared" si="3"/>
        <v>76110</v>
      </c>
    </row>
    <row r="99" spans="1:12" x14ac:dyDescent="0.25">
      <c r="A99" s="81">
        <v>45673</v>
      </c>
      <c r="B99" s="69" t="s">
        <v>66</v>
      </c>
      <c r="C99" s="11" t="s">
        <v>4502</v>
      </c>
      <c r="D99" s="11" t="s">
        <v>4503</v>
      </c>
      <c r="E99" s="82" t="s">
        <v>1029</v>
      </c>
      <c r="F99" s="85">
        <v>45765</v>
      </c>
      <c r="G99" s="82" t="s">
        <v>26</v>
      </c>
      <c r="H99" s="11" t="s">
        <v>160</v>
      </c>
      <c r="I99" s="69" t="s">
        <v>4427</v>
      </c>
      <c r="J99" s="83"/>
      <c r="K99" s="83">
        <v>58619.28</v>
      </c>
      <c r="L99" s="84">
        <f t="shared" si="3"/>
        <v>-58619.28</v>
      </c>
    </row>
    <row r="100" spans="1:12" x14ac:dyDescent="0.25">
      <c r="A100" s="81">
        <v>45674</v>
      </c>
      <c r="B100" s="69" t="s">
        <v>152</v>
      </c>
      <c r="C100" s="11" t="s">
        <v>4500</v>
      </c>
      <c r="D100" s="62" t="s">
        <v>26</v>
      </c>
      <c r="E100" s="82" t="s">
        <v>1029</v>
      </c>
      <c r="F100" s="85">
        <v>45672</v>
      </c>
      <c r="G100" s="82" t="s">
        <v>26</v>
      </c>
      <c r="H100" s="11" t="s">
        <v>160</v>
      </c>
      <c r="I100" s="69" t="s">
        <v>4512</v>
      </c>
      <c r="J100" s="83">
        <v>59376.1</v>
      </c>
      <c r="K100" s="83">
        <v>0</v>
      </c>
      <c r="L100" s="84">
        <f t="shared" si="3"/>
        <v>59376.1</v>
      </c>
    </row>
    <row r="101" spans="1:12" x14ac:dyDescent="0.25">
      <c r="A101" s="81">
        <v>45674</v>
      </c>
      <c r="B101" s="61" t="s">
        <v>149</v>
      </c>
      <c r="C101" s="11" t="s">
        <v>4502</v>
      </c>
      <c r="D101" s="11" t="s">
        <v>4503</v>
      </c>
      <c r="E101" s="82" t="s">
        <v>922</v>
      </c>
      <c r="F101" s="85">
        <v>45674</v>
      </c>
      <c r="G101" s="82" t="s">
        <v>26</v>
      </c>
      <c r="H101" s="11" t="s">
        <v>160</v>
      </c>
      <c r="I101" s="69" t="s">
        <v>4420</v>
      </c>
      <c r="J101" s="83"/>
      <c r="K101" s="83">
        <v>60000</v>
      </c>
      <c r="L101" s="84">
        <f t="shared" si="3"/>
        <v>-60000</v>
      </c>
    </row>
    <row r="102" spans="1:12" x14ac:dyDescent="0.25">
      <c r="A102" s="81">
        <v>45674</v>
      </c>
      <c r="B102" s="67" t="s">
        <v>70</v>
      </c>
      <c r="C102" s="11" t="s">
        <v>4502</v>
      </c>
      <c r="D102" s="62" t="s">
        <v>4452</v>
      </c>
      <c r="E102" s="82" t="s">
        <v>915</v>
      </c>
      <c r="F102" s="85">
        <v>45674</v>
      </c>
      <c r="G102" s="82" t="s">
        <v>26</v>
      </c>
      <c r="H102" s="11" t="s">
        <v>163</v>
      </c>
      <c r="I102" s="69" t="s">
        <v>4449</v>
      </c>
      <c r="J102" s="83"/>
      <c r="K102" s="83">
        <v>50000</v>
      </c>
      <c r="L102" s="84">
        <f t="shared" si="3"/>
        <v>-50000</v>
      </c>
    </row>
    <row r="103" spans="1:12" x14ac:dyDescent="0.25">
      <c r="A103" s="81">
        <v>45677</v>
      </c>
      <c r="B103" s="67" t="s">
        <v>4470</v>
      </c>
      <c r="C103" s="11" t="s">
        <v>4502</v>
      </c>
      <c r="D103" s="11" t="s">
        <v>4503</v>
      </c>
      <c r="E103" s="82" t="s">
        <v>1029</v>
      </c>
      <c r="F103" s="85">
        <v>45751</v>
      </c>
      <c r="G103" s="82" t="s">
        <v>26</v>
      </c>
      <c r="H103" s="11" t="s">
        <v>160</v>
      </c>
      <c r="I103" s="69" t="s">
        <v>4428</v>
      </c>
      <c r="J103" s="83"/>
      <c r="K103" s="83">
        <v>92300</v>
      </c>
      <c r="L103" s="84">
        <f t="shared" si="3"/>
        <v>-92300</v>
      </c>
    </row>
    <row r="104" spans="1:12" x14ac:dyDescent="0.25">
      <c r="A104" s="81">
        <v>45677</v>
      </c>
      <c r="B104" s="67" t="s">
        <v>4470</v>
      </c>
      <c r="C104" s="11" t="s">
        <v>4502</v>
      </c>
      <c r="D104" s="11" t="s">
        <v>4503</v>
      </c>
      <c r="E104" s="82" t="s">
        <v>1029</v>
      </c>
      <c r="F104" s="85">
        <v>45772</v>
      </c>
      <c r="G104" s="82" t="s">
        <v>26</v>
      </c>
      <c r="H104" s="11" t="s">
        <v>160</v>
      </c>
      <c r="I104" s="69" t="s">
        <v>4429</v>
      </c>
      <c r="J104" s="83"/>
      <c r="K104" s="83">
        <v>92725.37</v>
      </c>
      <c r="L104" s="84">
        <f t="shared" si="3"/>
        <v>-92725.37</v>
      </c>
    </row>
    <row r="105" spans="1:12" x14ac:dyDescent="0.25">
      <c r="A105" s="81">
        <v>45677</v>
      </c>
      <c r="B105" s="67" t="s">
        <v>4470</v>
      </c>
      <c r="C105" s="11" t="s">
        <v>4502</v>
      </c>
      <c r="D105" s="11" t="s">
        <v>4503</v>
      </c>
      <c r="E105" s="82" t="s">
        <v>1029</v>
      </c>
      <c r="F105" s="85">
        <v>45768</v>
      </c>
      <c r="G105" s="82" t="s">
        <v>26</v>
      </c>
      <c r="H105" s="11" t="s">
        <v>160</v>
      </c>
      <c r="I105" s="69" t="s">
        <v>4430</v>
      </c>
      <c r="J105" s="83"/>
      <c r="K105" s="83">
        <v>92300</v>
      </c>
      <c r="L105" s="84">
        <f t="shared" si="3"/>
        <v>-92300</v>
      </c>
    </row>
    <row r="106" spans="1:12" x14ac:dyDescent="0.25">
      <c r="A106" s="81">
        <v>45677</v>
      </c>
      <c r="B106" s="67" t="s">
        <v>4470</v>
      </c>
      <c r="C106" s="11" t="s">
        <v>4502</v>
      </c>
      <c r="D106" s="11" t="s">
        <v>4503</v>
      </c>
      <c r="E106" s="82" t="s">
        <v>1029</v>
      </c>
      <c r="F106" s="85">
        <v>45763</v>
      </c>
      <c r="G106" s="82" t="s">
        <v>26</v>
      </c>
      <c r="H106" s="11" t="s">
        <v>160</v>
      </c>
      <c r="I106" s="69" t="s">
        <v>4431</v>
      </c>
      <c r="J106" s="83"/>
      <c r="K106" s="83">
        <v>92300</v>
      </c>
      <c r="L106" s="84">
        <f t="shared" si="3"/>
        <v>-92300</v>
      </c>
    </row>
    <row r="107" spans="1:12" x14ac:dyDescent="0.25">
      <c r="A107" s="81">
        <v>45677</v>
      </c>
      <c r="B107" s="67" t="s">
        <v>4470</v>
      </c>
      <c r="C107" s="11" t="s">
        <v>4502</v>
      </c>
      <c r="D107" s="11" t="s">
        <v>4503</v>
      </c>
      <c r="E107" s="82" t="s">
        <v>1029</v>
      </c>
      <c r="F107" s="85">
        <v>45757</v>
      </c>
      <c r="G107" s="82" t="s">
        <v>26</v>
      </c>
      <c r="H107" s="11" t="s">
        <v>160</v>
      </c>
      <c r="I107" s="69" t="s">
        <v>4432</v>
      </c>
      <c r="J107" s="83"/>
      <c r="K107" s="83">
        <v>92300</v>
      </c>
      <c r="L107" s="84">
        <f t="shared" si="3"/>
        <v>-92300</v>
      </c>
    </row>
    <row r="108" spans="1:12" x14ac:dyDescent="0.25">
      <c r="A108" s="81">
        <v>45677</v>
      </c>
      <c r="B108" s="69" t="s">
        <v>45</v>
      </c>
      <c r="C108" s="11" t="s">
        <v>4502</v>
      </c>
      <c r="D108" s="62" t="s">
        <v>4452</v>
      </c>
      <c r="E108" s="82" t="s">
        <v>915</v>
      </c>
      <c r="F108" s="85">
        <v>45677</v>
      </c>
      <c r="G108" s="82" t="s">
        <v>26</v>
      </c>
      <c r="H108" s="11" t="s">
        <v>163</v>
      </c>
      <c r="I108" s="69" t="s">
        <v>4449</v>
      </c>
      <c r="J108" s="83"/>
      <c r="K108" s="83">
        <v>50000</v>
      </c>
      <c r="L108" s="84">
        <f t="shared" si="3"/>
        <v>-50000</v>
      </c>
    </row>
    <row r="109" spans="1:12" x14ac:dyDescent="0.25">
      <c r="A109" s="81">
        <v>45678</v>
      </c>
      <c r="B109" s="67" t="s">
        <v>4470</v>
      </c>
      <c r="C109" s="11" t="s">
        <v>4502</v>
      </c>
      <c r="D109" s="82" t="s">
        <v>4503</v>
      </c>
      <c r="E109" s="82" t="s">
        <v>1029</v>
      </c>
      <c r="F109" s="85">
        <v>45759</v>
      </c>
      <c r="G109" s="82" t="s">
        <v>26</v>
      </c>
      <c r="H109" s="11" t="s">
        <v>163</v>
      </c>
      <c r="I109" s="69" t="s">
        <v>4454</v>
      </c>
      <c r="J109" s="83"/>
      <c r="K109" s="83">
        <v>40000</v>
      </c>
      <c r="L109" s="84">
        <f t="shared" si="3"/>
        <v>-40000</v>
      </c>
    </row>
    <row r="110" spans="1:12" x14ac:dyDescent="0.25">
      <c r="A110" s="81">
        <v>45678</v>
      </c>
      <c r="B110" s="67" t="s">
        <v>4470</v>
      </c>
      <c r="C110" s="11" t="s">
        <v>4502</v>
      </c>
      <c r="D110" s="82" t="s">
        <v>4503</v>
      </c>
      <c r="E110" s="82" t="s">
        <v>1029</v>
      </c>
      <c r="F110" s="85">
        <v>45769</v>
      </c>
      <c r="G110" s="82" t="s">
        <v>26</v>
      </c>
      <c r="H110" s="11" t="s">
        <v>163</v>
      </c>
      <c r="I110" s="69" t="s">
        <v>4455</v>
      </c>
      <c r="J110" s="83"/>
      <c r="K110" s="83">
        <v>40000</v>
      </c>
      <c r="L110" s="84">
        <f t="shared" si="3"/>
        <v>-40000</v>
      </c>
    </row>
    <row r="111" spans="1:12" x14ac:dyDescent="0.25">
      <c r="A111" s="81">
        <v>45678</v>
      </c>
      <c r="B111" s="67" t="s">
        <v>4470</v>
      </c>
      <c r="C111" s="11" t="s">
        <v>4502</v>
      </c>
      <c r="D111" s="82" t="s">
        <v>4503</v>
      </c>
      <c r="E111" s="82" t="s">
        <v>1029</v>
      </c>
      <c r="F111" s="85">
        <v>45777</v>
      </c>
      <c r="G111" s="82" t="s">
        <v>26</v>
      </c>
      <c r="H111" s="11" t="s">
        <v>163</v>
      </c>
      <c r="I111" s="69" t="s">
        <v>4456</v>
      </c>
      <c r="J111" s="83"/>
      <c r="K111" s="83">
        <v>47832.19</v>
      </c>
      <c r="L111" s="84">
        <f t="shared" si="3"/>
        <v>-47832.19</v>
      </c>
    </row>
    <row r="112" spans="1:12" x14ac:dyDescent="0.25">
      <c r="A112" s="81">
        <v>45678</v>
      </c>
      <c r="B112" s="67" t="s">
        <v>568</v>
      </c>
      <c r="C112" s="11" t="s">
        <v>4502</v>
      </c>
      <c r="D112" s="62" t="s">
        <v>4452</v>
      </c>
      <c r="E112" s="82" t="s">
        <v>915</v>
      </c>
      <c r="F112" s="85">
        <v>45678</v>
      </c>
      <c r="G112" s="82" t="s">
        <v>26</v>
      </c>
      <c r="H112" s="11" t="s">
        <v>163</v>
      </c>
      <c r="I112" s="69" t="s">
        <v>4449</v>
      </c>
      <c r="J112" s="83"/>
      <c r="K112" s="83">
        <v>40000</v>
      </c>
      <c r="L112" s="84">
        <f t="shared" si="3"/>
        <v>-40000</v>
      </c>
    </row>
    <row r="113" spans="1:12" x14ac:dyDescent="0.25">
      <c r="A113" s="81">
        <v>45678</v>
      </c>
      <c r="B113" s="69" t="s">
        <v>4471</v>
      </c>
      <c r="C113" s="11" t="s">
        <v>4502</v>
      </c>
      <c r="D113" s="82" t="s">
        <v>4452</v>
      </c>
      <c r="E113" s="82" t="s">
        <v>922</v>
      </c>
      <c r="F113" s="85">
        <v>45678</v>
      </c>
      <c r="G113" s="82" t="s">
        <v>26</v>
      </c>
      <c r="H113" s="11" t="s">
        <v>160</v>
      </c>
      <c r="I113" s="69" t="s">
        <v>4433</v>
      </c>
      <c r="J113" s="83"/>
      <c r="K113" s="83">
        <v>72000</v>
      </c>
      <c r="L113" s="84">
        <f t="shared" si="3"/>
        <v>-72000</v>
      </c>
    </row>
    <row r="114" spans="1:12" x14ac:dyDescent="0.25">
      <c r="A114" s="81">
        <v>45679</v>
      </c>
      <c r="B114" s="67" t="s">
        <v>4445</v>
      </c>
      <c r="C114" s="11" t="s">
        <v>4502</v>
      </c>
      <c r="D114" s="62" t="s">
        <v>4452</v>
      </c>
      <c r="E114" s="82" t="s">
        <v>915</v>
      </c>
      <c r="F114" s="85">
        <v>45679</v>
      </c>
      <c r="G114" s="82" t="s">
        <v>26</v>
      </c>
      <c r="H114" s="11" t="s">
        <v>163</v>
      </c>
      <c r="I114" s="69" t="s">
        <v>4457</v>
      </c>
      <c r="J114" s="83"/>
      <c r="K114" s="83">
        <v>12600</v>
      </c>
      <c r="L114" s="84">
        <f t="shared" si="3"/>
        <v>-12600</v>
      </c>
    </row>
    <row r="115" spans="1:12" x14ac:dyDescent="0.25">
      <c r="A115" s="81">
        <v>45679</v>
      </c>
      <c r="B115" s="67" t="s">
        <v>4445</v>
      </c>
      <c r="C115" s="11" t="s">
        <v>4502</v>
      </c>
      <c r="D115" s="62" t="s">
        <v>4452</v>
      </c>
      <c r="E115" s="82" t="s">
        <v>915</v>
      </c>
      <c r="F115" s="85">
        <v>45679</v>
      </c>
      <c r="G115" s="82" t="s">
        <v>26</v>
      </c>
      <c r="H115" s="11" t="s">
        <v>163</v>
      </c>
      <c r="I115" s="69" t="s">
        <v>4458</v>
      </c>
      <c r="J115" s="83"/>
      <c r="K115" s="83">
        <v>12600</v>
      </c>
      <c r="L115" s="84">
        <f t="shared" si="3"/>
        <v>-12600</v>
      </c>
    </row>
    <row r="116" spans="1:12" x14ac:dyDescent="0.25">
      <c r="A116" s="81">
        <v>45679</v>
      </c>
      <c r="B116" s="67" t="s">
        <v>41</v>
      </c>
      <c r="C116" s="11" t="s">
        <v>4502</v>
      </c>
      <c r="D116" s="62" t="s">
        <v>4452</v>
      </c>
      <c r="E116" s="82" t="s">
        <v>915</v>
      </c>
      <c r="F116" s="85">
        <v>45679</v>
      </c>
      <c r="G116" s="82" t="s">
        <v>26</v>
      </c>
      <c r="H116" s="11" t="s">
        <v>163</v>
      </c>
      <c r="I116" s="69" t="s">
        <v>4449</v>
      </c>
      <c r="J116" s="83"/>
      <c r="K116" s="83">
        <v>20000</v>
      </c>
      <c r="L116" s="84">
        <f t="shared" si="3"/>
        <v>-20000</v>
      </c>
    </row>
    <row r="117" spans="1:12" x14ac:dyDescent="0.25">
      <c r="A117" s="81">
        <v>45680</v>
      </c>
      <c r="B117" s="69" t="s">
        <v>143</v>
      </c>
      <c r="C117" s="66" t="s">
        <v>4509</v>
      </c>
      <c r="D117" s="62" t="s">
        <v>4452</v>
      </c>
      <c r="E117" s="82" t="s">
        <v>4510</v>
      </c>
      <c r="F117" s="85">
        <v>45680</v>
      </c>
      <c r="G117" s="82" t="s">
        <v>26</v>
      </c>
      <c r="H117" s="11" t="s">
        <v>163</v>
      </c>
      <c r="I117" s="69" t="s">
        <v>4513</v>
      </c>
      <c r="J117" s="86"/>
      <c r="K117" s="86">
        <v>50000</v>
      </c>
      <c r="L117" s="84">
        <f t="shared" si="3"/>
        <v>-50000</v>
      </c>
    </row>
    <row r="118" spans="1:12" x14ac:dyDescent="0.25">
      <c r="A118" s="81">
        <v>45680</v>
      </c>
      <c r="B118" s="69" t="s">
        <v>143</v>
      </c>
      <c r="C118" s="11" t="s">
        <v>4509</v>
      </c>
      <c r="D118" s="62" t="s">
        <v>4452</v>
      </c>
      <c r="E118" s="82" t="s">
        <v>4510</v>
      </c>
      <c r="F118" s="85">
        <v>45690</v>
      </c>
      <c r="G118" s="82" t="s">
        <v>26</v>
      </c>
      <c r="H118" s="11" t="s">
        <v>163</v>
      </c>
      <c r="I118" s="69" t="s">
        <v>4514</v>
      </c>
      <c r="J118" s="86"/>
      <c r="K118" s="86">
        <v>50000</v>
      </c>
      <c r="L118" s="84">
        <f t="shared" si="3"/>
        <v>-50000</v>
      </c>
    </row>
    <row r="119" spans="1:12" x14ac:dyDescent="0.25">
      <c r="A119" s="81">
        <v>45681</v>
      </c>
      <c r="B119" s="67" t="s">
        <v>166</v>
      </c>
      <c r="C119" s="11" t="s">
        <v>4502</v>
      </c>
      <c r="D119" s="62" t="s">
        <v>4452</v>
      </c>
      <c r="E119" s="82" t="s">
        <v>915</v>
      </c>
      <c r="F119" s="85">
        <v>45681</v>
      </c>
      <c r="G119" s="82" t="s">
        <v>26</v>
      </c>
      <c r="H119" s="11" t="s">
        <v>163</v>
      </c>
      <c r="I119" s="69" t="s">
        <v>4449</v>
      </c>
      <c r="J119" s="83"/>
      <c r="K119" s="83">
        <v>70000</v>
      </c>
      <c r="L119" s="84">
        <f t="shared" si="3"/>
        <v>-70000</v>
      </c>
    </row>
    <row r="120" spans="1:12" x14ac:dyDescent="0.25">
      <c r="A120" s="81">
        <v>45681</v>
      </c>
      <c r="B120" s="67" t="s">
        <v>41</v>
      </c>
      <c r="C120" s="11" t="s">
        <v>4502</v>
      </c>
      <c r="D120" s="62" t="s">
        <v>4452</v>
      </c>
      <c r="E120" s="82" t="s">
        <v>915</v>
      </c>
      <c r="F120" s="85">
        <v>45681</v>
      </c>
      <c r="G120" s="82" t="s">
        <v>26</v>
      </c>
      <c r="H120" s="11" t="s">
        <v>163</v>
      </c>
      <c r="I120" s="69" t="s">
        <v>4449</v>
      </c>
      <c r="J120" s="83"/>
      <c r="K120" s="83">
        <v>20000</v>
      </c>
      <c r="L120" s="84">
        <f t="shared" si="3"/>
        <v>-20000</v>
      </c>
    </row>
    <row r="121" spans="1:12" x14ac:dyDescent="0.25">
      <c r="A121" s="81">
        <v>45680</v>
      </c>
      <c r="B121" s="69" t="s">
        <v>143</v>
      </c>
      <c r="C121" s="66" t="s">
        <v>4509</v>
      </c>
      <c r="D121" s="62" t="s">
        <v>4452</v>
      </c>
      <c r="E121" s="82" t="s">
        <v>4510</v>
      </c>
      <c r="F121" s="85">
        <v>45680</v>
      </c>
      <c r="G121" s="82" t="s">
        <v>26</v>
      </c>
      <c r="H121" s="11" t="s">
        <v>163</v>
      </c>
      <c r="I121" s="69" t="s">
        <v>4513</v>
      </c>
      <c r="J121" s="86">
        <v>50000</v>
      </c>
      <c r="K121" s="86"/>
      <c r="L121" s="84">
        <f t="shared" si="3"/>
        <v>50000</v>
      </c>
    </row>
    <row r="122" spans="1:12" x14ac:dyDescent="0.25">
      <c r="A122" s="81">
        <v>45680</v>
      </c>
      <c r="B122" s="69" t="s">
        <v>143</v>
      </c>
      <c r="C122" s="11" t="s">
        <v>4502</v>
      </c>
      <c r="D122" s="62" t="s">
        <v>4452</v>
      </c>
      <c r="E122" s="82" t="s">
        <v>915</v>
      </c>
      <c r="F122" s="85">
        <v>45680</v>
      </c>
      <c r="G122" s="82" t="s">
        <v>26</v>
      </c>
      <c r="H122" s="11" t="s">
        <v>163</v>
      </c>
      <c r="I122" s="69" t="s">
        <v>4459</v>
      </c>
      <c r="J122" s="86"/>
      <c r="K122" s="86">
        <v>50000</v>
      </c>
      <c r="L122" s="84">
        <f t="shared" si="3"/>
        <v>-50000</v>
      </c>
    </row>
    <row r="123" spans="1:12" x14ac:dyDescent="0.25">
      <c r="A123" s="81">
        <v>45681</v>
      </c>
      <c r="B123" s="67" t="s">
        <v>4444</v>
      </c>
      <c r="C123" s="66" t="s">
        <v>4509</v>
      </c>
      <c r="D123" s="62" t="s">
        <v>26</v>
      </c>
      <c r="E123" s="82" t="s">
        <v>1029</v>
      </c>
      <c r="F123" s="85">
        <v>45688</v>
      </c>
      <c r="G123" s="82" t="s">
        <v>26</v>
      </c>
      <c r="H123" s="11" t="s">
        <v>160</v>
      </c>
      <c r="I123" s="69" t="s">
        <v>145</v>
      </c>
      <c r="J123" s="83">
        <v>172945.02</v>
      </c>
      <c r="K123" s="83">
        <v>0</v>
      </c>
      <c r="L123" s="84">
        <f t="shared" si="3"/>
        <v>172945.02</v>
      </c>
    </row>
    <row r="124" spans="1:12" x14ac:dyDescent="0.25">
      <c r="A124" s="81">
        <v>45681</v>
      </c>
      <c r="B124" s="67" t="s">
        <v>4444</v>
      </c>
      <c r="C124" s="11" t="s">
        <v>4502</v>
      </c>
      <c r="D124" s="11" t="s">
        <v>4503</v>
      </c>
      <c r="E124" s="82" t="s">
        <v>1029</v>
      </c>
      <c r="F124" s="85">
        <v>45703</v>
      </c>
      <c r="G124" s="82" t="s">
        <v>26</v>
      </c>
      <c r="H124" s="11" t="s">
        <v>160</v>
      </c>
      <c r="I124" s="69" t="s">
        <v>4434</v>
      </c>
      <c r="J124" s="83"/>
      <c r="K124" s="83">
        <v>172945.02</v>
      </c>
      <c r="L124" s="84">
        <f t="shared" si="3"/>
        <v>-172945.02</v>
      </c>
    </row>
    <row r="125" spans="1:12" x14ac:dyDescent="0.25">
      <c r="A125" s="81">
        <v>45681</v>
      </c>
      <c r="B125" s="67" t="s">
        <v>4444</v>
      </c>
      <c r="C125" s="11" t="s">
        <v>4502</v>
      </c>
      <c r="D125" s="11" t="s">
        <v>4503</v>
      </c>
      <c r="E125" s="82" t="s">
        <v>1029</v>
      </c>
      <c r="F125" s="85">
        <v>45703</v>
      </c>
      <c r="G125" s="82" t="s">
        <v>26</v>
      </c>
      <c r="H125" s="11" t="s">
        <v>160</v>
      </c>
      <c r="I125" s="69" t="s">
        <v>4435</v>
      </c>
      <c r="J125" s="83"/>
      <c r="K125" s="83">
        <v>106577.4</v>
      </c>
      <c r="L125" s="84">
        <f t="shared" si="3"/>
        <v>-106577.4</v>
      </c>
    </row>
    <row r="126" spans="1:12" x14ac:dyDescent="0.25">
      <c r="A126" s="81">
        <v>45684</v>
      </c>
      <c r="B126" s="69" t="s">
        <v>45</v>
      </c>
      <c r="C126" s="11" t="s">
        <v>4502</v>
      </c>
      <c r="D126" s="62" t="s">
        <v>4452</v>
      </c>
      <c r="E126" s="82" t="s">
        <v>915</v>
      </c>
      <c r="F126" s="85">
        <v>45684</v>
      </c>
      <c r="G126" s="82" t="s">
        <v>26</v>
      </c>
      <c r="H126" s="11" t="s">
        <v>163</v>
      </c>
      <c r="I126" s="69" t="s">
        <v>4449</v>
      </c>
      <c r="J126" s="83"/>
      <c r="K126" s="83">
        <v>60000</v>
      </c>
      <c r="L126" s="84">
        <f t="shared" si="3"/>
        <v>-60000</v>
      </c>
    </row>
    <row r="127" spans="1:12" x14ac:dyDescent="0.25">
      <c r="A127" s="81">
        <v>45685</v>
      </c>
      <c r="B127" s="67" t="s">
        <v>4468</v>
      </c>
      <c r="C127" s="11" t="s">
        <v>4502</v>
      </c>
      <c r="D127" s="11" t="s">
        <v>4503</v>
      </c>
      <c r="E127" s="82" t="s">
        <v>1029</v>
      </c>
      <c r="F127" s="85">
        <v>45747</v>
      </c>
      <c r="G127" s="82" t="s">
        <v>26</v>
      </c>
      <c r="H127" s="11" t="s">
        <v>160</v>
      </c>
      <c r="I127" s="69" t="s">
        <v>4436</v>
      </c>
      <c r="J127" s="83"/>
      <c r="K127" s="83">
        <v>69619.48</v>
      </c>
      <c r="L127" s="84">
        <f t="shared" si="3"/>
        <v>-69619.48</v>
      </c>
    </row>
    <row r="128" spans="1:12" x14ac:dyDescent="0.25">
      <c r="A128" s="81">
        <v>45685</v>
      </c>
      <c r="B128" s="67" t="s">
        <v>4468</v>
      </c>
      <c r="C128" s="11" t="s">
        <v>4502</v>
      </c>
      <c r="D128" s="11" t="s">
        <v>4503</v>
      </c>
      <c r="E128" s="82" t="s">
        <v>1029</v>
      </c>
      <c r="F128" s="85">
        <v>45758</v>
      </c>
      <c r="G128" s="82" t="s">
        <v>26</v>
      </c>
      <c r="H128" s="11" t="s">
        <v>160</v>
      </c>
      <c r="I128" s="69" t="s">
        <v>4437</v>
      </c>
      <c r="J128" s="83"/>
      <c r="K128" s="83">
        <v>69619.48</v>
      </c>
      <c r="L128" s="84">
        <f t="shared" si="3"/>
        <v>-69619.48</v>
      </c>
    </row>
    <row r="129" spans="1:12" x14ac:dyDescent="0.25">
      <c r="A129" s="81">
        <v>45685</v>
      </c>
      <c r="B129" s="67" t="s">
        <v>4468</v>
      </c>
      <c r="C129" s="11" t="s">
        <v>4502</v>
      </c>
      <c r="D129" s="11" t="s">
        <v>4503</v>
      </c>
      <c r="E129" s="82" t="s">
        <v>1029</v>
      </c>
      <c r="F129" s="85">
        <v>45777</v>
      </c>
      <c r="G129" s="82" t="s">
        <v>26</v>
      </c>
      <c r="H129" s="11" t="s">
        <v>160</v>
      </c>
      <c r="I129" s="69" t="s">
        <v>4438</v>
      </c>
      <c r="J129" s="83"/>
      <c r="K129" s="83">
        <v>69619.48</v>
      </c>
      <c r="L129" s="84">
        <f t="shared" si="3"/>
        <v>-69619.48</v>
      </c>
    </row>
    <row r="130" spans="1:12" x14ac:dyDescent="0.25">
      <c r="A130" s="81">
        <v>45685</v>
      </c>
      <c r="B130" s="67" t="s">
        <v>41</v>
      </c>
      <c r="C130" s="11" t="s">
        <v>4502</v>
      </c>
      <c r="D130" s="62" t="s">
        <v>4452</v>
      </c>
      <c r="E130" s="82" t="s">
        <v>915</v>
      </c>
      <c r="F130" s="85">
        <v>45685</v>
      </c>
      <c r="G130" s="82" t="s">
        <v>26</v>
      </c>
      <c r="H130" s="11" t="s">
        <v>163</v>
      </c>
      <c r="I130" s="69" t="s">
        <v>4449</v>
      </c>
      <c r="J130" s="83"/>
      <c r="K130" s="83">
        <v>20000</v>
      </c>
      <c r="L130" s="84">
        <f t="shared" si="3"/>
        <v>-20000</v>
      </c>
    </row>
    <row r="131" spans="1:12" x14ac:dyDescent="0.25">
      <c r="A131" s="81">
        <v>45685</v>
      </c>
      <c r="B131" s="61" t="s">
        <v>149</v>
      </c>
      <c r="C131" s="11" t="s">
        <v>4502</v>
      </c>
      <c r="D131" s="11" t="s">
        <v>4503</v>
      </c>
      <c r="E131" s="82" t="s">
        <v>922</v>
      </c>
      <c r="F131" s="85">
        <v>45685</v>
      </c>
      <c r="G131" s="82" t="s">
        <v>26</v>
      </c>
      <c r="H131" s="11" t="s">
        <v>160</v>
      </c>
      <c r="I131" s="69" t="s">
        <v>4439</v>
      </c>
      <c r="J131" s="83"/>
      <c r="K131" s="83">
        <v>60000</v>
      </c>
      <c r="L131" s="84">
        <f t="shared" si="3"/>
        <v>-60000</v>
      </c>
    </row>
    <row r="132" spans="1:12" x14ac:dyDescent="0.25">
      <c r="A132" s="81">
        <v>45686</v>
      </c>
      <c r="B132" s="67" t="s">
        <v>4445</v>
      </c>
      <c r="C132" s="11" t="s">
        <v>4502</v>
      </c>
      <c r="D132" s="82" t="s">
        <v>4503</v>
      </c>
      <c r="E132" s="82" t="s">
        <v>922</v>
      </c>
      <c r="F132" s="85">
        <v>45686</v>
      </c>
      <c r="G132" s="82" t="s">
        <v>26</v>
      </c>
      <c r="H132" s="11" t="s">
        <v>160</v>
      </c>
      <c r="I132" s="69" t="s">
        <v>4440</v>
      </c>
      <c r="J132" s="83"/>
      <c r="K132" s="83">
        <v>80000</v>
      </c>
      <c r="L132" s="84">
        <f t="shared" ref="L132:L195" si="4">+J132-K132</f>
        <v>-80000</v>
      </c>
    </row>
    <row r="133" spans="1:12" x14ac:dyDescent="0.25">
      <c r="A133" s="81">
        <v>45687</v>
      </c>
      <c r="B133" s="67" t="s">
        <v>4444</v>
      </c>
      <c r="C133" s="11" t="s">
        <v>4502</v>
      </c>
      <c r="D133" s="82" t="s">
        <v>4503</v>
      </c>
      <c r="E133" s="82" t="s">
        <v>1029</v>
      </c>
      <c r="F133" s="85">
        <v>45777</v>
      </c>
      <c r="G133" s="82" t="s">
        <v>26</v>
      </c>
      <c r="H133" s="11" t="s">
        <v>160</v>
      </c>
      <c r="I133" s="69" t="s">
        <v>4441</v>
      </c>
      <c r="J133" s="83"/>
      <c r="K133" s="83">
        <v>269033.57</v>
      </c>
      <c r="L133" s="84">
        <f t="shared" si="4"/>
        <v>-269033.57</v>
      </c>
    </row>
    <row r="134" spans="1:12" x14ac:dyDescent="0.25">
      <c r="A134" s="81">
        <v>45687</v>
      </c>
      <c r="B134" s="67" t="s">
        <v>41</v>
      </c>
      <c r="C134" s="11" t="s">
        <v>4502</v>
      </c>
      <c r="D134" s="82" t="s">
        <v>4452</v>
      </c>
      <c r="E134" s="82" t="s">
        <v>915</v>
      </c>
      <c r="F134" s="85">
        <v>45687</v>
      </c>
      <c r="G134" s="82" t="s">
        <v>26</v>
      </c>
      <c r="H134" s="11" t="s">
        <v>163</v>
      </c>
      <c r="I134" s="69" t="s">
        <v>4449</v>
      </c>
      <c r="J134" s="83"/>
      <c r="K134" s="83">
        <v>20000</v>
      </c>
      <c r="L134" s="84">
        <f t="shared" si="4"/>
        <v>-20000</v>
      </c>
    </row>
    <row r="135" spans="1:12" x14ac:dyDescent="0.25">
      <c r="A135" s="81">
        <v>45687</v>
      </c>
      <c r="B135" s="67" t="s">
        <v>166</v>
      </c>
      <c r="C135" s="11" t="s">
        <v>4502</v>
      </c>
      <c r="D135" s="82" t="s">
        <v>4452</v>
      </c>
      <c r="E135" s="82" t="s">
        <v>915</v>
      </c>
      <c r="F135" s="85">
        <v>45687</v>
      </c>
      <c r="G135" s="82" t="s">
        <v>26</v>
      </c>
      <c r="H135" s="11" t="s">
        <v>163</v>
      </c>
      <c r="I135" s="69" t="s">
        <v>4449</v>
      </c>
      <c r="J135" s="83"/>
      <c r="K135" s="83">
        <v>20000</v>
      </c>
      <c r="L135" s="84">
        <f t="shared" si="4"/>
        <v>-20000</v>
      </c>
    </row>
    <row r="136" spans="1:12" x14ac:dyDescent="0.25">
      <c r="A136" s="81">
        <v>45687</v>
      </c>
      <c r="B136" s="69" t="s">
        <v>4464</v>
      </c>
      <c r="C136" s="11" t="s">
        <v>4502</v>
      </c>
      <c r="D136" s="82" t="s">
        <v>4452</v>
      </c>
      <c r="E136" s="82" t="s">
        <v>922</v>
      </c>
      <c r="F136" s="85">
        <v>45687</v>
      </c>
      <c r="G136" s="82" t="s">
        <v>26</v>
      </c>
      <c r="H136" s="11" t="s">
        <v>160</v>
      </c>
      <c r="I136" s="69" t="s">
        <v>4442</v>
      </c>
      <c r="J136" s="83"/>
      <c r="K136" s="83">
        <v>19776</v>
      </c>
      <c r="L136" s="84">
        <f t="shared" si="4"/>
        <v>-19776</v>
      </c>
    </row>
    <row r="137" spans="1:12" x14ac:dyDescent="0.25">
      <c r="A137" s="81">
        <v>45688</v>
      </c>
      <c r="B137" s="67" t="s">
        <v>144</v>
      </c>
      <c r="C137" s="11" t="s">
        <v>4502</v>
      </c>
      <c r="D137" s="82" t="s">
        <v>4452</v>
      </c>
      <c r="E137" s="82" t="s">
        <v>915</v>
      </c>
      <c r="F137" s="85">
        <v>45688</v>
      </c>
      <c r="G137" s="82" t="s">
        <v>26</v>
      </c>
      <c r="H137" s="11" t="s">
        <v>163</v>
      </c>
      <c r="I137" s="69" t="s">
        <v>4449</v>
      </c>
      <c r="J137" s="83"/>
      <c r="K137" s="83">
        <v>10000</v>
      </c>
      <c r="L137" s="84">
        <f t="shared" si="4"/>
        <v>-10000</v>
      </c>
    </row>
    <row r="138" spans="1:12" x14ac:dyDescent="0.25">
      <c r="A138" s="81">
        <v>45689</v>
      </c>
      <c r="B138" s="67" t="s">
        <v>41</v>
      </c>
      <c r="C138" s="11" t="s">
        <v>4502</v>
      </c>
      <c r="D138" s="82" t="s">
        <v>4452</v>
      </c>
      <c r="E138" s="82" t="s">
        <v>915</v>
      </c>
      <c r="F138" s="85">
        <v>45688</v>
      </c>
      <c r="G138" s="82" t="s">
        <v>26</v>
      </c>
      <c r="H138" s="11" t="s">
        <v>163</v>
      </c>
      <c r="I138" s="69" t="s">
        <v>4449</v>
      </c>
      <c r="J138" s="83"/>
      <c r="K138" s="83">
        <v>20000</v>
      </c>
      <c r="L138" s="84">
        <f t="shared" si="4"/>
        <v>-20000</v>
      </c>
    </row>
    <row r="139" spans="1:12" x14ac:dyDescent="0.25">
      <c r="A139" s="81">
        <v>45691</v>
      </c>
      <c r="B139" s="67" t="s">
        <v>4470</v>
      </c>
      <c r="C139" s="11" t="s">
        <v>4509</v>
      </c>
      <c r="D139" s="82" t="s">
        <v>4503</v>
      </c>
      <c r="E139" s="82" t="s">
        <v>1029</v>
      </c>
      <c r="F139" s="85">
        <v>45656</v>
      </c>
      <c r="G139" s="82" t="s">
        <v>26</v>
      </c>
      <c r="H139" s="11" t="s">
        <v>163</v>
      </c>
      <c r="I139" s="69" t="s">
        <v>162</v>
      </c>
      <c r="J139" s="83">
        <v>47082</v>
      </c>
      <c r="K139" s="83">
        <v>0</v>
      </c>
      <c r="L139" s="84">
        <f t="shared" si="4"/>
        <v>47082</v>
      </c>
    </row>
    <row r="140" spans="1:12" x14ac:dyDescent="0.25">
      <c r="A140" s="81">
        <v>45691</v>
      </c>
      <c r="B140" s="67" t="s">
        <v>4470</v>
      </c>
      <c r="C140" s="11" t="s">
        <v>4502</v>
      </c>
      <c r="D140" s="82" t="s">
        <v>4503</v>
      </c>
      <c r="E140" s="82" t="s">
        <v>915</v>
      </c>
      <c r="F140" s="85">
        <v>45691</v>
      </c>
      <c r="G140" s="82" t="s">
        <v>26</v>
      </c>
      <c r="H140" s="11" t="s">
        <v>163</v>
      </c>
      <c r="I140" s="69" t="s">
        <v>4515</v>
      </c>
      <c r="J140" s="83"/>
      <c r="K140" s="83">
        <v>47082</v>
      </c>
      <c r="L140" s="84">
        <f t="shared" si="4"/>
        <v>-47082</v>
      </c>
    </row>
    <row r="141" spans="1:12" x14ac:dyDescent="0.25">
      <c r="A141" s="81">
        <v>45691</v>
      </c>
      <c r="B141" s="67" t="s">
        <v>4483</v>
      </c>
      <c r="C141" s="11" t="s">
        <v>4500</v>
      </c>
      <c r="D141" s="82" t="s">
        <v>4503</v>
      </c>
      <c r="E141" s="82" t="s">
        <v>1029</v>
      </c>
      <c r="F141" s="85">
        <v>45687</v>
      </c>
      <c r="G141" s="82" t="s">
        <v>26</v>
      </c>
      <c r="H141" s="11" t="s">
        <v>160</v>
      </c>
      <c r="I141" s="69" t="s">
        <v>4516</v>
      </c>
      <c r="J141" s="83">
        <v>60850.51</v>
      </c>
      <c r="K141" s="83">
        <v>0</v>
      </c>
      <c r="L141" s="84">
        <f t="shared" si="4"/>
        <v>60850.51</v>
      </c>
    </row>
    <row r="142" spans="1:12" x14ac:dyDescent="0.25">
      <c r="A142" s="81">
        <v>45691</v>
      </c>
      <c r="B142" s="67" t="s">
        <v>4444</v>
      </c>
      <c r="C142" s="11" t="s">
        <v>4500</v>
      </c>
      <c r="D142" s="82" t="s">
        <v>4503</v>
      </c>
      <c r="E142" s="82" t="s">
        <v>1029</v>
      </c>
      <c r="F142" s="85">
        <v>45687</v>
      </c>
      <c r="G142" s="82" t="s">
        <v>26</v>
      </c>
      <c r="H142" s="11" t="s">
        <v>160</v>
      </c>
      <c r="I142" s="69" t="s">
        <v>4517</v>
      </c>
      <c r="J142" s="83">
        <v>172945.02</v>
      </c>
      <c r="K142" s="83">
        <v>0</v>
      </c>
      <c r="L142" s="84">
        <f t="shared" si="4"/>
        <v>172945.02</v>
      </c>
    </row>
    <row r="143" spans="1:12" x14ac:dyDescent="0.25">
      <c r="A143" s="81">
        <v>45691</v>
      </c>
      <c r="B143" s="69" t="s">
        <v>66</v>
      </c>
      <c r="C143" s="11" t="s">
        <v>4502</v>
      </c>
      <c r="D143" s="82" t="s">
        <v>4503</v>
      </c>
      <c r="E143" s="82" t="s">
        <v>922</v>
      </c>
      <c r="F143" s="85">
        <v>45691</v>
      </c>
      <c r="G143" s="82" t="s">
        <v>26</v>
      </c>
      <c r="H143" s="11" t="s">
        <v>160</v>
      </c>
      <c r="I143" s="69" t="s">
        <v>4518</v>
      </c>
      <c r="J143" s="83"/>
      <c r="K143" s="83">
        <v>40000</v>
      </c>
      <c r="L143" s="84">
        <f t="shared" si="4"/>
        <v>-40000</v>
      </c>
    </row>
    <row r="144" spans="1:12" x14ac:dyDescent="0.25">
      <c r="A144" s="81">
        <v>45691</v>
      </c>
      <c r="B144" s="67" t="s">
        <v>144</v>
      </c>
      <c r="C144" s="11" t="s">
        <v>4502</v>
      </c>
      <c r="D144" s="82" t="s">
        <v>4452</v>
      </c>
      <c r="E144" s="82" t="s">
        <v>915</v>
      </c>
      <c r="F144" s="85">
        <v>45691</v>
      </c>
      <c r="G144" s="82"/>
      <c r="H144" s="11" t="s">
        <v>163</v>
      </c>
      <c r="I144" s="69" t="s">
        <v>4449</v>
      </c>
      <c r="J144" s="83"/>
      <c r="K144" s="83">
        <v>20000</v>
      </c>
      <c r="L144" s="84">
        <f t="shared" si="4"/>
        <v>-20000</v>
      </c>
    </row>
    <row r="145" spans="1:12" x14ac:dyDescent="0.25">
      <c r="A145" s="81">
        <v>45692</v>
      </c>
      <c r="B145" s="69" t="s">
        <v>143</v>
      </c>
      <c r="C145" s="11" t="s">
        <v>4509</v>
      </c>
      <c r="D145" s="62" t="s">
        <v>4452</v>
      </c>
      <c r="E145" s="82" t="s">
        <v>4510</v>
      </c>
      <c r="F145" s="85">
        <v>45690</v>
      </c>
      <c r="G145" s="82" t="s">
        <v>26</v>
      </c>
      <c r="H145" s="11" t="s">
        <v>163</v>
      </c>
      <c r="I145" s="69" t="s">
        <v>4514</v>
      </c>
      <c r="J145" s="86">
        <v>50000</v>
      </c>
      <c r="K145" s="86"/>
      <c r="L145" s="84">
        <f t="shared" si="4"/>
        <v>50000</v>
      </c>
    </row>
    <row r="146" spans="1:12" x14ac:dyDescent="0.25">
      <c r="A146" s="81">
        <v>45692</v>
      </c>
      <c r="B146" s="69" t="s">
        <v>143</v>
      </c>
      <c r="C146" s="11" t="s">
        <v>4502</v>
      </c>
      <c r="D146" s="82" t="s">
        <v>4452</v>
      </c>
      <c r="E146" s="82" t="s">
        <v>915</v>
      </c>
      <c r="F146" s="85">
        <v>45690</v>
      </c>
      <c r="G146" s="82" t="s">
        <v>26</v>
      </c>
      <c r="H146" s="11" t="s">
        <v>163</v>
      </c>
      <c r="I146" s="69" t="s">
        <v>4519</v>
      </c>
      <c r="J146" s="83"/>
      <c r="K146" s="83">
        <v>50000</v>
      </c>
      <c r="L146" s="84">
        <f t="shared" si="4"/>
        <v>-50000</v>
      </c>
    </row>
    <row r="147" spans="1:12" x14ac:dyDescent="0.25">
      <c r="A147" s="81">
        <v>45688</v>
      </c>
      <c r="B147" s="67" t="s">
        <v>4467</v>
      </c>
      <c r="C147" s="11" t="s">
        <v>4520</v>
      </c>
      <c r="D147" s="82" t="s">
        <v>4452</v>
      </c>
      <c r="E147" s="82" t="s">
        <v>26</v>
      </c>
      <c r="F147" s="85">
        <f>A147+SUMIF('[1]RECAP DES SOLDES CREANCES'!$B$7:$B$53,B147,'[1]RECAP DES SOLDES CREANCES'!$F$7:$F$53)</f>
        <v>45688</v>
      </c>
      <c r="G147" s="82" t="str">
        <f ca="1">IF(TODAY()&lt;F147,"Non Echueé","Echueé")</f>
        <v>Echueé</v>
      </c>
      <c r="H147" s="11" t="s">
        <v>160</v>
      </c>
      <c r="I147" s="69" t="s">
        <v>4521</v>
      </c>
      <c r="J147" s="83">
        <f>4092*1.2</f>
        <v>4910.3999999999996</v>
      </c>
      <c r="K147" s="83">
        <v>0</v>
      </c>
      <c r="L147" s="84">
        <f t="shared" si="4"/>
        <v>4910.3999999999996</v>
      </c>
    </row>
    <row r="148" spans="1:12" x14ac:dyDescent="0.25">
      <c r="A148" s="81">
        <v>45688</v>
      </c>
      <c r="B148" s="67" t="s">
        <v>4467</v>
      </c>
      <c r="C148" s="11" t="s">
        <v>4520</v>
      </c>
      <c r="D148" s="82" t="s">
        <v>4452</v>
      </c>
      <c r="E148" s="82" t="s">
        <v>26</v>
      </c>
      <c r="F148" s="85">
        <f>A148+SUMIF('[1]RECAP DES SOLDES CREANCES'!$B$7:$B$53,B148,'[1]RECAP DES SOLDES CREANCES'!$F$7:$F$53)</f>
        <v>45688</v>
      </c>
      <c r="G148" s="82" t="str">
        <f ca="1">IF(TODAY()&lt;F148,"Non Echueé","Echueé")</f>
        <v>Echueé</v>
      </c>
      <c r="H148" s="11" t="s">
        <v>160</v>
      </c>
      <c r="I148" s="69" t="s">
        <v>4522</v>
      </c>
      <c r="J148" s="83">
        <f>1240*1.2</f>
        <v>1488</v>
      </c>
      <c r="K148" s="83">
        <v>0</v>
      </c>
      <c r="L148" s="84">
        <f t="shared" si="4"/>
        <v>1488</v>
      </c>
    </row>
    <row r="149" spans="1:12" x14ac:dyDescent="0.25">
      <c r="A149" s="81">
        <v>45688</v>
      </c>
      <c r="B149" s="61" t="s">
        <v>149</v>
      </c>
      <c r="C149" s="11" t="s">
        <v>4520</v>
      </c>
      <c r="D149" s="82" t="s">
        <v>4503</v>
      </c>
      <c r="E149" s="82" t="s">
        <v>26</v>
      </c>
      <c r="F149" s="85">
        <f>A149+SUMIF('[1]RECAP DES SOLDES CREANCES'!$B$7:$B$53,B149,'[1]RECAP DES SOLDES CREANCES'!$F$7:$F$53)</f>
        <v>45778</v>
      </c>
      <c r="G149" s="82" t="str">
        <f t="shared" ref="G149:G170" ca="1" si="5">IF(TODAY()&lt;F149,"Non Echueé","Echueé")</f>
        <v>Non Echueé</v>
      </c>
      <c r="H149" s="11" t="s">
        <v>160</v>
      </c>
      <c r="I149" s="69" t="s">
        <v>4523</v>
      </c>
      <c r="J149" s="83">
        <f>150204.6*1.2</f>
        <v>180245.52</v>
      </c>
      <c r="K149" s="83">
        <v>0</v>
      </c>
      <c r="L149" s="84">
        <f t="shared" si="4"/>
        <v>180245.52</v>
      </c>
    </row>
    <row r="150" spans="1:12" x14ac:dyDescent="0.25">
      <c r="A150" s="81">
        <v>45688</v>
      </c>
      <c r="B150" s="69" t="s">
        <v>66</v>
      </c>
      <c r="C150" s="11" t="s">
        <v>4520</v>
      </c>
      <c r="D150" s="82" t="s">
        <v>4503</v>
      </c>
      <c r="E150" s="82" t="s">
        <v>26</v>
      </c>
      <c r="F150" s="85">
        <f>A150+SUMIF('[1]RECAP DES SOLDES CREANCES'!$B$7:$B$53,B150,'[1]RECAP DES SOLDES CREANCES'!$F$7:$F$53)</f>
        <v>45778</v>
      </c>
      <c r="G150" s="82" t="str">
        <f t="shared" ca="1" si="5"/>
        <v>Non Echueé</v>
      </c>
      <c r="H150" s="11" t="s">
        <v>160</v>
      </c>
      <c r="I150" s="69" t="s">
        <v>4524</v>
      </c>
      <c r="J150" s="83">
        <f>89912.6*1.2</f>
        <v>107895.12000000001</v>
      </c>
      <c r="K150" s="83">
        <v>0</v>
      </c>
      <c r="L150" s="84">
        <f t="shared" si="4"/>
        <v>107895.12000000001</v>
      </c>
    </row>
    <row r="151" spans="1:12" x14ac:dyDescent="0.25">
      <c r="A151" s="81">
        <v>45688</v>
      </c>
      <c r="B151" s="69" t="s">
        <v>4471</v>
      </c>
      <c r="C151" s="11" t="s">
        <v>4520</v>
      </c>
      <c r="D151" s="82" t="s">
        <v>4452</v>
      </c>
      <c r="E151" s="82" t="s">
        <v>26</v>
      </c>
      <c r="F151" s="85">
        <f>A151+SUMIF('[1]RECAP DES SOLDES CREANCES'!$B$7:$B$53,B151,'[1]RECAP DES SOLDES CREANCES'!$F$7:$F$53)</f>
        <v>45688</v>
      </c>
      <c r="G151" s="82" t="str">
        <f t="shared" ca="1" si="5"/>
        <v>Echueé</v>
      </c>
      <c r="H151" s="11" t="s">
        <v>160</v>
      </c>
      <c r="I151" s="69" t="s">
        <v>4525</v>
      </c>
      <c r="J151" s="83">
        <f>26966.3*1.2</f>
        <v>32359.559999999998</v>
      </c>
      <c r="K151" s="83">
        <v>0</v>
      </c>
      <c r="L151" s="84">
        <f t="shared" si="4"/>
        <v>32359.559999999998</v>
      </c>
    </row>
    <row r="152" spans="1:12" x14ac:dyDescent="0.25">
      <c r="A152" s="81">
        <v>45688</v>
      </c>
      <c r="B152" s="67" t="s">
        <v>4470</v>
      </c>
      <c r="C152" s="11" t="s">
        <v>4520</v>
      </c>
      <c r="D152" s="82" t="s">
        <v>4503</v>
      </c>
      <c r="E152" s="82" t="s">
        <v>26</v>
      </c>
      <c r="F152" s="85">
        <f>A152+SUMIF('[1]RECAP DES SOLDES CREANCES'!$B$7:$B$53,B152,'[1]RECAP DES SOLDES CREANCES'!$F$7:$F$53)</f>
        <v>45778</v>
      </c>
      <c r="G152" s="82" t="str">
        <f t="shared" ca="1" si="5"/>
        <v>Non Echueé</v>
      </c>
      <c r="H152" s="11" t="s">
        <v>160</v>
      </c>
      <c r="I152" s="69" t="s">
        <v>4525</v>
      </c>
      <c r="J152" s="83">
        <f>170690.86*1.2</f>
        <v>204829.03199999998</v>
      </c>
      <c r="K152" s="83">
        <v>0</v>
      </c>
      <c r="L152" s="84">
        <f t="shared" si="4"/>
        <v>204829.03199999998</v>
      </c>
    </row>
    <row r="153" spans="1:12" x14ac:dyDescent="0.25">
      <c r="A153" s="81">
        <v>45688</v>
      </c>
      <c r="B153" s="67" t="s">
        <v>4444</v>
      </c>
      <c r="C153" s="11" t="s">
        <v>4520</v>
      </c>
      <c r="D153" s="82" t="s">
        <v>4503</v>
      </c>
      <c r="E153" s="82" t="s">
        <v>26</v>
      </c>
      <c r="F153" s="85">
        <f>A153+SUMIF('[1]RECAP DES SOLDES CREANCES'!$B$7:$B$53,B153,'[1]RECAP DES SOLDES CREANCES'!$F$7:$F$53)</f>
        <v>45808</v>
      </c>
      <c r="G153" s="82" t="str">
        <f t="shared" ca="1" si="5"/>
        <v>Non Echueé</v>
      </c>
      <c r="H153" s="11" t="s">
        <v>160</v>
      </c>
      <c r="I153" s="69" t="s">
        <v>4526</v>
      </c>
      <c r="J153" s="83">
        <f>365363.48*1.2</f>
        <v>438436.17599999998</v>
      </c>
      <c r="K153" s="83">
        <v>0</v>
      </c>
      <c r="L153" s="84">
        <f t="shared" si="4"/>
        <v>438436.17599999998</v>
      </c>
    </row>
    <row r="154" spans="1:12" x14ac:dyDescent="0.25">
      <c r="A154" s="81">
        <v>45688</v>
      </c>
      <c r="B154" s="69" t="s">
        <v>4464</v>
      </c>
      <c r="C154" s="11" t="s">
        <v>4520</v>
      </c>
      <c r="D154" s="82" t="s">
        <v>4452</v>
      </c>
      <c r="E154" s="82" t="s">
        <v>26</v>
      </c>
      <c r="F154" s="85">
        <f>A154+SUMIF('[1]RECAP DES SOLDES CREANCES'!$B$7:$B$53,B154,'[1]RECAP DES SOLDES CREANCES'!$F$7:$F$53)</f>
        <v>45688</v>
      </c>
      <c r="G154" s="82" t="str">
        <f t="shared" ca="1" si="5"/>
        <v>Echueé</v>
      </c>
      <c r="H154" s="11" t="s">
        <v>160</v>
      </c>
      <c r="I154" s="69" t="s">
        <v>4527</v>
      </c>
      <c r="J154" s="83">
        <f>3326.32*1.2</f>
        <v>3991.5839999999998</v>
      </c>
      <c r="K154" s="83">
        <v>0</v>
      </c>
      <c r="L154" s="84">
        <f t="shared" si="4"/>
        <v>3991.5839999999998</v>
      </c>
    </row>
    <row r="155" spans="1:12" x14ac:dyDescent="0.25">
      <c r="A155" s="81">
        <v>45688</v>
      </c>
      <c r="B155" s="67" t="s">
        <v>4468</v>
      </c>
      <c r="C155" s="11" t="s">
        <v>4520</v>
      </c>
      <c r="D155" s="82" t="s">
        <v>4503</v>
      </c>
      <c r="E155" s="82" t="s">
        <v>26</v>
      </c>
      <c r="F155" s="85">
        <f>A155+SUMIF('[1]RECAP DES SOLDES CREANCES'!$B$7:$B$53,B155,'[1]RECAP DES SOLDES CREANCES'!$F$7:$F$53)</f>
        <v>45808</v>
      </c>
      <c r="G155" s="82" t="str">
        <f t="shared" ca="1" si="5"/>
        <v>Non Echueé</v>
      </c>
      <c r="H155" s="11" t="s">
        <v>160</v>
      </c>
      <c r="I155" s="69" t="s">
        <v>4528</v>
      </c>
      <c r="J155" s="83">
        <f>215886.12*1.2</f>
        <v>259063.34399999998</v>
      </c>
      <c r="K155" s="83">
        <v>0</v>
      </c>
      <c r="L155" s="84">
        <f t="shared" si="4"/>
        <v>259063.34399999998</v>
      </c>
    </row>
    <row r="156" spans="1:12" x14ac:dyDescent="0.25">
      <c r="A156" s="81">
        <v>45688</v>
      </c>
      <c r="B156" s="67" t="s">
        <v>4445</v>
      </c>
      <c r="C156" s="11" t="s">
        <v>4520</v>
      </c>
      <c r="D156" s="82" t="s">
        <v>4503</v>
      </c>
      <c r="E156" s="82" t="s">
        <v>26</v>
      </c>
      <c r="F156" s="85">
        <f>A156+SUMIF('[1]RECAP DES SOLDES CREANCES'!$B$7:$B$53,B156,'[1]RECAP DES SOLDES CREANCES'!$F$7:$F$53)</f>
        <v>45748</v>
      </c>
      <c r="G156" s="82" t="str">
        <f t="shared" ca="1" si="5"/>
        <v>Non Echueé</v>
      </c>
      <c r="H156" s="11" t="s">
        <v>160</v>
      </c>
      <c r="I156" s="69" t="s">
        <v>4529</v>
      </c>
      <c r="J156" s="83">
        <v>3755.14</v>
      </c>
      <c r="K156" s="83">
        <v>0</v>
      </c>
      <c r="L156" s="84">
        <f t="shared" si="4"/>
        <v>3755.14</v>
      </c>
    </row>
    <row r="157" spans="1:12" x14ac:dyDescent="0.25">
      <c r="A157" s="81">
        <v>45688</v>
      </c>
      <c r="B157" s="67" t="s">
        <v>4443</v>
      </c>
      <c r="C157" s="11" t="s">
        <v>4520</v>
      </c>
      <c r="D157" s="82" t="s">
        <v>4503</v>
      </c>
      <c r="E157" s="82" t="s">
        <v>26</v>
      </c>
      <c r="F157" s="85">
        <f>A157+SUMIF('[1]RECAP DES SOLDES CREANCES'!$B$7:$B$53,B157,'[1]RECAP DES SOLDES CREANCES'!$F$7:$F$53)</f>
        <v>45748</v>
      </c>
      <c r="G157" s="82" t="str">
        <f t="shared" ca="1" si="5"/>
        <v>Non Echueé</v>
      </c>
      <c r="H157" s="11" t="s">
        <v>160</v>
      </c>
      <c r="I157" s="69" t="s">
        <v>4530</v>
      </c>
      <c r="J157" s="83">
        <f>974169.56*1.2</f>
        <v>1169003.4720000001</v>
      </c>
      <c r="K157" s="83">
        <v>0</v>
      </c>
      <c r="L157" s="84">
        <f t="shared" si="4"/>
        <v>1169003.4720000001</v>
      </c>
    </row>
    <row r="158" spans="1:12" x14ac:dyDescent="0.25">
      <c r="A158" s="81">
        <v>45688</v>
      </c>
      <c r="B158" s="67" t="s">
        <v>4445</v>
      </c>
      <c r="C158" s="11" t="s">
        <v>4531</v>
      </c>
      <c r="D158" s="82" t="s">
        <v>4452</v>
      </c>
      <c r="E158" s="82" t="s">
        <v>26</v>
      </c>
      <c r="F158" s="85">
        <v>45688</v>
      </c>
      <c r="G158" s="82" t="str">
        <f t="shared" ca="1" si="5"/>
        <v>Echueé</v>
      </c>
      <c r="H158" s="11" t="s">
        <v>163</v>
      </c>
      <c r="I158" s="69" t="s">
        <v>4532</v>
      </c>
      <c r="J158" s="83">
        <v>32387.4</v>
      </c>
      <c r="K158" s="83">
        <v>0</v>
      </c>
      <c r="L158" s="84">
        <f t="shared" si="4"/>
        <v>32387.4</v>
      </c>
    </row>
    <row r="159" spans="1:12" x14ac:dyDescent="0.25">
      <c r="A159" s="81">
        <v>45688</v>
      </c>
      <c r="B159" s="67" t="s">
        <v>4466</v>
      </c>
      <c r="C159" s="11" t="s">
        <v>4531</v>
      </c>
      <c r="D159" s="82" t="s">
        <v>4452</v>
      </c>
      <c r="E159" s="82" t="s">
        <v>26</v>
      </c>
      <c r="F159" s="85">
        <f>A159+SUMIF('[1]RECAP DES SOLDES CREANCES'!$B$7:$B$53,B159,'[1]RECAP DES SOLDES CREANCES'!$F$7:$F$53)</f>
        <v>45688</v>
      </c>
      <c r="G159" s="82" t="str">
        <f t="shared" ca="1" si="5"/>
        <v>Echueé</v>
      </c>
      <c r="H159" s="11" t="s">
        <v>163</v>
      </c>
      <c r="I159" s="69" t="s">
        <v>4532</v>
      </c>
      <c r="J159" s="83">
        <v>12476.4</v>
      </c>
      <c r="K159" s="83">
        <v>0</v>
      </c>
      <c r="L159" s="84">
        <f t="shared" si="4"/>
        <v>12476.4</v>
      </c>
    </row>
    <row r="160" spans="1:12" x14ac:dyDescent="0.25">
      <c r="A160" s="81">
        <v>45688</v>
      </c>
      <c r="B160" s="67" t="s">
        <v>144</v>
      </c>
      <c r="C160" s="11" t="s">
        <v>4531</v>
      </c>
      <c r="D160" s="82" t="s">
        <v>4452</v>
      </c>
      <c r="E160" s="82" t="s">
        <v>26</v>
      </c>
      <c r="F160" s="85">
        <f>A160+SUMIF('[1]RECAP DES SOLDES CREANCES'!$B$7:$B$53,B160,'[1]RECAP DES SOLDES CREANCES'!$F$7:$F$53)</f>
        <v>45688</v>
      </c>
      <c r="G160" s="82" t="str">
        <f t="shared" ca="1" si="5"/>
        <v>Echueé</v>
      </c>
      <c r="H160" s="11" t="s">
        <v>163</v>
      </c>
      <c r="I160" s="69" t="s">
        <v>4532</v>
      </c>
      <c r="J160" s="83">
        <v>250935.5</v>
      </c>
      <c r="K160" s="83">
        <v>0</v>
      </c>
      <c r="L160" s="84">
        <f t="shared" si="4"/>
        <v>250935.5</v>
      </c>
    </row>
    <row r="161" spans="1:12" x14ac:dyDescent="0.25">
      <c r="A161" s="81">
        <v>45688</v>
      </c>
      <c r="B161" s="69" t="s">
        <v>143</v>
      </c>
      <c r="C161" s="11" t="s">
        <v>4531</v>
      </c>
      <c r="D161" s="82" t="s">
        <v>4452</v>
      </c>
      <c r="E161" s="82" t="s">
        <v>26</v>
      </c>
      <c r="F161" s="85">
        <f>A161+SUMIF('[1]RECAP DES SOLDES CREANCES'!$B$7:$B$53,B161,'[1]RECAP DES SOLDES CREANCES'!$F$7:$F$53)</f>
        <v>45688</v>
      </c>
      <c r="G161" s="82" t="str">
        <f t="shared" ca="1" si="5"/>
        <v>Echueé</v>
      </c>
      <c r="H161" s="11" t="s">
        <v>163</v>
      </c>
      <c r="I161" s="69" t="s">
        <v>4532</v>
      </c>
      <c r="J161" s="83">
        <v>232090.9</v>
      </c>
      <c r="K161" s="83">
        <v>0</v>
      </c>
      <c r="L161" s="84">
        <f t="shared" si="4"/>
        <v>232090.9</v>
      </c>
    </row>
    <row r="162" spans="1:12" x14ac:dyDescent="0.25">
      <c r="A162" s="81">
        <v>45688</v>
      </c>
      <c r="B162" s="67" t="s">
        <v>568</v>
      </c>
      <c r="C162" s="11" t="s">
        <v>4531</v>
      </c>
      <c r="D162" s="82" t="s">
        <v>4452</v>
      </c>
      <c r="E162" s="82" t="s">
        <v>26</v>
      </c>
      <c r="F162" s="85">
        <f>A162+SUMIF('[1]RECAP DES SOLDES CREANCES'!$B$7:$B$53,B162,'[1]RECAP DES SOLDES CREANCES'!$F$7:$F$53)</f>
        <v>45688</v>
      </c>
      <c r="G162" s="82" t="str">
        <f t="shared" ca="1" si="5"/>
        <v>Echueé</v>
      </c>
      <c r="H162" s="11" t="s">
        <v>163</v>
      </c>
      <c r="I162" s="69" t="s">
        <v>4532</v>
      </c>
      <c r="J162" s="83">
        <v>91557.5</v>
      </c>
      <c r="K162" s="83">
        <v>0</v>
      </c>
      <c r="L162" s="84">
        <f t="shared" si="4"/>
        <v>91557.5</v>
      </c>
    </row>
    <row r="163" spans="1:12" x14ac:dyDescent="0.25">
      <c r="A163" s="81">
        <v>45688</v>
      </c>
      <c r="B163" s="67" t="s">
        <v>166</v>
      </c>
      <c r="C163" s="11" t="s">
        <v>4531</v>
      </c>
      <c r="D163" s="82" t="s">
        <v>4452</v>
      </c>
      <c r="E163" s="82" t="s">
        <v>26</v>
      </c>
      <c r="F163" s="85">
        <f>A163+SUMIF('[1]RECAP DES SOLDES CREANCES'!$B$7:$B$53,B163,'[1]RECAP DES SOLDES CREANCES'!$F$7:$F$53)</f>
        <v>45688</v>
      </c>
      <c r="G163" s="82" t="str">
        <f t="shared" ca="1" si="5"/>
        <v>Echueé</v>
      </c>
      <c r="H163" s="11" t="s">
        <v>163</v>
      </c>
      <c r="I163" s="69" t="s">
        <v>4532</v>
      </c>
      <c r="J163" s="83">
        <v>214630</v>
      </c>
      <c r="K163" s="83">
        <v>0</v>
      </c>
      <c r="L163" s="84">
        <f t="shared" si="4"/>
        <v>214630</v>
      </c>
    </row>
    <row r="164" spans="1:12" x14ac:dyDescent="0.25">
      <c r="A164" s="81">
        <v>45688</v>
      </c>
      <c r="B164" s="69" t="s">
        <v>36</v>
      </c>
      <c r="C164" s="11" t="s">
        <v>4531</v>
      </c>
      <c r="D164" s="82" t="s">
        <v>4452</v>
      </c>
      <c r="E164" s="82" t="s">
        <v>26</v>
      </c>
      <c r="F164" s="85">
        <f>A164+SUMIF('[1]RECAP DES SOLDES CREANCES'!$B$7:$B$53,B164,'[1]RECAP DES SOLDES CREANCES'!$F$7:$F$53)</f>
        <v>45688</v>
      </c>
      <c r="G164" s="82" t="str">
        <f t="shared" ca="1" si="5"/>
        <v>Echueé</v>
      </c>
      <c r="H164" s="11" t="s">
        <v>163</v>
      </c>
      <c r="I164" s="69" t="s">
        <v>4532</v>
      </c>
      <c r="J164" s="83">
        <v>62799.64</v>
      </c>
      <c r="K164" s="83">
        <v>0</v>
      </c>
      <c r="L164" s="84">
        <f t="shared" si="4"/>
        <v>62799.64</v>
      </c>
    </row>
    <row r="165" spans="1:12" x14ac:dyDescent="0.25">
      <c r="A165" s="81">
        <v>45688</v>
      </c>
      <c r="B165" s="67" t="s">
        <v>70</v>
      </c>
      <c r="C165" s="11" t="s">
        <v>4531</v>
      </c>
      <c r="D165" s="82" t="s">
        <v>4452</v>
      </c>
      <c r="E165" s="82" t="s">
        <v>26</v>
      </c>
      <c r="F165" s="85">
        <f>A165+SUMIF('[1]RECAP DES SOLDES CREANCES'!$B$7:$B$53,B165,'[1]RECAP DES SOLDES CREANCES'!$F$7:$F$53)</f>
        <v>45688</v>
      </c>
      <c r="G165" s="82" t="str">
        <f t="shared" ca="1" si="5"/>
        <v>Echueé</v>
      </c>
      <c r="H165" s="11" t="s">
        <v>163</v>
      </c>
      <c r="I165" s="69" t="s">
        <v>4532</v>
      </c>
      <c r="J165" s="83">
        <v>80500</v>
      </c>
      <c r="K165" s="83">
        <v>0</v>
      </c>
      <c r="L165" s="84">
        <f t="shared" si="4"/>
        <v>80500</v>
      </c>
    </row>
    <row r="166" spans="1:12" x14ac:dyDescent="0.25">
      <c r="A166" s="81">
        <v>45688</v>
      </c>
      <c r="B166" s="67" t="s">
        <v>4469</v>
      </c>
      <c r="C166" s="11" t="s">
        <v>4531</v>
      </c>
      <c r="D166" s="82" t="s">
        <v>4452</v>
      </c>
      <c r="E166" s="82" t="s">
        <v>26</v>
      </c>
      <c r="F166" s="85">
        <f>A166+SUMIF('[1]RECAP DES SOLDES CREANCES'!$B$7:$B$53,B166,'[1]RECAP DES SOLDES CREANCES'!$F$7:$F$53)</f>
        <v>45688</v>
      </c>
      <c r="G166" s="82" t="str">
        <f t="shared" ca="1" si="5"/>
        <v>Echueé</v>
      </c>
      <c r="H166" s="11" t="s">
        <v>163</v>
      </c>
      <c r="I166" s="69" t="s">
        <v>4532</v>
      </c>
      <c r="J166" s="83">
        <v>8817.2000000000007</v>
      </c>
      <c r="K166" s="83">
        <v>0</v>
      </c>
      <c r="L166" s="84">
        <f t="shared" si="4"/>
        <v>8817.2000000000007</v>
      </c>
    </row>
    <row r="167" spans="1:12" x14ac:dyDescent="0.25">
      <c r="A167" s="81">
        <v>45688</v>
      </c>
      <c r="B167" s="69" t="s">
        <v>4446</v>
      </c>
      <c r="C167" s="11" t="s">
        <v>4531</v>
      </c>
      <c r="D167" s="82" t="s">
        <v>4452</v>
      </c>
      <c r="E167" s="82" t="s">
        <v>26</v>
      </c>
      <c r="F167" s="85">
        <f>A167+SUMIF('[1]RECAP DES SOLDES CREANCES'!$B$7:$B$53,B167,'[1]RECAP DES SOLDES CREANCES'!$F$7:$F$53)</f>
        <v>45688</v>
      </c>
      <c r="G167" s="82" t="str">
        <f t="shared" ca="1" si="5"/>
        <v>Echueé</v>
      </c>
      <c r="H167" s="11" t="s">
        <v>163</v>
      </c>
      <c r="I167" s="69" t="s">
        <v>4532</v>
      </c>
      <c r="J167" s="83">
        <v>25826.799999999999</v>
      </c>
      <c r="K167" s="83">
        <v>0</v>
      </c>
      <c r="L167" s="84">
        <f t="shared" si="4"/>
        <v>25826.799999999999</v>
      </c>
    </row>
    <row r="168" spans="1:12" x14ac:dyDescent="0.25">
      <c r="A168" s="81">
        <v>45688</v>
      </c>
      <c r="B168" s="67" t="s">
        <v>4470</v>
      </c>
      <c r="C168" s="11" t="s">
        <v>4531</v>
      </c>
      <c r="D168" s="82" t="s">
        <v>4503</v>
      </c>
      <c r="E168" s="82" t="s">
        <v>26</v>
      </c>
      <c r="F168" s="85">
        <f>A168+SUMIF('[1]RECAP DES SOLDES CREANCES'!$B$7:$B$53,B168,'[1]RECAP DES SOLDES CREANCES'!$F$7:$F$53)</f>
        <v>45778</v>
      </c>
      <c r="G168" s="82" t="str">
        <f t="shared" ca="1" si="5"/>
        <v>Non Echueé</v>
      </c>
      <c r="H168" s="11" t="s">
        <v>163</v>
      </c>
      <c r="I168" s="69" t="s">
        <v>4532</v>
      </c>
      <c r="J168" s="83">
        <v>54991.05</v>
      </c>
      <c r="K168" s="83">
        <v>0</v>
      </c>
      <c r="L168" s="84">
        <f t="shared" si="4"/>
        <v>54991.05</v>
      </c>
    </row>
    <row r="169" spans="1:12" x14ac:dyDescent="0.25">
      <c r="A169" s="81">
        <v>45688</v>
      </c>
      <c r="B169" s="67" t="s">
        <v>41</v>
      </c>
      <c r="C169" s="11" t="s">
        <v>4531</v>
      </c>
      <c r="D169" s="82" t="s">
        <v>4452</v>
      </c>
      <c r="E169" s="82" t="s">
        <v>26</v>
      </c>
      <c r="F169" s="85">
        <f>A169+SUMIF('[1]RECAP DES SOLDES CREANCES'!$B$7:$B$53,B169,'[1]RECAP DES SOLDES CREANCES'!$F$7:$F$53)</f>
        <v>45688</v>
      </c>
      <c r="G169" s="82" t="str">
        <f t="shared" ca="1" si="5"/>
        <v>Echueé</v>
      </c>
      <c r="H169" s="11" t="s">
        <v>163</v>
      </c>
      <c r="I169" s="69" t="s">
        <v>4532</v>
      </c>
      <c r="J169" s="83">
        <v>248391.1</v>
      </c>
      <c r="K169" s="83">
        <v>0</v>
      </c>
      <c r="L169" s="84">
        <f t="shared" si="4"/>
        <v>248391.1</v>
      </c>
    </row>
    <row r="170" spans="1:12" x14ac:dyDescent="0.25">
      <c r="A170" s="81">
        <v>45688</v>
      </c>
      <c r="B170" s="69" t="s">
        <v>45</v>
      </c>
      <c r="C170" s="11" t="s">
        <v>4531</v>
      </c>
      <c r="D170" s="82" t="s">
        <v>4452</v>
      </c>
      <c r="E170" s="82" t="s">
        <v>26</v>
      </c>
      <c r="F170" s="85">
        <f>A170+SUMIF('[1]RECAP DES SOLDES CREANCES'!$B$7:$B$53,B170,'[1]RECAP DES SOLDES CREANCES'!$F$7:$F$53)</f>
        <v>45688</v>
      </c>
      <c r="G170" s="82" t="str">
        <f t="shared" ca="1" si="5"/>
        <v>Echueé</v>
      </c>
      <c r="H170" s="11" t="s">
        <v>163</v>
      </c>
      <c r="I170" s="69" t="s">
        <v>4532</v>
      </c>
      <c r="J170" s="83">
        <v>164866</v>
      </c>
      <c r="K170" s="83">
        <v>0</v>
      </c>
      <c r="L170" s="84">
        <f t="shared" si="4"/>
        <v>164866</v>
      </c>
    </row>
    <row r="171" spans="1:12" x14ac:dyDescent="0.25">
      <c r="A171" s="81">
        <v>45688</v>
      </c>
      <c r="B171" s="69" t="s">
        <v>36</v>
      </c>
      <c r="C171" s="11" t="s">
        <v>4502</v>
      </c>
      <c r="D171" s="82" t="s">
        <v>4452</v>
      </c>
      <c r="E171" s="82" t="s">
        <v>915</v>
      </c>
      <c r="F171" s="85">
        <f>A171+SUMIF('[1]RECAP DES SOLDES CREANCES'!$B$7:$B$53,B171,'[1]RECAP DES SOLDES CREANCES'!$F$7:$F$53)</f>
        <v>45688</v>
      </c>
      <c r="G171" s="82" t="s">
        <v>26</v>
      </c>
      <c r="H171" s="11" t="s">
        <v>163</v>
      </c>
      <c r="I171" s="69" t="s">
        <v>4460</v>
      </c>
      <c r="J171" s="83"/>
      <c r="K171" s="83">
        <v>62799.64</v>
      </c>
      <c r="L171" s="84">
        <f t="shared" si="4"/>
        <v>-62799.64</v>
      </c>
    </row>
    <row r="172" spans="1:12" x14ac:dyDescent="0.25">
      <c r="A172" s="81">
        <v>45688</v>
      </c>
      <c r="B172" s="67" t="s">
        <v>144</v>
      </c>
      <c r="C172" s="11" t="s">
        <v>4502</v>
      </c>
      <c r="D172" s="82" t="s">
        <v>4452</v>
      </c>
      <c r="E172" s="82" t="s">
        <v>4447</v>
      </c>
      <c r="F172" s="85">
        <v>45688</v>
      </c>
      <c r="G172" s="82" t="s">
        <v>26</v>
      </c>
      <c r="H172" s="11" t="s">
        <v>163</v>
      </c>
      <c r="I172" s="69" t="s">
        <v>4461</v>
      </c>
      <c r="J172" s="83"/>
      <c r="K172" s="83">
        <v>160122.22400000005</v>
      </c>
      <c r="L172" s="84">
        <f t="shared" si="4"/>
        <v>-160122.22400000005</v>
      </c>
    </row>
    <row r="173" spans="1:12" x14ac:dyDescent="0.25">
      <c r="A173" s="81">
        <v>45688</v>
      </c>
      <c r="B173" s="69" t="s">
        <v>143</v>
      </c>
      <c r="C173" s="11" t="s">
        <v>4502</v>
      </c>
      <c r="D173" s="82" t="s">
        <v>4452</v>
      </c>
      <c r="E173" s="82" t="s">
        <v>4447</v>
      </c>
      <c r="F173" s="85">
        <v>45688</v>
      </c>
      <c r="G173" s="82" t="s">
        <v>26</v>
      </c>
      <c r="H173" s="11" t="s">
        <v>163</v>
      </c>
      <c r="I173" s="69" t="s">
        <v>4461</v>
      </c>
      <c r="J173" s="83"/>
      <c r="K173" s="83">
        <v>78356.880000000019</v>
      </c>
      <c r="L173" s="84">
        <f t="shared" si="4"/>
        <v>-78356.880000000019</v>
      </c>
    </row>
    <row r="174" spans="1:12" x14ac:dyDescent="0.25">
      <c r="A174" s="81">
        <v>45688</v>
      </c>
      <c r="B174" s="67" t="s">
        <v>568</v>
      </c>
      <c r="C174" s="11" t="s">
        <v>4502</v>
      </c>
      <c r="D174" s="82" t="s">
        <v>4452</v>
      </c>
      <c r="E174" s="82" t="s">
        <v>4447</v>
      </c>
      <c r="F174" s="85">
        <v>45688</v>
      </c>
      <c r="G174" s="82" t="s">
        <v>26</v>
      </c>
      <c r="H174" s="11" t="s">
        <v>163</v>
      </c>
      <c r="I174" s="69" t="s">
        <v>4461</v>
      </c>
      <c r="J174" s="83"/>
      <c r="K174" s="83">
        <v>26766.179999999997</v>
      </c>
      <c r="L174" s="84">
        <f t="shared" si="4"/>
        <v>-26766.179999999997</v>
      </c>
    </row>
    <row r="175" spans="1:12" x14ac:dyDescent="0.25">
      <c r="A175" s="81">
        <v>45688</v>
      </c>
      <c r="B175" s="67" t="s">
        <v>70</v>
      </c>
      <c r="C175" s="11" t="s">
        <v>4502</v>
      </c>
      <c r="D175" s="82" t="s">
        <v>4452</v>
      </c>
      <c r="E175" s="82" t="s">
        <v>4447</v>
      </c>
      <c r="F175" s="85">
        <v>45688</v>
      </c>
      <c r="G175" s="82" t="s">
        <v>26</v>
      </c>
      <c r="H175" s="11" t="s">
        <v>163</v>
      </c>
      <c r="I175" s="69" t="s">
        <v>4461</v>
      </c>
      <c r="J175" s="83"/>
      <c r="K175" s="83">
        <v>9342.7199999999993</v>
      </c>
      <c r="L175" s="84">
        <f t="shared" si="4"/>
        <v>-9342.7199999999993</v>
      </c>
    </row>
    <row r="176" spans="1:12" x14ac:dyDescent="0.25">
      <c r="A176" s="81">
        <v>45688</v>
      </c>
      <c r="B176" s="69" t="s">
        <v>4446</v>
      </c>
      <c r="C176" s="11" t="s">
        <v>4502</v>
      </c>
      <c r="D176" s="82" t="s">
        <v>4452</v>
      </c>
      <c r="E176" s="82" t="s">
        <v>4447</v>
      </c>
      <c r="F176" s="85">
        <v>45688</v>
      </c>
      <c r="G176" s="82" t="s">
        <v>26</v>
      </c>
      <c r="H176" s="11" t="s">
        <v>163</v>
      </c>
      <c r="I176" s="69" t="s">
        <v>4461</v>
      </c>
      <c r="J176" s="83"/>
      <c r="K176" s="83">
        <v>13192.14</v>
      </c>
      <c r="L176" s="84">
        <f t="shared" si="4"/>
        <v>-13192.14</v>
      </c>
    </row>
    <row r="177" spans="1:12" x14ac:dyDescent="0.25">
      <c r="A177" s="81">
        <v>45688</v>
      </c>
      <c r="B177" s="67" t="s">
        <v>41</v>
      </c>
      <c r="C177" s="11" t="s">
        <v>4502</v>
      </c>
      <c r="D177" s="82" t="s">
        <v>4452</v>
      </c>
      <c r="E177" s="82" t="s">
        <v>4447</v>
      </c>
      <c r="F177" s="85">
        <v>45688</v>
      </c>
      <c r="G177" s="82" t="s">
        <v>26</v>
      </c>
      <c r="H177" s="11" t="s">
        <v>163</v>
      </c>
      <c r="I177" s="69" t="s">
        <v>4461</v>
      </c>
      <c r="J177" s="83"/>
      <c r="K177" s="83">
        <v>102282.90999999999</v>
      </c>
      <c r="L177" s="84">
        <f t="shared" si="4"/>
        <v>-102282.90999999999</v>
      </c>
    </row>
    <row r="178" spans="1:12" x14ac:dyDescent="0.25">
      <c r="A178" s="81">
        <v>45688</v>
      </c>
      <c r="B178" s="67" t="s">
        <v>1052</v>
      </c>
      <c r="C178" s="11" t="s">
        <v>4502</v>
      </c>
      <c r="D178" s="82" t="s">
        <v>4503</v>
      </c>
      <c r="E178" s="82" t="s">
        <v>4447</v>
      </c>
      <c r="F178" s="85">
        <v>45688</v>
      </c>
      <c r="G178" s="82" t="s">
        <v>26</v>
      </c>
      <c r="H178" s="11" t="s">
        <v>163</v>
      </c>
      <c r="I178" s="69" t="s">
        <v>4461</v>
      </c>
      <c r="J178" s="83"/>
      <c r="K178" s="83">
        <f>115579.6883/1.13</f>
        <v>102282.91</v>
      </c>
      <c r="L178" s="84">
        <f t="shared" si="4"/>
        <v>-102282.91</v>
      </c>
    </row>
    <row r="179" spans="1:12" x14ac:dyDescent="0.25">
      <c r="A179" s="81">
        <v>45688</v>
      </c>
      <c r="B179" s="69" t="s">
        <v>45</v>
      </c>
      <c r="C179" s="11" t="s">
        <v>4502</v>
      </c>
      <c r="D179" s="82" t="s">
        <v>4452</v>
      </c>
      <c r="E179" s="82" t="s">
        <v>4447</v>
      </c>
      <c r="F179" s="85">
        <v>45688</v>
      </c>
      <c r="G179" s="82" t="s">
        <v>26</v>
      </c>
      <c r="H179" s="11" t="s">
        <v>163</v>
      </c>
      <c r="I179" s="69" t="s">
        <v>4461</v>
      </c>
      <c r="J179" s="83"/>
      <c r="K179" s="83">
        <v>6135.84</v>
      </c>
      <c r="L179" s="84">
        <f t="shared" si="4"/>
        <v>-6135.84</v>
      </c>
    </row>
    <row r="180" spans="1:12" x14ac:dyDescent="0.25">
      <c r="A180" s="81">
        <v>45693</v>
      </c>
      <c r="B180" s="67" t="s">
        <v>166</v>
      </c>
      <c r="C180" s="11" t="s">
        <v>4502</v>
      </c>
      <c r="D180" s="82" t="s">
        <v>4452</v>
      </c>
      <c r="E180" s="82" t="s">
        <v>915</v>
      </c>
      <c r="F180" s="85">
        <v>45693</v>
      </c>
      <c r="G180" s="82" t="s">
        <v>26</v>
      </c>
      <c r="H180" s="11" t="s">
        <v>163</v>
      </c>
      <c r="I180" s="69" t="s">
        <v>4533</v>
      </c>
      <c r="J180" s="83"/>
      <c r="K180" s="83">
        <v>50000</v>
      </c>
      <c r="L180" s="84">
        <f t="shared" si="4"/>
        <v>-50000</v>
      </c>
    </row>
    <row r="181" spans="1:12" x14ac:dyDescent="0.25">
      <c r="A181" s="81">
        <v>45693</v>
      </c>
      <c r="B181" s="67" t="s">
        <v>70</v>
      </c>
      <c r="C181" s="11" t="s">
        <v>4502</v>
      </c>
      <c r="D181" s="82" t="s">
        <v>4452</v>
      </c>
      <c r="E181" s="82" t="s">
        <v>915</v>
      </c>
      <c r="F181" s="85">
        <v>45693</v>
      </c>
      <c r="G181" s="82" t="s">
        <v>26</v>
      </c>
      <c r="H181" s="11" t="s">
        <v>163</v>
      </c>
      <c r="I181" s="69" t="s">
        <v>4452</v>
      </c>
      <c r="J181" s="83"/>
      <c r="K181" s="83">
        <v>50000</v>
      </c>
      <c r="L181" s="84">
        <f t="shared" si="4"/>
        <v>-50000</v>
      </c>
    </row>
    <row r="182" spans="1:12" x14ac:dyDescent="0.25">
      <c r="A182" s="81">
        <v>45693</v>
      </c>
      <c r="B182" s="61" t="s">
        <v>149</v>
      </c>
      <c r="C182" s="11" t="s">
        <v>4502</v>
      </c>
      <c r="D182" s="82" t="s">
        <v>4503</v>
      </c>
      <c r="E182" s="82" t="s">
        <v>922</v>
      </c>
      <c r="F182" s="85">
        <v>45693</v>
      </c>
      <c r="G182" s="82" t="s">
        <v>26</v>
      </c>
      <c r="H182" s="11" t="s">
        <v>160</v>
      </c>
      <c r="I182" s="69" t="s">
        <v>4439</v>
      </c>
      <c r="J182" s="83"/>
      <c r="K182" s="83">
        <v>50000</v>
      </c>
      <c r="L182" s="84">
        <f t="shared" si="4"/>
        <v>-50000</v>
      </c>
    </row>
    <row r="183" spans="1:12" x14ac:dyDescent="0.25">
      <c r="A183" s="81">
        <v>45694</v>
      </c>
      <c r="B183" s="67" t="s">
        <v>41</v>
      </c>
      <c r="C183" s="11" t="s">
        <v>4502</v>
      </c>
      <c r="D183" s="82" t="s">
        <v>4452</v>
      </c>
      <c r="E183" s="82" t="s">
        <v>915</v>
      </c>
      <c r="F183" s="85">
        <v>45694</v>
      </c>
      <c r="G183" s="82" t="s">
        <v>26</v>
      </c>
      <c r="H183" s="11" t="s">
        <v>163</v>
      </c>
      <c r="I183" s="69" t="s">
        <v>4533</v>
      </c>
      <c r="J183" s="83"/>
      <c r="K183" s="83">
        <v>20000</v>
      </c>
      <c r="L183" s="84">
        <f t="shared" si="4"/>
        <v>-20000</v>
      </c>
    </row>
    <row r="184" spans="1:12" x14ac:dyDescent="0.25">
      <c r="A184" s="81">
        <v>45695</v>
      </c>
      <c r="B184" s="67" t="s">
        <v>144</v>
      </c>
      <c r="C184" s="11" t="s">
        <v>4502</v>
      </c>
      <c r="D184" s="82" t="s">
        <v>4452</v>
      </c>
      <c r="E184" s="82" t="s">
        <v>915</v>
      </c>
      <c r="F184" s="85">
        <v>45695</v>
      </c>
      <c r="G184" s="82" t="s">
        <v>26</v>
      </c>
      <c r="H184" s="11" t="s">
        <v>163</v>
      </c>
      <c r="I184" s="69" t="s">
        <v>4452</v>
      </c>
      <c r="J184" s="83"/>
      <c r="K184" s="83">
        <v>20000</v>
      </c>
      <c r="L184" s="84">
        <f t="shared" si="4"/>
        <v>-20000</v>
      </c>
    </row>
    <row r="185" spans="1:12" x14ac:dyDescent="0.25">
      <c r="A185" s="81">
        <v>45695</v>
      </c>
      <c r="B185" s="67" t="s">
        <v>41</v>
      </c>
      <c r="C185" s="11" t="s">
        <v>4509</v>
      </c>
      <c r="D185" s="82" t="s">
        <v>4452</v>
      </c>
      <c r="E185" s="82" t="s">
        <v>4510</v>
      </c>
      <c r="F185" s="85">
        <v>45695</v>
      </c>
      <c r="G185" s="82" t="s">
        <v>26</v>
      </c>
      <c r="H185" s="11" t="s">
        <v>163</v>
      </c>
      <c r="I185" s="69" t="s">
        <v>4534</v>
      </c>
      <c r="J185" s="83"/>
      <c r="K185" s="83">
        <v>30000</v>
      </c>
      <c r="L185" s="84">
        <f t="shared" si="4"/>
        <v>-30000</v>
      </c>
    </row>
    <row r="186" spans="1:12" x14ac:dyDescent="0.25">
      <c r="A186" s="81">
        <v>45698</v>
      </c>
      <c r="B186" s="67" t="s">
        <v>4443</v>
      </c>
      <c r="C186" s="11" t="s">
        <v>4502</v>
      </c>
      <c r="D186" s="82" t="s">
        <v>4503</v>
      </c>
      <c r="E186" s="82" t="s">
        <v>1029</v>
      </c>
      <c r="F186" s="85">
        <v>45714</v>
      </c>
      <c r="G186" s="82" t="s">
        <v>26</v>
      </c>
      <c r="H186" s="11" t="s">
        <v>160</v>
      </c>
      <c r="I186" s="69" t="s">
        <v>4535</v>
      </c>
      <c r="J186" s="83"/>
      <c r="K186" s="83">
        <v>1011886.51</v>
      </c>
      <c r="L186" s="84">
        <f t="shared" si="4"/>
        <v>-1011886.51</v>
      </c>
    </row>
    <row r="187" spans="1:12" x14ac:dyDescent="0.25">
      <c r="A187" s="81">
        <v>45698</v>
      </c>
      <c r="B187" s="69" t="s">
        <v>143</v>
      </c>
      <c r="C187" s="11" t="s">
        <v>4509</v>
      </c>
      <c r="D187" s="82" t="s">
        <v>4452</v>
      </c>
      <c r="E187" s="82" t="s">
        <v>4510</v>
      </c>
      <c r="F187" s="85">
        <v>45695</v>
      </c>
      <c r="G187" s="82" t="s">
        <v>26</v>
      </c>
      <c r="H187" s="11" t="s">
        <v>163</v>
      </c>
      <c r="I187" s="69" t="s">
        <v>4536</v>
      </c>
      <c r="J187" s="83"/>
      <c r="K187" s="83">
        <v>50000</v>
      </c>
      <c r="L187" s="84">
        <f t="shared" si="4"/>
        <v>-50000</v>
      </c>
    </row>
    <row r="188" spans="1:12" x14ac:dyDescent="0.25">
      <c r="A188" s="81">
        <v>45698</v>
      </c>
      <c r="B188" s="69" t="s">
        <v>66</v>
      </c>
      <c r="C188" s="11" t="s">
        <v>4502</v>
      </c>
      <c r="D188" s="82" t="s">
        <v>4503</v>
      </c>
      <c r="E188" s="82" t="s">
        <v>1029</v>
      </c>
      <c r="F188" s="85">
        <v>45786</v>
      </c>
      <c r="G188" s="82" t="s">
        <v>26</v>
      </c>
      <c r="H188" s="11" t="s">
        <v>160</v>
      </c>
      <c r="I188" s="69" t="s">
        <v>4537</v>
      </c>
      <c r="J188" s="83"/>
      <c r="K188" s="83">
        <v>47895.12</v>
      </c>
      <c r="L188" s="84">
        <f t="shared" si="4"/>
        <v>-47895.12</v>
      </c>
    </row>
    <row r="189" spans="1:12" x14ac:dyDescent="0.25">
      <c r="A189" s="81">
        <v>45698</v>
      </c>
      <c r="B189" s="69" t="s">
        <v>66</v>
      </c>
      <c r="C189" s="11" t="s">
        <v>4502</v>
      </c>
      <c r="D189" s="82" t="s">
        <v>4503</v>
      </c>
      <c r="E189" s="82" t="s">
        <v>1029</v>
      </c>
      <c r="F189" s="85">
        <v>45793</v>
      </c>
      <c r="G189" s="82" t="s">
        <v>26</v>
      </c>
      <c r="H189" s="11" t="s">
        <v>160</v>
      </c>
      <c r="I189" s="69" t="s">
        <v>4538</v>
      </c>
      <c r="J189" s="83"/>
      <c r="K189" s="83">
        <v>60000</v>
      </c>
      <c r="L189" s="84">
        <f t="shared" si="4"/>
        <v>-60000</v>
      </c>
    </row>
    <row r="190" spans="1:12" x14ac:dyDescent="0.25">
      <c r="A190" s="81">
        <v>45698</v>
      </c>
      <c r="B190" s="67" t="s">
        <v>4445</v>
      </c>
      <c r="C190" s="11" t="s">
        <v>4502</v>
      </c>
      <c r="D190" s="82" t="s">
        <v>4452</v>
      </c>
      <c r="E190" s="82" t="s">
        <v>915</v>
      </c>
      <c r="F190" s="85">
        <v>45698</v>
      </c>
      <c r="G190" s="82" t="s">
        <v>26</v>
      </c>
      <c r="H190" s="11" t="s">
        <v>163</v>
      </c>
      <c r="I190" s="69" t="s">
        <v>4452</v>
      </c>
      <c r="J190" s="83"/>
      <c r="K190" s="83">
        <v>16100</v>
      </c>
      <c r="L190" s="84">
        <f t="shared" si="4"/>
        <v>-16100</v>
      </c>
    </row>
    <row r="191" spans="1:12" x14ac:dyDescent="0.25">
      <c r="A191" s="81">
        <v>45699</v>
      </c>
      <c r="B191" s="67" t="s">
        <v>166</v>
      </c>
      <c r="C191" s="11" t="s">
        <v>4502</v>
      </c>
      <c r="D191" s="82" t="s">
        <v>4452</v>
      </c>
      <c r="E191" s="82" t="s">
        <v>915</v>
      </c>
      <c r="F191" s="85">
        <v>45699</v>
      </c>
      <c r="G191" s="82" t="s">
        <v>26</v>
      </c>
      <c r="H191" s="11" t="s">
        <v>163</v>
      </c>
      <c r="I191" s="69" t="s">
        <v>4452</v>
      </c>
      <c r="J191" s="83"/>
      <c r="K191" s="83">
        <v>50000</v>
      </c>
      <c r="L191" s="84">
        <f t="shared" si="4"/>
        <v>-50000</v>
      </c>
    </row>
    <row r="192" spans="1:12" x14ac:dyDescent="0.25">
      <c r="A192" s="81">
        <v>45698</v>
      </c>
      <c r="B192" s="69" t="s">
        <v>143</v>
      </c>
      <c r="C192" s="11" t="s">
        <v>4509</v>
      </c>
      <c r="D192" s="82" t="s">
        <v>4452</v>
      </c>
      <c r="E192" s="82" t="s">
        <v>4510</v>
      </c>
      <c r="F192" s="85">
        <v>45695</v>
      </c>
      <c r="G192" s="82" t="s">
        <v>26</v>
      </c>
      <c r="H192" s="11" t="s">
        <v>163</v>
      </c>
      <c r="I192" s="69" t="s">
        <v>4536</v>
      </c>
      <c r="J192" s="83">
        <v>50000</v>
      </c>
      <c r="K192" s="83"/>
      <c r="L192" s="84">
        <f t="shared" si="4"/>
        <v>50000</v>
      </c>
    </row>
    <row r="193" spans="1:12" x14ac:dyDescent="0.25">
      <c r="A193" s="81">
        <v>45698</v>
      </c>
      <c r="B193" s="69" t="s">
        <v>143</v>
      </c>
      <c r="C193" s="11" t="s">
        <v>4502</v>
      </c>
      <c r="D193" s="82" t="s">
        <v>4452</v>
      </c>
      <c r="E193" s="82" t="s">
        <v>915</v>
      </c>
      <c r="F193" s="85">
        <v>45695</v>
      </c>
      <c r="G193" s="82" t="s">
        <v>26</v>
      </c>
      <c r="H193" s="11" t="s">
        <v>163</v>
      </c>
      <c r="I193" s="69" t="s">
        <v>4539</v>
      </c>
      <c r="J193" s="83"/>
      <c r="K193" s="83">
        <v>50000</v>
      </c>
      <c r="L193" s="84">
        <f t="shared" si="4"/>
        <v>-50000</v>
      </c>
    </row>
    <row r="194" spans="1:12" x14ac:dyDescent="0.25">
      <c r="A194" s="81">
        <v>45695</v>
      </c>
      <c r="B194" s="67" t="s">
        <v>41</v>
      </c>
      <c r="C194" s="11" t="s">
        <v>4509</v>
      </c>
      <c r="D194" s="82" t="s">
        <v>4452</v>
      </c>
      <c r="E194" s="82" t="s">
        <v>4510</v>
      </c>
      <c r="F194" s="85">
        <v>45695</v>
      </c>
      <c r="G194" s="82" t="s">
        <v>26</v>
      </c>
      <c r="H194" s="11" t="s">
        <v>163</v>
      </c>
      <c r="I194" s="69" t="s">
        <v>4534</v>
      </c>
      <c r="J194" s="83">
        <v>30000</v>
      </c>
      <c r="K194" s="83"/>
      <c r="L194" s="84">
        <f t="shared" si="4"/>
        <v>30000</v>
      </c>
    </row>
    <row r="195" spans="1:12" x14ac:dyDescent="0.25">
      <c r="A195" s="81">
        <v>45695</v>
      </c>
      <c r="B195" s="67" t="s">
        <v>41</v>
      </c>
      <c r="C195" s="11" t="s">
        <v>4502</v>
      </c>
      <c r="D195" s="82" t="s">
        <v>4452</v>
      </c>
      <c r="E195" s="82" t="s">
        <v>915</v>
      </c>
      <c r="F195" s="85">
        <v>45695</v>
      </c>
      <c r="G195" s="82" t="s">
        <v>26</v>
      </c>
      <c r="H195" s="11" t="s">
        <v>163</v>
      </c>
      <c r="I195" s="69" t="s">
        <v>4540</v>
      </c>
      <c r="J195" s="83"/>
      <c r="K195" s="83">
        <v>30000</v>
      </c>
      <c r="L195" s="84">
        <f t="shared" si="4"/>
        <v>-30000</v>
      </c>
    </row>
    <row r="196" spans="1:12" x14ac:dyDescent="0.25">
      <c r="A196" s="81">
        <v>45700</v>
      </c>
      <c r="B196" s="67" t="s">
        <v>568</v>
      </c>
      <c r="C196" s="11" t="s">
        <v>4502</v>
      </c>
      <c r="D196" s="82" t="s">
        <v>4452</v>
      </c>
      <c r="E196" s="82" t="s">
        <v>915</v>
      </c>
      <c r="F196" s="85">
        <v>45700</v>
      </c>
      <c r="G196" s="82" t="s">
        <v>26</v>
      </c>
      <c r="H196" s="11" t="s">
        <v>163</v>
      </c>
      <c r="I196" s="69" t="s">
        <v>4541</v>
      </c>
      <c r="J196" s="83"/>
      <c r="K196" s="83">
        <v>50000</v>
      </c>
      <c r="L196" s="84">
        <f t="shared" ref="L196:L210" si="6">+J196-K196</f>
        <v>-50000</v>
      </c>
    </row>
    <row r="197" spans="1:12" x14ac:dyDescent="0.25">
      <c r="A197" s="81">
        <v>45700</v>
      </c>
      <c r="B197" s="69" t="s">
        <v>45</v>
      </c>
      <c r="C197" s="11" t="s">
        <v>4502</v>
      </c>
      <c r="D197" s="82" t="s">
        <v>4452</v>
      </c>
      <c r="E197" s="82" t="s">
        <v>915</v>
      </c>
      <c r="F197" s="85">
        <v>45700</v>
      </c>
      <c r="G197" s="82" t="s">
        <v>26</v>
      </c>
      <c r="H197" s="11" t="s">
        <v>163</v>
      </c>
      <c r="I197" s="69" t="s">
        <v>4541</v>
      </c>
      <c r="J197" s="83"/>
      <c r="K197" s="83">
        <v>60000</v>
      </c>
      <c r="L197" s="84">
        <f t="shared" si="6"/>
        <v>-60000</v>
      </c>
    </row>
    <row r="198" spans="1:12" x14ac:dyDescent="0.25">
      <c r="A198" s="81">
        <v>45702</v>
      </c>
      <c r="B198" s="67" t="s">
        <v>41</v>
      </c>
      <c r="C198" s="11" t="s">
        <v>4502</v>
      </c>
      <c r="D198" s="82" t="s">
        <v>4452</v>
      </c>
      <c r="E198" s="82" t="s">
        <v>915</v>
      </c>
      <c r="F198" s="85">
        <v>45702</v>
      </c>
      <c r="G198" s="82" t="s">
        <v>26</v>
      </c>
      <c r="H198" s="11" t="s">
        <v>163</v>
      </c>
      <c r="I198" s="69" t="s">
        <v>4541</v>
      </c>
      <c r="J198" s="83"/>
      <c r="K198" s="83">
        <v>20000</v>
      </c>
      <c r="L198" s="84">
        <f t="shared" si="6"/>
        <v>-20000</v>
      </c>
    </row>
    <row r="199" spans="1:12" x14ac:dyDescent="0.25">
      <c r="A199" s="81">
        <v>45705</v>
      </c>
      <c r="B199" s="67" t="s">
        <v>4470</v>
      </c>
      <c r="C199" s="11" t="s">
        <v>4502</v>
      </c>
      <c r="D199" s="82" t="s">
        <v>4503</v>
      </c>
      <c r="E199" s="82" t="s">
        <v>1029</v>
      </c>
      <c r="F199" s="85">
        <v>45803</v>
      </c>
      <c r="G199" s="82" t="s">
        <v>26</v>
      </c>
      <c r="H199" s="11" t="s">
        <v>160</v>
      </c>
      <c r="I199" s="69" t="s">
        <v>4542</v>
      </c>
      <c r="J199" s="83"/>
      <c r="K199" s="83">
        <v>51829.03</v>
      </c>
      <c r="L199" s="84">
        <f t="shared" si="6"/>
        <v>-51829.03</v>
      </c>
    </row>
    <row r="200" spans="1:12" x14ac:dyDescent="0.25">
      <c r="A200" s="81">
        <v>45705</v>
      </c>
      <c r="B200" s="67" t="s">
        <v>4470</v>
      </c>
      <c r="C200" s="11" t="s">
        <v>4502</v>
      </c>
      <c r="D200" s="82" t="s">
        <v>4503</v>
      </c>
      <c r="E200" s="82" t="s">
        <v>1029</v>
      </c>
      <c r="F200" s="85">
        <v>45796</v>
      </c>
      <c r="G200" s="82" t="s">
        <v>26</v>
      </c>
      <c r="H200" s="11" t="s">
        <v>160</v>
      </c>
      <c r="I200" s="69" t="s">
        <v>4543</v>
      </c>
      <c r="J200" s="83"/>
      <c r="K200" s="83">
        <v>51000</v>
      </c>
      <c r="L200" s="84">
        <f t="shared" si="6"/>
        <v>-51000</v>
      </c>
    </row>
    <row r="201" spans="1:12" x14ac:dyDescent="0.25">
      <c r="A201" s="81">
        <v>45705</v>
      </c>
      <c r="B201" s="67" t="s">
        <v>4470</v>
      </c>
      <c r="C201" s="11" t="s">
        <v>4502</v>
      </c>
      <c r="D201" s="82" t="s">
        <v>4503</v>
      </c>
      <c r="E201" s="82" t="s">
        <v>1029</v>
      </c>
      <c r="F201" s="85">
        <v>45782</v>
      </c>
      <c r="G201" s="82" t="s">
        <v>26</v>
      </c>
      <c r="H201" s="11" t="s">
        <v>160</v>
      </c>
      <c r="I201" s="69" t="s">
        <v>4544</v>
      </c>
      <c r="J201" s="83"/>
      <c r="K201" s="83">
        <v>51000</v>
      </c>
      <c r="L201" s="84">
        <f t="shared" si="6"/>
        <v>-51000</v>
      </c>
    </row>
    <row r="202" spans="1:12" x14ac:dyDescent="0.25">
      <c r="A202" s="81">
        <v>45705</v>
      </c>
      <c r="B202" s="67" t="s">
        <v>4470</v>
      </c>
      <c r="C202" s="11" t="s">
        <v>4502</v>
      </c>
      <c r="D202" s="82" t="s">
        <v>4503</v>
      </c>
      <c r="E202" s="82" t="s">
        <v>1029</v>
      </c>
      <c r="F202" s="85">
        <v>45789</v>
      </c>
      <c r="G202" s="82" t="s">
        <v>26</v>
      </c>
      <c r="H202" s="11" t="s">
        <v>160</v>
      </c>
      <c r="I202" s="69" t="s">
        <v>4545</v>
      </c>
      <c r="J202" s="83"/>
      <c r="K202" s="83">
        <v>51000</v>
      </c>
      <c r="L202" s="84">
        <f t="shared" si="6"/>
        <v>-51000</v>
      </c>
    </row>
    <row r="203" spans="1:12" x14ac:dyDescent="0.25">
      <c r="A203" s="81">
        <v>45705</v>
      </c>
      <c r="B203" s="67" t="s">
        <v>4470</v>
      </c>
      <c r="C203" s="11" t="s">
        <v>4502</v>
      </c>
      <c r="D203" s="82" t="s">
        <v>4503</v>
      </c>
      <c r="E203" s="82" t="s">
        <v>1029</v>
      </c>
      <c r="F203" s="85">
        <v>45794</v>
      </c>
      <c r="G203" s="82" t="s">
        <v>26</v>
      </c>
      <c r="H203" s="11" t="s">
        <v>163</v>
      </c>
      <c r="I203" s="69" t="s">
        <v>4546</v>
      </c>
      <c r="J203" s="83"/>
      <c r="K203" s="83">
        <v>27000</v>
      </c>
      <c r="L203" s="84">
        <f t="shared" si="6"/>
        <v>-27000</v>
      </c>
    </row>
    <row r="204" spans="1:12" x14ac:dyDescent="0.25">
      <c r="A204" s="81">
        <v>45705</v>
      </c>
      <c r="B204" s="67" t="s">
        <v>4470</v>
      </c>
      <c r="C204" s="11" t="s">
        <v>4502</v>
      </c>
      <c r="D204" s="82" t="s">
        <v>4503</v>
      </c>
      <c r="E204" s="82" t="s">
        <v>1029</v>
      </c>
      <c r="F204" s="85">
        <v>45808</v>
      </c>
      <c r="G204" s="82" t="s">
        <v>26</v>
      </c>
      <c r="H204" s="11" t="s">
        <v>163</v>
      </c>
      <c r="I204" s="69" t="s">
        <v>4547</v>
      </c>
      <c r="J204" s="83"/>
      <c r="K204" s="83">
        <v>27990</v>
      </c>
      <c r="L204" s="84">
        <f t="shared" si="6"/>
        <v>-27990</v>
      </c>
    </row>
    <row r="205" spans="1:12" x14ac:dyDescent="0.25">
      <c r="A205" s="81">
        <v>45705</v>
      </c>
      <c r="B205" s="67" t="s">
        <v>4483</v>
      </c>
      <c r="C205" s="11" t="s">
        <v>4500</v>
      </c>
      <c r="D205" s="82" t="s">
        <v>4503</v>
      </c>
      <c r="E205" s="82" t="s">
        <v>1029</v>
      </c>
      <c r="F205" s="85">
        <v>45698</v>
      </c>
      <c r="G205" s="82" t="s">
        <v>26</v>
      </c>
      <c r="H205" s="11" t="s">
        <v>160</v>
      </c>
      <c r="I205" s="69" t="s">
        <v>148</v>
      </c>
      <c r="J205" s="83">
        <v>60850.51</v>
      </c>
      <c r="K205" s="83"/>
      <c r="L205" s="84">
        <f t="shared" si="6"/>
        <v>60850.51</v>
      </c>
    </row>
    <row r="206" spans="1:12" x14ac:dyDescent="0.25">
      <c r="A206" s="81">
        <v>45705</v>
      </c>
      <c r="B206" s="69" t="s">
        <v>66</v>
      </c>
      <c r="C206" s="11" t="s">
        <v>4500</v>
      </c>
      <c r="D206" s="82" t="s">
        <v>4503</v>
      </c>
      <c r="E206" s="82" t="s">
        <v>1029</v>
      </c>
      <c r="F206" s="85">
        <v>45700</v>
      </c>
      <c r="G206" s="82" t="s">
        <v>26</v>
      </c>
      <c r="H206" s="11" t="s">
        <v>160</v>
      </c>
      <c r="I206" s="69" t="s">
        <v>147</v>
      </c>
      <c r="J206" s="83">
        <v>75450</v>
      </c>
      <c r="K206" s="83"/>
      <c r="L206" s="84">
        <f t="shared" si="6"/>
        <v>75450</v>
      </c>
    </row>
    <row r="207" spans="1:12" x14ac:dyDescent="0.25">
      <c r="A207" s="81">
        <v>45705</v>
      </c>
      <c r="B207" s="69" t="s">
        <v>152</v>
      </c>
      <c r="C207" s="11" t="s">
        <v>4500</v>
      </c>
      <c r="D207" s="82" t="s">
        <v>4503</v>
      </c>
      <c r="E207" s="82" t="s">
        <v>1029</v>
      </c>
      <c r="F207" s="85">
        <v>45701</v>
      </c>
      <c r="G207" s="82" t="s">
        <v>26</v>
      </c>
      <c r="H207" s="11" t="s">
        <v>160</v>
      </c>
      <c r="I207" s="69" t="s">
        <v>4548</v>
      </c>
      <c r="J207" s="83">
        <v>37500</v>
      </c>
      <c r="K207" s="83"/>
      <c r="L207" s="84">
        <f t="shared" si="6"/>
        <v>37500</v>
      </c>
    </row>
    <row r="208" spans="1:12" x14ac:dyDescent="0.25">
      <c r="A208" s="81">
        <v>45707</v>
      </c>
      <c r="B208" s="69" t="s">
        <v>143</v>
      </c>
      <c r="C208" s="11" t="s">
        <v>4502</v>
      </c>
      <c r="D208" s="82" t="s">
        <v>4452</v>
      </c>
      <c r="E208" s="82" t="s">
        <v>915</v>
      </c>
      <c r="F208" s="85">
        <v>45707</v>
      </c>
      <c r="G208" s="82" t="s">
        <v>26</v>
      </c>
      <c r="H208" s="11" t="s">
        <v>163</v>
      </c>
      <c r="I208" s="69" t="s">
        <v>4541</v>
      </c>
      <c r="J208" s="83"/>
      <c r="K208" s="83">
        <v>50000</v>
      </c>
      <c r="L208" s="84">
        <f t="shared" si="6"/>
        <v>-50000</v>
      </c>
    </row>
    <row r="209" spans="1:12" x14ac:dyDescent="0.25">
      <c r="A209" s="81">
        <v>45709</v>
      </c>
      <c r="B209" s="67" t="s">
        <v>41</v>
      </c>
      <c r="C209" s="11" t="s">
        <v>4502</v>
      </c>
      <c r="D209" s="82" t="s">
        <v>4452</v>
      </c>
      <c r="E209" s="82" t="s">
        <v>915</v>
      </c>
      <c r="F209" s="85">
        <v>45709</v>
      </c>
      <c r="G209" s="82" t="s">
        <v>26</v>
      </c>
      <c r="H209" s="11" t="s">
        <v>163</v>
      </c>
      <c r="I209" s="69" t="s">
        <v>4541</v>
      </c>
      <c r="J209" s="83"/>
      <c r="K209" s="83">
        <v>13700</v>
      </c>
      <c r="L209" s="84">
        <f t="shared" si="6"/>
        <v>-13700</v>
      </c>
    </row>
    <row r="210" spans="1:12" x14ac:dyDescent="0.25">
      <c r="A210" s="81">
        <v>45709</v>
      </c>
      <c r="B210" s="67" t="s">
        <v>41</v>
      </c>
      <c r="C210" s="11" t="s">
        <v>4502</v>
      </c>
      <c r="D210" s="82" t="s">
        <v>4452</v>
      </c>
      <c r="E210" s="82" t="s">
        <v>4510</v>
      </c>
      <c r="F210" s="85">
        <v>45708</v>
      </c>
      <c r="G210" s="82" t="s">
        <v>26</v>
      </c>
      <c r="H210" s="11" t="s">
        <v>163</v>
      </c>
      <c r="I210" s="69" t="s">
        <v>4549</v>
      </c>
      <c r="J210" s="83"/>
      <c r="K210" s="83">
        <v>6300</v>
      </c>
      <c r="L210" s="84">
        <f t="shared" si="6"/>
        <v>-6300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5"/>
  <sheetViews>
    <sheetView topLeftCell="A52" workbookViewId="0">
      <selection activeCell="E69" sqref="E69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bestFit="1" customWidth="1"/>
    <col min="14" max="14" width="15.42578125" style="37" customWidth="1"/>
    <col min="15" max="15" width="25.140625" style="36" bestFit="1" customWidth="1"/>
    <col min="16" max="16" width="12.28515625" style="36" customWidth="1"/>
    <col min="17" max="17" width="16.140625" style="36" customWidth="1"/>
    <col min="18" max="18" width="20.42578125" style="36" bestFit="1" customWidth="1"/>
    <col min="19" max="19" width="13.85546875" style="36" bestFit="1" customWidth="1"/>
    <col min="20" max="21" width="8.28515625" style="36" bestFit="1" customWidth="1"/>
    <col min="22" max="22" width="7.28515625" style="36" bestFit="1" customWidth="1"/>
    <col min="23" max="23" width="10.7109375" style="36" bestFit="1" customWidth="1"/>
    <col min="24" max="25" width="11.28515625" style="36" bestFit="1" customWidth="1"/>
    <col min="26" max="27" width="20" style="36" bestFit="1" customWidth="1"/>
    <col min="28" max="28" width="17" style="36" bestFit="1" customWidth="1"/>
    <col min="29" max="30" width="15.42578125" style="36" bestFit="1" customWidth="1"/>
    <col min="31" max="31" width="16.5703125" style="36" bestFit="1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763</v>
      </c>
      <c r="B1" s="39" t="s">
        <v>764</v>
      </c>
      <c r="C1" s="39" t="s">
        <v>765</v>
      </c>
      <c r="D1" s="39" t="s">
        <v>1051</v>
      </c>
      <c r="E1" s="39" t="s">
        <v>918</v>
      </c>
      <c r="F1" s="39" t="s">
        <v>766</v>
      </c>
      <c r="G1" s="39" t="s">
        <v>767</v>
      </c>
      <c r="H1" s="39" t="s">
        <v>768</v>
      </c>
      <c r="I1" s="39" t="s">
        <v>769</v>
      </c>
      <c r="J1" s="39" t="s">
        <v>770</v>
      </c>
      <c r="K1" s="39" t="s">
        <v>771</v>
      </c>
      <c r="L1" s="39" t="s">
        <v>772</v>
      </c>
      <c r="M1" s="39" t="s">
        <v>773</v>
      </c>
      <c r="N1" s="45" t="s">
        <v>774</v>
      </c>
      <c r="O1" s="39" t="s">
        <v>775</v>
      </c>
      <c r="P1" s="39" t="s">
        <v>776</v>
      </c>
      <c r="Q1" s="39" t="s">
        <v>777</v>
      </c>
      <c r="R1" s="39" t="s">
        <v>914</v>
      </c>
      <c r="S1" s="39" t="s">
        <v>1037</v>
      </c>
      <c r="T1" s="39" t="s">
        <v>1040</v>
      </c>
      <c r="U1" s="39" t="s">
        <v>1024</v>
      </c>
      <c r="V1" s="39" t="s">
        <v>518</v>
      </c>
      <c r="W1" s="39" t="s">
        <v>29</v>
      </c>
      <c r="X1" s="39" t="s">
        <v>34</v>
      </c>
      <c r="Y1" s="39" t="s">
        <v>48</v>
      </c>
      <c r="Z1" s="39" t="s">
        <v>778</v>
      </c>
      <c r="AA1" s="39" t="s">
        <v>779</v>
      </c>
      <c r="AB1" s="39" t="s">
        <v>780</v>
      </c>
      <c r="AC1" s="39" t="s">
        <v>781</v>
      </c>
      <c r="AD1" s="39" t="s">
        <v>782</v>
      </c>
      <c r="AE1" s="39" t="s">
        <v>783</v>
      </c>
      <c r="AF1" s="39" t="s">
        <v>784</v>
      </c>
      <c r="AG1" s="39" t="s">
        <v>785</v>
      </c>
    </row>
    <row r="2" spans="1:33" x14ac:dyDescent="0.25">
      <c r="A2" s="40">
        <v>2000001</v>
      </c>
      <c r="B2" s="40" t="s">
        <v>149</v>
      </c>
      <c r="C2" s="41" t="s">
        <v>786</v>
      </c>
      <c r="D2" s="44">
        <f>SUMIF(CREANCES!$B$2:$B$99999,'INFO CLIENTS'!B2,CREANCES!$J$2:$J$99999) - SUMIF(CREANCES!$B$2:$B$99999,'INFO CLIENTS'!B2,CREANCES!$K$2:$K$99999)</f>
        <v>444016.30799999961</v>
      </c>
      <c r="E2" s="41" t="s">
        <v>1032</v>
      </c>
      <c r="F2" s="41" t="s">
        <v>816</v>
      </c>
      <c r="G2" s="41" t="s">
        <v>26</v>
      </c>
      <c r="H2" s="41" t="s">
        <v>789</v>
      </c>
      <c r="I2" s="43">
        <v>44440</v>
      </c>
      <c r="J2" s="41" t="s">
        <v>830</v>
      </c>
      <c r="K2" s="41" t="s">
        <v>831</v>
      </c>
      <c r="L2" s="41" t="s">
        <v>835</v>
      </c>
      <c r="M2" s="41" t="s">
        <v>837</v>
      </c>
      <c r="N2" s="41" t="s">
        <v>854</v>
      </c>
      <c r="O2" s="48">
        <v>1</v>
      </c>
      <c r="P2" s="41" t="s">
        <v>855</v>
      </c>
      <c r="Q2" s="41" t="s">
        <v>857</v>
      </c>
      <c r="R2" s="41" t="s">
        <v>922</v>
      </c>
      <c r="S2" s="41" t="s">
        <v>1035</v>
      </c>
      <c r="T2" s="41" t="s">
        <v>869</v>
      </c>
      <c r="U2" s="49" t="s">
        <v>863</v>
      </c>
      <c r="V2" s="49" t="s">
        <v>863</v>
      </c>
      <c r="W2" s="49" t="s">
        <v>863</v>
      </c>
      <c r="X2" s="49" t="s">
        <v>864</v>
      </c>
      <c r="Y2" s="49" t="s">
        <v>864</v>
      </c>
      <c r="Z2" s="49" t="s">
        <v>864</v>
      </c>
      <c r="AA2" s="49" t="s">
        <v>863</v>
      </c>
      <c r="AB2" s="49" t="s">
        <v>863</v>
      </c>
      <c r="AC2" s="49" t="s">
        <v>863</v>
      </c>
      <c r="AD2" s="49" t="s">
        <v>863</v>
      </c>
      <c r="AE2" s="49" t="s">
        <v>863</v>
      </c>
      <c r="AF2" s="49" t="s">
        <v>863</v>
      </c>
      <c r="AG2" s="49" t="s">
        <v>862</v>
      </c>
    </row>
    <row r="3" spans="1:33" x14ac:dyDescent="0.25">
      <c r="A3" s="40">
        <v>2000002</v>
      </c>
      <c r="B3" s="40" t="s">
        <v>4445</v>
      </c>
      <c r="C3" s="41" t="s">
        <v>916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1032</v>
      </c>
      <c r="F3" s="41" t="s">
        <v>815</v>
      </c>
      <c r="G3" s="42" t="s">
        <v>803</v>
      </c>
      <c r="H3" s="41" t="s">
        <v>804</v>
      </c>
      <c r="I3" s="43">
        <v>45627</v>
      </c>
      <c r="J3" s="44" t="s">
        <v>1070</v>
      </c>
      <c r="K3" s="41" t="s">
        <v>833</v>
      </c>
      <c r="L3" s="46">
        <v>140000</v>
      </c>
      <c r="M3" s="41" t="s">
        <v>838</v>
      </c>
      <c r="N3" s="41" t="s">
        <v>854</v>
      </c>
      <c r="O3" s="48">
        <v>1</v>
      </c>
      <c r="P3" s="41" t="s">
        <v>855</v>
      </c>
      <c r="Q3" s="41" t="s">
        <v>1031</v>
      </c>
      <c r="R3" s="41" t="s">
        <v>1041</v>
      </c>
      <c r="S3" s="41" t="s">
        <v>1036</v>
      </c>
      <c r="T3" s="41" t="s">
        <v>910</v>
      </c>
      <c r="U3" s="49" t="s">
        <v>863</v>
      </c>
      <c r="V3" s="49" t="s">
        <v>863</v>
      </c>
      <c r="W3" s="49" t="s">
        <v>863</v>
      </c>
      <c r="X3" s="49" t="s">
        <v>865</v>
      </c>
      <c r="Y3" s="49" t="s">
        <v>863</v>
      </c>
      <c r="Z3" s="49" t="s">
        <v>863</v>
      </c>
      <c r="AA3" s="49" t="s">
        <v>863</v>
      </c>
      <c r="AB3" s="49" t="s">
        <v>863</v>
      </c>
      <c r="AC3" s="49" t="s">
        <v>863</v>
      </c>
      <c r="AD3" s="49" t="s">
        <v>863</v>
      </c>
      <c r="AE3" s="49" t="s">
        <v>863</v>
      </c>
      <c r="AF3" s="49" t="s">
        <v>863</v>
      </c>
      <c r="AG3" s="49" t="s">
        <v>862</v>
      </c>
    </row>
    <row r="4" spans="1:33" x14ac:dyDescent="0.25">
      <c r="A4" s="40">
        <v>2000003</v>
      </c>
      <c r="B4" s="40" t="s">
        <v>4466</v>
      </c>
      <c r="C4" s="41" t="s">
        <v>787</v>
      </c>
      <c r="D4" s="44">
        <v>-2395.8000000000002</v>
      </c>
      <c r="E4" s="41" t="s">
        <v>1033</v>
      </c>
      <c r="F4" s="41" t="s">
        <v>1050</v>
      </c>
      <c r="G4" s="41" t="s">
        <v>26</v>
      </c>
      <c r="H4" s="41" t="s">
        <v>1042</v>
      </c>
      <c r="I4" s="43">
        <v>45627</v>
      </c>
      <c r="J4" s="41" t="s">
        <v>830</v>
      </c>
      <c r="K4" s="41" t="s">
        <v>834</v>
      </c>
      <c r="L4" s="41" t="s">
        <v>835</v>
      </c>
      <c r="M4" s="41" t="s">
        <v>839</v>
      </c>
      <c r="N4" s="41" t="s">
        <v>854</v>
      </c>
      <c r="O4" s="48">
        <v>0</v>
      </c>
      <c r="P4" s="41" t="s">
        <v>855</v>
      </c>
      <c r="Q4" s="41" t="s">
        <v>858</v>
      </c>
      <c r="R4" s="41" t="s">
        <v>915</v>
      </c>
      <c r="S4" s="41" t="s">
        <v>863</v>
      </c>
      <c r="T4" s="41" t="s">
        <v>863</v>
      </c>
      <c r="U4" s="49" t="s">
        <v>863</v>
      </c>
      <c r="V4" s="49" t="s">
        <v>863</v>
      </c>
      <c r="W4" s="49" t="s">
        <v>863</v>
      </c>
      <c r="X4" s="49" t="s">
        <v>863</v>
      </c>
      <c r="Y4" s="49" t="s">
        <v>863</v>
      </c>
      <c r="Z4" s="49" t="s">
        <v>863</v>
      </c>
      <c r="AA4" s="49" t="s">
        <v>863</v>
      </c>
      <c r="AB4" s="49" t="s">
        <v>863</v>
      </c>
      <c r="AC4" s="49" t="s">
        <v>866</v>
      </c>
      <c r="AD4" s="49" t="s">
        <v>866</v>
      </c>
      <c r="AE4" s="49" t="s">
        <v>866</v>
      </c>
      <c r="AF4" s="49" t="s">
        <v>867</v>
      </c>
      <c r="AG4" s="49" t="s">
        <v>862</v>
      </c>
    </row>
    <row r="5" spans="1:33" x14ac:dyDescent="0.25">
      <c r="A5" s="40">
        <v>2000004</v>
      </c>
      <c r="B5" s="40" t="s">
        <v>144</v>
      </c>
      <c r="C5" s="41" t="s">
        <v>917</v>
      </c>
      <c r="D5" s="44">
        <v>-87051.38</v>
      </c>
      <c r="E5" s="41" t="s">
        <v>1033</v>
      </c>
      <c r="F5" s="41" t="s">
        <v>813</v>
      </c>
      <c r="G5" s="41" t="s">
        <v>26</v>
      </c>
      <c r="H5" s="41" t="s">
        <v>790</v>
      </c>
      <c r="I5" s="43">
        <v>45505</v>
      </c>
      <c r="J5" s="41" t="s">
        <v>830</v>
      </c>
      <c r="K5" s="41" t="s">
        <v>834</v>
      </c>
      <c r="L5" s="41" t="s">
        <v>835</v>
      </c>
      <c r="M5" s="41" t="s">
        <v>836</v>
      </c>
      <c r="N5" s="41" t="s">
        <v>854</v>
      </c>
      <c r="O5" s="48">
        <v>0</v>
      </c>
      <c r="P5" s="41" t="s">
        <v>855</v>
      </c>
      <c r="Q5" s="41" t="s">
        <v>857</v>
      </c>
      <c r="R5" s="41" t="s">
        <v>1068</v>
      </c>
      <c r="S5" s="41" t="s">
        <v>863</v>
      </c>
      <c r="T5" s="41" t="s">
        <v>863</v>
      </c>
      <c r="U5" s="49" t="s">
        <v>863</v>
      </c>
      <c r="V5" s="49" t="s">
        <v>863</v>
      </c>
      <c r="W5" s="49" t="s">
        <v>863</v>
      </c>
      <c r="X5" s="49" t="s">
        <v>869</v>
      </c>
      <c r="Y5" s="49" t="s">
        <v>869</v>
      </c>
      <c r="Z5" s="49" t="s">
        <v>869</v>
      </c>
      <c r="AA5" s="49" t="s">
        <v>860</v>
      </c>
      <c r="AB5" s="49" t="s">
        <v>868</v>
      </c>
      <c r="AC5" s="49" t="s">
        <v>868</v>
      </c>
      <c r="AD5" s="49" t="s">
        <v>868</v>
      </c>
      <c r="AE5" s="49" t="s">
        <v>868</v>
      </c>
      <c r="AF5" s="49" t="s">
        <v>867</v>
      </c>
      <c r="AG5" s="49" t="s">
        <v>862</v>
      </c>
    </row>
    <row r="6" spans="1:33" x14ac:dyDescent="0.25">
      <c r="A6" s="40">
        <v>2000005</v>
      </c>
      <c r="B6" s="40" t="s">
        <v>4467</v>
      </c>
      <c r="C6" s="41" t="s">
        <v>787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1032</v>
      </c>
      <c r="F6" s="41" t="s">
        <v>814</v>
      </c>
      <c r="G6" s="42" t="s">
        <v>805</v>
      </c>
      <c r="H6" s="41" t="s">
        <v>791</v>
      </c>
      <c r="I6" s="43">
        <v>45383</v>
      </c>
      <c r="J6" s="41" t="s">
        <v>830</v>
      </c>
      <c r="K6" s="41" t="s">
        <v>834</v>
      </c>
      <c r="L6" s="41" t="s">
        <v>835</v>
      </c>
      <c r="M6" s="41" t="s">
        <v>840</v>
      </c>
      <c r="N6" s="41" t="s">
        <v>854</v>
      </c>
      <c r="O6" s="48">
        <v>1</v>
      </c>
      <c r="P6" s="41" t="s">
        <v>856</v>
      </c>
      <c r="Q6" s="41" t="s">
        <v>1031</v>
      </c>
      <c r="R6" s="41" t="s">
        <v>922</v>
      </c>
      <c r="S6" s="41" t="s">
        <v>1039</v>
      </c>
      <c r="T6" s="41" t="s">
        <v>911</v>
      </c>
      <c r="U6" s="41" t="s">
        <v>870</v>
      </c>
      <c r="V6" s="41" t="s">
        <v>870</v>
      </c>
      <c r="W6" s="49" t="s">
        <v>870</v>
      </c>
      <c r="X6" s="49" t="s">
        <v>870</v>
      </c>
      <c r="Y6" s="49" t="s">
        <v>870</v>
      </c>
      <c r="Z6" s="49" t="s">
        <v>870</v>
      </c>
      <c r="AA6" s="49" t="s">
        <v>870</v>
      </c>
      <c r="AB6" s="49" t="s">
        <v>871</v>
      </c>
      <c r="AC6" s="49" t="s">
        <v>871</v>
      </c>
      <c r="AD6" s="49" t="s">
        <v>871</v>
      </c>
      <c r="AE6" s="49" t="s">
        <v>871</v>
      </c>
      <c r="AF6" s="49" t="s">
        <v>872</v>
      </c>
      <c r="AG6" s="49" t="s">
        <v>862</v>
      </c>
    </row>
    <row r="7" spans="1:33" x14ac:dyDescent="0.25">
      <c r="A7" s="40">
        <v>2000006</v>
      </c>
      <c r="B7" s="40" t="s">
        <v>568</v>
      </c>
      <c r="C7" s="41" t="s">
        <v>24</v>
      </c>
      <c r="D7" s="44">
        <v>-3373.92</v>
      </c>
      <c r="E7" s="41" t="s">
        <v>1033</v>
      </c>
      <c r="F7" s="41" t="s">
        <v>817</v>
      </c>
      <c r="G7" s="41" t="s">
        <v>26</v>
      </c>
      <c r="H7" s="41" t="s">
        <v>792</v>
      </c>
      <c r="I7" s="43">
        <v>45536</v>
      </c>
      <c r="J7" s="41" t="s">
        <v>830</v>
      </c>
      <c r="K7" s="41" t="s">
        <v>834</v>
      </c>
      <c r="L7" s="41" t="s">
        <v>835</v>
      </c>
      <c r="M7" s="41" t="s">
        <v>841</v>
      </c>
      <c r="N7" s="41" t="s">
        <v>854</v>
      </c>
      <c r="O7" s="48">
        <v>0</v>
      </c>
      <c r="P7" s="41" t="s">
        <v>856</v>
      </c>
      <c r="Q7" s="41" t="s">
        <v>1031</v>
      </c>
      <c r="R7" s="41" t="s">
        <v>1068</v>
      </c>
      <c r="S7" s="41" t="s">
        <v>863</v>
      </c>
      <c r="T7" s="41" t="s">
        <v>870</v>
      </c>
      <c r="U7" s="41" t="s">
        <v>870</v>
      </c>
      <c r="V7" s="41" t="s">
        <v>870</v>
      </c>
      <c r="W7" s="49" t="s">
        <v>873</v>
      </c>
      <c r="X7" s="49" t="s">
        <v>874</v>
      </c>
      <c r="Y7" s="49" t="s">
        <v>874</v>
      </c>
      <c r="Z7" s="49" t="s">
        <v>875</v>
      </c>
      <c r="AA7" s="49" t="s">
        <v>870</v>
      </c>
      <c r="AB7" s="49" t="s">
        <v>876</v>
      </c>
      <c r="AC7" s="49" t="s">
        <v>876</v>
      </c>
      <c r="AD7" s="49" t="s">
        <v>876</v>
      </c>
      <c r="AE7" s="49" t="s">
        <v>876</v>
      </c>
      <c r="AF7" s="49" t="s">
        <v>877</v>
      </c>
      <c r="AG7" s="49" t="s">
        <v>862</v>
      </c>
    </row>
    <row r="8" spans="1:33" x14ac:dyDescent="0.25">
      <c r="A8" s="40">
        <v>2000007</v>
      </c>
      <c r="B8" s="40" t="s">
        <v>4468</v>
      </c>
      <c r="C8" s="41" t="s">
        <v>786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1033</v>
      </c>
      <c r="F8" s="41" t="s">
        <v>818</v>
      </c>
      <c r="G8" s="41" t="s">
        <v>26</v>
      </c>
      <c r="H8" s="41" t="s">
        <v>1043</v>
      </c>
      <c r="I8" s="43">
        <v>45536</v>
      </c>
      <c r="J8" s="41" t="s">
        <v>830</v>
      </c>
      <c r="K8" s="41" t="s">
        <v>832</v>
      </c>
      <c r="L8" s="44">
        <v>300000</v>
      </c>
      <c r="M8" s="41" t="s">
        <v>842</v>
      </c>
      <c r="N8" s="41" t="s">
        <v>854</v>
      </c>
      <c r="O8" s="48">
        <v>1</v>
      </c>
      <c r="P8" s="41" t="s">
        <v>855</v>
      </c>
      <c r="Q8" s="41" t="s">
        <v>857</v>
      </c>
      <c r="R8" s="41" t="s">
        <v>1029</v>
      </c>
      <c r="S8" s="41" t="s">
        <v>863</v>
      </c>
      <c r="T8" s="41" t="s">
        <v>863</v>
      </c>
      <c r="U8" s="49" t="s">
        <v>863</v>
      </c>
      <c r="V8" s="49" t="s">
        <v>863</v>
      </c>
      <c r="W8" s="49" t="s">
        <v>878</v>
      </c>
      <c r="X8" s="49" t="s">
        <v>879</v>
      </c>
      <c r="Y8" s="49" t="s">
        <v>879</v>
      </c>
      <c r="Z8" s="49" t="s">
        <v>880</v>
      </c>
      <c r="AA8" s="49" t="s">
        <v>860</v>
      </c>
      <c r="AB8" s="49" t="s">
        <v>863</v>
      </c>
      <c r="AC8" s="49" t="s">
        <v>863</v>
      </c>
      <c r="AD8" s="49" t="s">
        <v>863</v>
      </c>
      <c r="AE8" s="49" t="s">
        <v>863</v>
      </c>
      <c r="AF8" s="49" t="s">
        <v>863</v>
      </c>
      <c r="AG8" s="49" t="s">
        <v>862</v>
      </c>
    </row>
    <row r="9" spans="1:33" x14ac:dyDescent="0.25">
      <c r="A9" s="40">
        <v>2000008</v>
      </c>
      <c r="B9" s="40" t="s">
        <v>36</v>
      </c>
      <c r="C9" s="41" t="s">
        <v>788</v>
      </c>
      <c r="D9" s="44">
        <f>SUMIF(CREANCES!$B$2:$B$99999,'INFO CLIENTS'!B9,CREANCES!$J$2:$J$99999) - SUMIF(CREANCES!$B$2:$B$99999,'INFO CLIENTS'!B9,CREANCES!$K$2:$K$99999)</f>
        <v>0</v>
      </c>
      <c r="E9" s="41" t="s">
        <v>1033</v>
      </c>
      <c r="F9" s="41" t="s">
        <v>1066</v>
      </c>
      <c r="G9" s="41" t="s">
        <v>26</v>
      </c>
      <c r="H9" s="41" t="s">
        <v>26</v>
      </c>
      <c r="I9" s="43">
        <v>42370</v>
      </c>
      <c r="J9" s="41" t="s">
        <v>830</v>
      </c>
      <c r="K9" s="41" t="s">
        <v>834</v>
      </c>
      <c r="L9" s="41" t="s">
        <v>835</v>
      </c>
      <c r="M9" s="41" t="s">
        <v>26</v>
      </c>
      <c r="N9" s="41" t="s">
        <v>854</v>
      </c>
      <c r="O9" s="48">
        <v>0</v>
      </c>
      <c r="P9" s="41" t="s">
        <v>855</v>
      </c>
      <c r="Q9" s="41" t="s">
        <v>1031</v>
      </c>
      <c r="R9" s="41" t="s">
        <v>915</v>
      </c>
      <c r="S9" s="41" t="s">
        <v>870</v>
      </c>
      <c r="T9" s="41" t="s">
        <v>863</v>
      </c>
      <c r="U9" s="49" t="s">
        <v>863</v>
      </c>
      <c r="V9" s="49" t="s">
        <v>863</v>
      </c>
      <c r="W9" s="49" t="s">
        <v>881</v>
      </c>
      <c r="X9" s="49" t="s">
        <v>882</v>
      </c>
      <c r="Y9" s="49" t="s">
        <v>882</v>
      </c>
      <c r="Z9" s="49" t="s">
        <v>860</v>
      </c>
      <c r="AA9" s="49" t="s">
        <v>861</v>
      </c>
      <c r="AB9" s="49" t="s">
        <v>883</v>
      </c>
      <c r="AC9" s="49" t="s">
        <v>883</v>
      </c>
      <c r="AD9" s="49" t="s">
        <v>883</v>
      </c>
      <c r="AE9" s="49" t="s">
        <v>883</v>
      </c>
      <c r="AF9" s="49" t="s">
        <v>884</v>
      </c>
      <c r="AG9" s="49" t="s">
        <v>862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1033</v>
      </c>
      <c r="F10" s="41" t="s">
        <v>819</v>
      </c>
      <c r="G10" s="42" t="s">
        <v>806</v>
      </c>
      <c r="H10" s="41" t="s">
        <v>793</v>
      </c>
      <c r="I10" s="43">
        <v>45292</v>
      </c>
      <c r="J10" s="44" t="s">
        <v>1070</v>
      </c>
      <c r="K10" s="41" t="s">
        <v>831</v>
      </c>
      <c r="L10" s="46">
        <v>500000</v>
      </c>
      <c r="M10" s="41" t="s">
        <v>843</v>
      </c>
      <c r="N10" s="41" t="s">
        <v>854</v>
      </c>
      <c r="O10" s="48">
        <v>1</v>
      </c>
      <c r="P10" s="41" t="s">
        <v>856</v>
      </c>
      <c r="Q10" s="41" t="s">
        <v>859</v>
      </c>
      <c r="R10" s="41" t="s">
        <v>1029</v>
      </c>
      <c r="S10" s="41" t="s">
        <v>870</v>
      </c>
      <c r="T10" s="41" t="s">
        <v>870</v>
      </c>
      <c r="U10" s="41" t="s">
        <v>870</v>
      </c>
      <c r="V10" s="41" t="s">
        <v>870</v>
      </c>
      <c r="W10" s="49" t="s">
        <v>885</v>
      </c>
      <c r="X10" s="49" t="s">
        <v>886</v>
      </c>
      <c r="Y10" s="49" t="s">
        <v>887</v>
      </c>
      <c r="Z10" s="49" t="s">
        <v>888</v>
      </c>
      <c r="AA10" s="49" t="s">
        <v>860</v>
      </c>
      <c r="AB10" s="49" t="s">
        <v>889</v>
      </c>
      <c r="AC10" s="49" t="s">
        <v>890</v>
      </c>
      <c r="AD10" s="49" t="s">
        <v>890</v>
      </c>
      <c r="AE10" s="49" t="s">
        <v>890</v>
      </c>
      <c r="AF10" s="49" t="s">
        <v>872</v>
      </c>
      <c r="AG10" s="49" t="s">
        <v>862</v>
      </c>
    </row>
    <row r="11" spans="1:33" x14ac:dyDescent="0.25">
      <c r="A11" s="40">
        <v>2000010</v>
      </c>
      <c r="B11" s="40" t="s">
        <v>4469</v>
      </c>
      <c r="C11" s="41" t="s">
        <v>24</v>
      </c>
      <c r="D11" s="44">
        <v>-38869.699999999997</v>
      </c>
      <c r="E11" s="41" t="s">
        <v>1033</v>
      </c>
      <c r="F11" s="41" t="s">
        <v>820</v>
      </c>
      <c r="G11" s="42" t="s">
        <v>807</v>
      </c>
      <c r="H11" s="41" t="s">
        <v>794</v>
      </c>
      <c r="I11" s="43">
        <v>45505</v>
      </c>
      <c r="J11" s="41" t="s">
        <v>830</v>
      </c>
      <c r="K11" s="41" t="s">
        <v>834</v>
      </c>
      <c r="L11" s="41" t="s">
        <v>835</v>
      </c>
      <c r="M11" s="41" t="s">
        <v>844</v>
      </c>
      <c r="N11" s="41" t="s">
        <v>854</v>
      </c>
      <c r="O11" s="48">
        <v>0</v>
      </c>
      <c r="P11" s="41" t="s">
        <v>856</v>
      </c>
      <c r="Q11" s="41" t="s">
        <v>1031</v>
      </c>
      <c r="R11" s="41" t="s">
        <v>915</v>
      </c>
      <c r="S11" s="41" t="s">
        <v>863</v>
      </c>
      <c r="T11" s="41" t="s">
        <v>870</v>
      </c>
      <c r="U11" s="41" t="s">
        <v>870</v>
      </c>
      <c r="V11" s="41" t="s">
        <v>870</v>
      </c>
      <c r="W11" s="49" t="s">
        <v>891</v>
      </c>
      <c r="X11" s="49" t="s">
        <v>892</v>
      </c>
      <c r="Y11" s="49" t="s">
        <v>892</v>
      </c>
      <c r="Z11" s="49" t="s">
        <v>893</v>
      </c>
      <c r="AA11" s="49" t="s">
        <v>860</v>
      </c>
      <c r="AB11" s="49" t="s">
        <v>894</v>
      </c>
      <c r="AC11" s="49" t="s">
        <v>894</v>
      </c>
      <c r="AD11" s="49" t="s">
        <v>894</v>
      </c>
      <c r="AE11" s="49" t="s">
        <v>894</v>
      </c>
      <c r="AF11" s="49" t="s">
        <v>877</v>
      </c>
      <c r="AG11" s="49" t="s">
        <v>862</v>
      </c>
    </row>
    <row r="12" spans="1:33" x14ac:dyDescent="0.25">
      <c r="A12" s="40">
        <v>2000011</v>
      </c>
      <c r="B12" s="40" t="s">
        <v>115</v>
      </c>
      <c r="C12" s="41" t="s">
        <v>24</v>
      </c>
      <c r="D12" s="44">
        <v>-67638.41</v>
      </c>
      <c r="E12" s="41" t="s">
        <v>1033</v>
      </c>
      <c r="F12" s="41" t="s">
        <v>821</v>
      </c>
      <c r="G12" s="41" t="s">
        <v>26</v>
      </c>
      <c r="H12" s="41" t="s">
        <v>795</v>
      </c>
      <c r="I12" s="43">
        <v>44927</v>
      </c>
      <c r="J12" s="41" t="s">
        <v>830</v>
      </c>
      <c r="K12" s="41" t="s">
        <v>834</v>
      </c>
      <c r="L12" s="41" t="s">
        <v>835</v>
      </c>
      <c r="M12" s="41" t="s">
        <v>845</v>
      </c>
      <c r="N12" s="41" t="s">
        <v>854</v>
      </c>
      <c r="O12" s="48">
        <v>0</v>
      </c>
      <c r="P12" s="41" t="s">
        <v>855</v>
      </c>
      <c r="Q12" s="41" t="s">
        <v>1031</v>
      </c>
      <c r="R12" s="41" t="s">
        <v>1068</v>
      </c>
      <c r="S12" s="41" t="s">
        <v>870</v>
      </c>
      <c r="T12" s="41" t="s">
        <v>863</v>
      </c>
      <c r="U12" s="49" t="s">
        <v>863</v>
      </c>
      <c r="V12" s="49" t="s">
        <v>863</v>
      </c>
      <c r="W12" s="49" t="s">
        <v>868</v>
      </c>
      <c r="X12" s="49" t="s">
        <v>879</v>
      </c>
      <c r="Y12" s="49" t="s">
        <v>879</v>
      </c>
      <c r="Z12" s="49" t="s">
        <v>895</v>
      </c>
      <c r="AA12" s="49" t="s">
        <v>860</v>
      </c>
      <c r="AB12" s="49" t="s">
        <v>866</v>
      </c>
      <c r="AC12" s="49" t="s">
        <v>866</v>
      </c>
      <c r="AD12" s="49" t="s">
        <v>866</v>
      </c>
      <c r="AE12" s="49" t="s">
        <v>866</v>
      </c>
      <c r="AF12" s="49" t="s">
        <v>867</v>
      </c>
      <c r="AG12" s="49" t="s">
        <v>862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v>-31356.48</v>
      </c>
      <c r="E13" s="41" t="s">
        <v>1033</v>
      </c>
      <c r="F13" s="41" t="s">
        <v>824</v>
      </c>
      <c r="G13" s="42" t="s">
        <v>808</v>
      </c>
      <c r="H13" s="41" t="s">
        <v>796</v>
      </c>
      <c r="I13" s="43">
        <v>42736</v>
      </c>
      <c r="J13" s="41" t="s">
        <v>830</v>
      </c>
      <c r="K13" s="41" t="s">
        <v>834</v>
      </c>
      <c r="L13" s="41" t="s">
        <v>835</v>
      </c>
      <c r="M13" s="41" t="s">
        <v>846</v>
      </c>
      <c r="N13" s="41" t="s">
        <v>854</v>
      </c>
      <c r="O13" s="48">
        <v>0</v>
      </c>
      <c r="P13" s="41" t="s">
        <v>856</v>
      </c>
      <c r="Q13" s="41" t="s">
        <v>1031</v>
      </c>
      <c r="R13" s="41" t="s">
        <v>1069</v>
      </c>
      <c r="S13" s="41" t="s">
        <v>863</v>
      </c>
      <c r="T13" s="41" t="s">
        <v>870</v>
      </c>
      <c r="U13" s="41" t="s">
        <v>870</v>
      </c>
      <c r="V13" s="41" t="s">
        <v>870</v>
      </c>
      <c r="W13" s="49" t="s">
        <v>873</v>
      </c>
      <c r="X13" s="49" t="s">
        <v>874</v>
      </c>
      <c r="Y13" s="49" t="s">
        <v>874</v>
      </c>
      <c r="Z13" s="49" t="s">
        <v>875</v>
      </c>
      <c r="AA13" s="49" t="s">
        <v>870</v>
      </c>
      <c r="AB13" s="49" t="s">
        <v>876</v>
      </c>
      <c r="AC13" s="49" t="s">
        <v>876</v>
      </c>
      <c r="AD13" s="49" t="s">
        <v>876</v>
      </c>
      <c r="AE13" s="49" t="s">
        <v>876</v>
      </c>
      <c r="AF13" s="49" t="s">
        <v>877</v>
      </c>
      <c r="AG13" s="49" t="s">
        <v>862</v>
      </c>
    </row>
    <row r="14" spans="1:33" x14ac:dyDescent="0.25">
      <c r="A14" s="40">
        <v>2000013</v>
      </c>
      <c r="B14" s="40" t="s">
        <v>1052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1033</v>
      </c>
      <c r="F14" s="41" t="s">
        <v>824</v>
      </c>
      <c r="G14" s="42" t="s">
        <v>808</v>
      </c>
      <c r="H14" s="41" t="s">
        <v>796</v>
      </c>
      <c r="I14" s="43">
        <v>42736</v>
      </c>
      <c r="J14" s="41" t="s">
        <v>830</v>
      </c>
      <c r="K14" s="41" t="s">
        <v>834</v>
      </c>
      <c r="L14" s="41" t="s">
        <v>835</v>
      </c>
      <c r="M14" s="41" t="s">
        <v>846</v>
      </c>
      <c r="N14" s="41" t="s">
        <v>854</v>
      </c>
      <c r="O14" s="48">
        <v>1</v>
      </c>
      <c r="P14" s="41" t="s">
        <v>856</v>
      </c>
      <c r="Q14" s="41" t="s">
        <v>1031</v>
      </c>
      <c r="R14" s="41" t="s">
        <v>1068</v>
      </c>
      <c r="S14" s="41" t="s">
        <v>863</v>
      </c>
      <c r="T14" s="41" t="s">
        <v>870</v>
      </c>
      <c r="U14" s="41" t="s">
        <v>870</v>
      </c>
      <c r="V14" s="41" t="s">
        <v>870</v>
      </c>
      <c r="W14" s="49" t="s">
        <v>873</v>
      </c>
      <c r="X14" s="49" t="s">
        <v>874</v>
      </c>
      <c r="Y14" s="49" t="s">
        <v>874</v>
      </c>
      <c r="Z14" s="49" t="s">
        <v>875</v>
      </c>
      <c r="AA14" s="49" t="s">
        <v>870</v>
      </c>
      <c r="AB14" s="49" t="s">
        <v>876</v>
      </c>
      <c r="AC14" s="49" t="s">
        <v>876</v>
      </c>
      <c r="AD14" s="49" t="s">
        <v>876</v>
      </c>
      <c r="AE14" s="49" t="s">
        <v>876</v>
      </c>
      <c r="AF14" s="49" t="s">
        <v>877</v>
      </c>
      <c r="AG14" s="49" t="s">
        <v>862</v>
      </c>
    </row>
    <row r="15" spans="1:33" x14ac:dyDescent="0.25">
      <c r="A15" s="40">
        <v>2000014</v>
      </c>
      <c r="B15" s="40" t="s">
        <v>4470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1033</v>
      </c>
      <c r="F15" s="41" t="s">
        <v>822</v>
      </c>
      <c r="G15" s="42" t="s">
        <v>809</v>
      </c>
      <c r="H15" s="41" t="s">
        <v>1044</v>
      </c>
      <c r="I15" s="43">
        <v>42736</v>
      </c>
      <c r="J15" s="44" t="s">
        <v>1070</v>
      </c>
      <c r="K15" s="41" t="s">
        <v>831</v>
      </c>
      <c r="L15" s="46">
        <v>600000</v>
      </c>
      <c r="M15" s="41" t="s">
        <v>847</v>
      </c>
      <c r="N15" s="41" t="s">
        <v>854</v>
      </c>
      <c r="O15" s="48">
        <v>0.7</v>
      </c>
      <c r="P15" s="41" t="s">
        <v>855</v>
      </c>
      <c r="Q15" s="41" t="s">
        <v>857</v>
      </c>
      <c r="R15" s="41" t="s">
        <v>1029</v>
      </c>
      <c r="S15" s="41" t="s">
        <v>870</v>
      </c>
      <c r="T15" s="41" t="s">
        <v>863</v>
      </c>
      <c r="U15" s="49" t="s">
        <v>863</v>
      </c>
      <c r="V15" s="49" t="s">
        <v>863</v>
      </c>
      <c r="W15" s="49" t="s">
        <v>896</v>
      </c>
      <c r="X15" s="49" t="s">
        <v>897</v>
      </c>
      <c r="Y15" s="49" t="s">
        <v>898</v>
      </c>
      <c r="Z15" s="49" t="s">
        <v>895</v>
      </c>
      <c r="AA15" s="49" t="s">
        <v>909</v>
      </c>
      <c r="AB15" s="49" t="s">
        <v>899</v>
      </c>
      <c r="AC15" s="49" t="s">
        <v>899</v>
      </c>
      <c r="AD15" s="49" t="s">
        <v>899</v>
      </c>
      <c r="AE15" s="49" t="s">
        <v>899</v>
      </c>
      <c r="AF15" s="49" t="s">
        <v>867</v>
      </c>
      <c r="AG15" s="49" t="s">
        <v>862</v>
      </c>
    </row>
    <row r="16" spans="1:33" x14ac:dyDescent="0.25">
      <c r="A16" s="40">
        <v>2000015</v>
      </c>
      <c r="B16" s="40" t="s">
        <v>4444</v>
      </c>
      <c r="C16" s="41" t="s">
        <v>786</v>
      </c>
      <c r="D16" s="44">
        <f>SUMIF(CREANCES!$B$2:$B$99999,'INFO CLIENTS'!B16,CREANCES!$J$2:$J$99999) - SUMIF(CREANCES!$B$2:$B$99999,'INFO CLIENTS'!B16,CREANCES!$K$2:$K$99999)</f>
        <v>613517.15300000086</v>
      </c>
      <c r="E16" s="41" t="s">
        <v>1032</v>
      </c>
      <c r="F16" s="41" t="s">
        <v>823</v>
      </c>
      <c r="G16" s="42" t="s">
        <v>810</v>
      </c>
      <c r="H16" s="41" t="s">
        <v>797</v>
      </c>
      <c r="I16" s="43">
        <v>44562</v>
      </c>
      <c r="J16" s="41" t="s">
        <v>830</v>
      </c>
      <c r="K16" s="41" t="s">
        <v>832</v>
      </c>
      <c r="L16" s="44">
        <v>400000</v>
      </c>
      <c r="M16" s="41" t="s">
        <v>848</v>
      </c>
      <c r="N16" s="41" t="s">
        <v>854</v>
      </c>
      <c r="O16" s="48">
        <v>1</v>
      </c>
      <c r="P16" s="41" t="s">
        <v>855</v>
      </c>
      <c r="Q16" s="41" t="s">
        <v>857</v>
      </c>
      <c r="R16" s="41" t="s">
        <v>1029</v>
      </c>
      <c r="S16" s="41" t="s">
        <v>869</v>
      </c>
      <c r="T16" s="41" t="s">
        <v>912</v>
      </c>
      <c r="U16" s="49" t="s">
        <v>863</v>
      </c>
      <c r="V16" s="49" t="s">
        <v>863</v>
      </c>
      <c r="W16" s="49" t="s">
        <v>866</v>
      </c>
      <c r="X16" s="49" t="s">
        <v>860</v>
      </c>
      <c r="Y16" s="49" t="s">
        <v>900</v>
      </c>
      <c r="Z16" s="49" t="s">
        <v>880</v>
      </c>
      <c r="AA16" s="49" t="s">
        <v>863</v>
      </c>
      <c r="AB16" s="49" t="s">
        <v>901</v>
      </c>
      <c r="AC16" s="49" t="s">
        <v>901</v>
      </c>
      <c r="AD16" s="49" t="s">
        <v>881</v>
      </c>
      <c r="AE16" s="49" t="s">
        <v>866</v>
      </c>
      <c r="AF16" s="49" t="s">
        <v>902</v>
      </c>
      <c r="AG16" s="49" t="s">
        <v>862</v>
      </c>
    </row>
    <row r="17" spans="1:33" x14ac:dyDescent="0.25">
      <c r="A17" s="40">
        <v>2000016</v>
      </c>
      <c r="B17" s="40" t="s">
        <v>166</v>
      </c>
      <c r="C17" s="41" t="s">
        <v>24</v>
      </c>
      <c r="D17" s="44">
        <v>-9285.86</v>
      </c>
      <c r="E17" s="41" t="s">
        <v>1033</v>
      </c>
      <c r="F17" s="41" t="s">
        <v>825</v>
      </c>
      <c r="G17" s="41" t="s">
        <v>26</v>
      </c>
      <c r="H17" s="41" t="s">
        <v>798</v>
      </c>
      <c r="I17" s="43">
        <v>44927</v>
      </c>
      <c r="J17" s="41" t="s">
        <v>830</v>
      </c>
      <c r="K17" s="41" t="s">
        <v>834</v>
      </c>
      <c r="L17" s="41" t="s">
        <v>835</v>
      </c>
      <c r="M17" s="41" t="s">
        <v>849</v>
      </c>
      <c r="N17" s="41" t="s">
        <v>854</v>
      </c>
      <c r="O17" s="48">
        <v>0</v>
      </c>
      <c r="P17" s="41" t="s">
        <v>856</v>
      </c>
      <c r="Q17" s="41" t="s">
        <v>857</v>
      </c>
      <c r="R17" s="41" t="s">
        <v>915</v>
      </c>
      <c r="S17" s="41" t="s">
        <v>870</v>
      </c>
      <c r="T17" s="41" t="s">
        <v>870</v>
      </c>
      <c r="U17" s="41" t="s">
        <v>870</v>
      </c>
      <c r="V17" s="41" t="s">
        <v>870</v>
      </c>
      <c r="W17" s="49" t="s">
        <v>873</v>
      </c>
      <c r="X17" s="49" t="s">
        <v>874</v>
      </c>
      <c r="Y17" s="49" t="s">
        <v>874</v>
      </c>
      <c r="Z17" s="49" t="s">
        <v>875</v>
      </c>
      <c r="AA17" s="49" t="s">
        <v>870</v>
      </c>
      <c r="AB17" s="49" t="s">
        <v>876</v>
      </c>
      <c r="AC17" s="49" t="s">
        <v>876</v>
      </c>
      <c r="AD17" s="49" t="s">
        <v>876</v>
      </c>
      <c r="AE17" s="49" t="s">
        <v>876</v>
      </c>
      <c r="AF17" s="49" t="s">
        <v>877</v>
      </c>
      <c r="AG17" s="49" t="s">
        <v>862</v>
      </c>
    </row>
    <row r="18" spans="1:33" x14ac:dyDescent="0.25">
      <c r="A18" s="40">
        <v>2000017</v>
      </c>
      <c r="B18" s="40" t="s">
        <v>4443</v>
      </c>
      <c r="C18" s="41" t="s">
        <v>786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1032</v>
      </c>
      <c r="F18" s="41" t="s">
        <v>826</v>
      </c>
      <c r="G18" s="42" t="s">
        <v>811</v>
      </c>
      <c r="H18" s="41" t="s">
        <v>799</v>
      </c>
      <c r="I18" s="43">
        <v>44562</v>
      </c>
      <c r="J18" s="41" t="s">
        <v>830</v>
      </c>
      <c r="K18" s="41" t="s">
        <v>833</v>
      </c>
      <c r="L18" s="41" t="s">
        <v>835</v>
      </c>
      <c r="M18" s="41" t="s">
        <v>850</v>
      </c>
      <c r="N18" s="41" t="s">
        <v>854</v>
      </c>
      <c r="O18" s="48">
        <v>1</v>
      </c>
      <c r="P18" s="41" t="s">
        <v>855</v>
      </c>
      <c r="Q18" s="41" t="s">
        <v>857</v>
      </c>
      <c r="R18" s="41" t="s">
        <v>1029</v>
      </c>
      <c r="S18" s="41" t="s">
        <v>1035</v>
      </c>
      <c r="T18" s="41" t="s">
        <v>913</v>
      </c>
      <c r="U18" s="49" t="s">
        <v>863</v>
      </c>
      <c r="V18" s="49" t="s">
        <v>863</v>
      </c>
      <c r="W18" s="49" t="s">
        <v>863</v>
      </c>
      <c r="X18" s="49" t="s">
        <v>865</v>
      </c>
      <c r="Y18" s="49" t="s">
        <v>903</v>
      </c>
      <c r="Z18" s="49" t="s">
        <v>860</v>
      </c>
      <c r="AA18" s="49" t="s">
        <v>863</v>
      </c>
      <c r="AB18" s="49" t="s">
        <v>863</v>
      </c>
      <c r="AC18" s="49" t="s">
        <v>863</v>
      </c>
      <c r="AD18" s="49" t="s">
        <v>863</v>
      </c>
      <c r="AE18" s="49" t="s">
        <v>863</v>
      </c>
      <c r="AF18" s="49" t="s">
        <v>863</v>
      </c>
      <c r="AG18" s="49" t="s">
        <v>862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v>-32116.5</v>
      </c>
      <c r="E19" s="41" t="s">
        <v>1033</v>
      </c>
      <c r="F19" s="41" t="s">
        <v>827</v>
      </c>
      <c r="G19" s="41" t="s">
        <v>26</v>
      </c>
      <c r="H19" s="41" t="s">
        <v>800</v>
      </c>
      <c r="I19" s="43">
        <v>44562</v>
      </c>
      <c r="J19" s="41" t="s">
        <v>830</v>
      </c>
      <c r="K19" s="41" t="s">
        <v>834</v>
      </c>
      <c r="L19" s="41" t="s">
        <v>835</v>
      </c>
      <c r="M19" s="41" t="s">
        <v>851</v>
      </c>
      <c r="N19" s="41" t="s">
        <v>854</v>
      </c>
      <c r="O19" s="48">
        <v>0</v>
      </c>
      <c r="P19" s="41" t="s">
        <v>856</v>
      </c>
      <c r="Q19" s="41" t="s">
        <v>1031</v>
      </c>
      <c r="R19" s="41" t="s">
        <v>1068</v>
      </c>
      <c r="S19" s="41" t="s">
        <v>863</v>
      </c>
      <c r="T19" s="41" t="s">
        <v>870</v>
      </c>
      <c r="U19" s="41" t="s">
        <v>870</v>
      </c>
      <c r="V19" s="41" t="s">
        <v>870</v>
      </c>
      <c r="W19" s="49" t="s">
        <v>873</v>
      </c>
      <c r="X19" s="49" t="s">
        <v>874</v>
      </c>
      <c r="Y19" s="49" t="s">
        <v>874</v>
      </c>
      <c r="Z19" s="49" t="s">
        <v>875</v>
      </c>
      <c r="AA19" s="49" t="s">
        <v>870</v>
      </c>
      <c r="AB19" s="49" t="s">
        <v>876</v>
      </c>
      <c r="AC19" s="49" t="s">
        <v>876</v>
      </c>
      <c r="AD19" s="49" t="s">
        <v>876</v>
      </c>
      <c r="AE19" s="49" t="s">
        <v>876</v>
      </c>
      <c r="AF19" s="49" t="s">
        <v>877</v>
      </c>
      <c r="AG19" s="49" t="s">
        <v>862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v>-7704.34</v>
      </c>
      <c r="E20" s="41" t="s">
        <v>1033</v>
      </c>
      <c r="F20" s="41" t="s">
        <v>828</v>
      </c>
      <c r="G20" s="41" t="s">
        <v>26</v>
      </c>
      <c r="H20" s="41" t="s">
        <v>801</v>
      </c>
      <c r="I20" s="43">
        <v>44927</v>
      </c>
      <c r="J20" s="41" t="s">
        <v>830</v>
      </c>
      <c r="K20" s="41" t="s">
        <v>834</v>
      </c>
      <c r="L20" s="41" t="s">
        <v>835</v>
      </c>
      <c r="M20" s="41" t="s">
        <v>852</v>
      </c>
      <c r="N20" s="41" t="s">
        <v>854</v>
      </c>
      <c r="O20" s="48">
        <v>0</v>
      </c>
      <c r="P20" s="41" t="s">
        <v>856</v>
      </c>
      <c r="Q20" s="41" t="s">
        <v>857</v>
      </c>
      <c r="R20" s="41" t="s">
        <v>1068</v>
      </c>
      <c r="S20" s="41" t="s">
        <v>863</v>
      </c>
      <c r="T20" s="41" t="s">
        <v>870</v>
      </c>
      <c r="U20" s="41" t="s">
        <v>870</v>
      </c>
      <c r="V20" s="41" t="s">
        <v>870</v>
      </c>
      <c r="W20" s="49" t="s">
        <v>904</v>
      </c>
      <c r="X20" s="49" t="s">
        <v>905</v>
      </c>
      <c r="Y20" s="49" t="s">
        <v>905</v>
      </c>
      <c r="Z20" s="49" t="s">
        <v>906</v>
      </c>
      <c r="AA20" s="49" t="s">
        <v>860</v>
      </c>
      <c r="AB20" s="49" t="s">
        <v>907</v>
      </c>
      <c r="AC20" s="49" t="s">
        <v>907</v>
      </c>
      <c r="AD20" s="49" t="s">
        <v>907</v>
      </c>
      <c r="AE20" s="49" t="s">
        <v>907</v>
      </c>
      <c r="AF20" s="49" t="s">
        <v>908</v>
      </c>
      <c r="AG20" s="49" t="s">
        <v>862</v>
      </c>
    </row>
    <row r="21" spans="1:33" x14ac:dyDescent="0.25">
      <c r="A21" s="40">
        <v>2000020</v>
      </c>
      <c r="B21" s="40" t="s">
        <v>143</v>
      </c>
      <c r="C21" s="41" t="s">
        <v>24</v>
      </c>
      <c r="D21" s="44">
        <v>-25939.82</v>
      </c>
      <c r="E21" s="41" t="s">
        <v>1033</v>
      </c>
      <c r="F21" s="41" t="s">
        <v>829</v>
      </c>
      <c r="G21" s="42" t="s">
        <v>812</v>
      </c>
      <c r="H21" s="41" t="s">
        <v>802</v>
      </c>
      <c r="I21" s="43">
        <v>45017</v>
      </c>
      <c r="J21" s="41" t="s">
        <v>830</v>
      </c>
      <c r="K21" s="41" t="s">
        <v>834</v>
      </c>
      <c r="L21" s="41" t="s">
        <v>835</v>
      </c>
      <c r="M21" s="47" t="s">
        <v>853</v>
      </c>
      <c r="N21" s="41" t="s">
        <v>854</v>
      </c>
      <c r="O21" s="48">
        <v>0</v>
      </c>
      <c r="P21" s="41" t="s">
        <v>855</v>
      </c>
      <c r="Q21" s="41" t="s">
        <v>857</v>
      </c>
      <c r="R21" s="41" t="s">
        <v>1068</v>
      </c>
      <c r="S21" s="41" t="s">
        <v>870</v>
      </c>
      <c r="T21" s="41" t="s">
        <v>863</v>
      </c>
      <c r="U21" s="49" t="s">
        <v>863</v>
      </c>
      <c r="V21" s="49" t="s">
        <v>863</v>
      </c>
      <c r="W21" s="49" t="s">
        <v>863</v>
      </c>
      <c r="X21" s="49" t="s">
        <v>869</v>
      </c>
      <c r="Y21" s="49" t="s">
        <v>869</v>
      </c>
      <c r="Z21" s="49" t="s">
        <v>869</v>
      </c>
      <c r="AA21" s="49" t="s">
        <v>860</v>
      </c>
      <c r="AB21" s="49" t="s">
        <v>868</v>
      </c>
      <c r="AC21" s="49" t="s">
        <v>868</v>
      </c>
      <c r="AD21" s="49" t="s">
        <v>868</v>
      </c>
      <c r="AE21" s="49" t="s">
        <v>868</v>
      </c>
      <c r="AF21" s="49" t="s">
        <v>867</v>
      </c>
      <c r="AG21" s="49" t="s">
        <v>862</v>
      </c>
    </row>
    <row r="22" spans="1:33" x14ac:dyDescent="0.25">
      <c r="A22" s="40">
        <v>2000021</v>
      </c>
      <c r="B22" s="40" t="s">
        <v>4471</v>
      </c>
      <c r="C22" s="41" t="s">
        <v>917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1033</v>
      </c>
      <c r="F22" s="41" t="s">
        <v>1067</v>
      </c>
      <c r="G22" s="50" t="s">
        <v>919</v>
      </c>
      <c r="H22" s="41" t="s">
        <v>920</v>
      </c>
      <c r="I22" s="43">
        <v>45658</v>
      </c>
      <c r="J22" s="41" t="s">
        <v>830</v>
      </c>
      <c r="K22" s="41" t="s">
        <v>834</v>
      </c>
      <c r="L22" s="44">
        <f>72000/1.2</f>
        <v>60000</v>
      </c>
      <c r="M22" s="47" t="s">
        <v>921</v>
      </c>
      <c r="N22" s="41" t="s">
        <v>854</v>
      </c>
      <c r="O22" s="48">
        <v>1</v>
      </c>
      <c r="P22" s="41" t="s">
        <v>855</v>
      </c>
      <c r="Q22" s="41" t="s">
        <v>1031</v>
      </c>
      <c r="R22" s="41" t="s">
        <v>922</v>
      </c>
      <c r="S22" s="41" t="s">
        <v>863</v>
      </c>
      <c r="T22" s="41" t="s">
        <v>863</v>
      </c>
      <c r="U22" s="49" t="s">
        <v>863</v>
      </c>
      <c r="V22" s="49" t="s">
        <v>863</v>
      </c>
      <c r="W22" s="49" t="s">
        <v>863</v>
      </c>
      <c r="X22" s="49" t="s">
        <v>863</v>
      </c>
      <c r="Y22" s="49" t="s">
        <v>863</v>
      </c>
      <c r="Z22" s="49" t="s">
        <v>863</v>
      </c>
      <c r="AA22" s="49" t="s">
        <v>863</v>
      </c>
      <c r="AB22" s="49" t="s">
        <v>863</v>
      </c>
      <c r="AC22" s="49" t="s">
        <v>863</v>
      </c>
      <c r="AD22" s="49" t="s">
        <v>863</v>
      </c>
      <c r="AE22" s="49" t="s">
        <v>863</v>
      </c>
      <c r="AF22" s="49" t="s">
        <v>867</v>
      </c>
      <c r="AG22" s="49" t="s">
        <v>863</v>
      </c>
    </row>
    <row r="23" spans="1:33" x14ac:dyDescent="0.25">
      <c r="A23" s="40">
        <v>2000022</v>
      </c>
      <c r="B23" s="40" t="s">
        <v>4472</v>
      </c>
      <c r="C23" s="41" t="s">
        <v>916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1033</v>
      </c>
      <c r="F23" s="41" t="s">
        <v>932</v>
      </c>
      <c r="G23" s="50" t="s">
        <v>26</v>
      </c>
      <c r="H23" s="41" t="s">
        <v>953</v>
      </c>
      <c r="I23" s="43">
        <v>44197</v>
      </c>
      <c r="J23" s="41" t="s">
        <v>830</v>
      </c>
      <c r="K23" s="41" t="s">
        <v>831</v>
      </c>
      <c r="L23" s="41" t="s">
        <v>835</v>
      </c>
      <c r="M23" s="47" t="s">
        <v>954</v>
      </c>
      <c r="N23" s="41" t="s">
        <v>1025</v>
      </c>
      <c r="O23" s="48">
        <v>1</v>
      </c>
      <c r="P23" s="41" t="s">
        <v>856</v>
      </c>
      <c r="Q23" s="41" t="s">
        <v>1031</v>
      </c>
      <c r="R23" s="41" t="s">
        <v>922</v>
      </c>
      <c r="S23" s="41" t="s">
        <v>870</v>
      </c>
      <c r="T23" s="41" t="s">
        <v>863</v>
      </c>
      <c r="U23" s="49" t="s">
        <v>863</v>
      </c>
      <c r="V23" s="49" t="s">
        <v>863</v>
      </c>
      <c r="W23" s="49" t="s">
        <v>863</v>
      </c>
      <c r="X23" s="49" t="s">
        <v>887</v>
      </c>
      <c r="Y23" s="49" t="s">
        <v>887</v>
      </c>
      <c r="Z23" s="49" t="s">
        <v>888</v>
      </c>
      <c r="AA23" s="49" t="s">
        <v>870</v>
      </c>
      <c r="AB23" s="49" t="s">
        <v>1010</v>
      </c>
      <c r="AC23" s="49" t="s">
        <v>1009</v>
      </c>
      <c r="AD23" s="49" t="s">
        <v>870</v>
      </c>
      <c r="AE23" s="49" t="s">
        <v>870</v>
      </c>
      <c r="AF23" s="49" t="s">
        <v>870</v>
      </c>
      <c r="AG23" s="49" t="s">
        <v>870</v>
      </c>
    </row>
    <row r="24" spans="1:33" x14ac:dyDescent="0.25">
      <c r="A24" s="40">
        <v>2000023</v>
      </c>
      <c r="B24" s="40" t="s">
        <v>923</v>
      </c>
      <c r="C24" s="41" t="s">
        <v>786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1032</v>
      </c>
      <c r="F24" s="41" t="s">
        <v>933</v>
      </c>
      <c r="G24" s="50" t="s">
        <v>955</v>
      </c>
      <c r="H24" s="41" t="s">
        <v>956</v>
      </c>
      <c r="I24" s="43">
        <v>44197</v>
      </c>
      <c r="J24" s="41" t="s">
        <v>830</v>
      </c>
      <c r="K24" s="41" t="s">
        <v>831</v>
      </c>
      <c r="L24" s="41" t="s">
        <v>835</v>
      </c>
      <c r="M24" s="47" t="s">
        <v>957</v>
      </c>
      <c r="N24" s="41" t="s">
        <v>1025</v>
      </c>
      <c r="O24" s="48">
        <v>1</v>
      </c>
      <c r="P24" s="41" t="s">
        <v>855</v>
      </c>
      <c r="Q24" s="41" t="s">
        <v>857</v>
      </c>
      <c r="R24" s="41" t="s">
        <v>1029</v>
      </c>
      <c r="S24" s="41" t="s">
        <v>884</v>
      </c>
      <c r="T24" s="41" t="s">
        <v>1034</v>
      </c>
      <c r="U24" s="49" t="s">
        <v>863</v>
      </c>
      <c r="V24" s="49" t="s">
        <v>863</v>
      </c>
      <c r="W24" s="49" t="s">
        <v>869</v>
      </c>
      <c r="X24" s="49" t="s">
        <v>903</v>
      </c>
      <c r="Y24" s="49" t="s">
        <v>903</v>
      </c>
      <c r="Z24" s="49" t="s">
        <v>860</v>
      </c>
      <c r="AA24" s="49" t="s">
        <v>863</v>
      </c>
      <c r="AB24" s="49" t="s">
        <v>863</v>
      </c>
      <c r="AC24" s="49" t="s">
        <v>863</v>
      </c>
      <c r="AD24" s="49" t="s">
        <v>863</v>
      </c>
      <c r="AE24" s="49" t="s">
        <v>863</v>
      </c>
      <c r="AF24" s="49" t="s">
        <v>863</v>
      </c>
      <c r="AG24" s="49" t="s">
        <v>863</v>
      </c>
    </row>
    <row r="25" spans="1:33" x14ac:dyDescent="0.25">
      <c r="A25" s="40">
        <v>2000024</v>
      </c>
      <c r="B25" s="40" t="s">
        <v>150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1033</v>
      </c>
      <c r="F25" s="41" t="s">
        <v>934</v>
      </c>
      <c r="G25" s="50" t="s">
        <v>958</v>
      </c>
      <c r="H25" s="41" t="s">
        <v>959</v>
      </c>
      <c r="I25" s="43">
        <v>44197</v>
      </c>
      <c r="J25" s="41" t="s">
        <v>830</v>
      </c>
      <c r="K25" s="41" t="s">
        <v>831</v>
      </c>
      <c r="L25" s="41" t="s">
        <v>835</v>
      </c>
      <c r="M25" s="47" t="s">
        <v>980</v>
      </c>
      <c r="N25" s="41" t="s">
        <v>1025</v>
      </c>
      <c r="O25" s="48">
        <v>1</v>
      </c>
      <c r="P25" s="41" t="s">
        <v>856</v>
      </c>
      <c r="Q25" s="41" t="s">
        <v>1031</v>
      </c>
      <c r="R25" s="41" t="s">
        <v>1029</v>
      </c>
      <c r="S25" s="41" t="s">
        <v>870</v>
      </c>
      <c r="T25" s="41" t="s">
        <v>870</v>
      </c>
      <c r="U25" s="41" t="s">
        <v>870</v>
      </c>
      <c r="V25" s="41" t="s">
        <v>870</v>
      </c>
      <c r="W25" s="49" t="s">
        <v>1011</v>
      </c>
      <c r="X25" s="49" t="s">
        <v>1012</v>
      </c>
      <c r="Y25" s="49" t="s">
        <v>1012</v>
      </c>
      <c r="Z25" s="49" t="s">
        <v>888</v>
      </c>
      <c r="AA25" s="49" t="s">
        <v>870</v>
      </c>
      <c r="AB25" s="49" t="s">
        <v>894</v>
      </c>
      <c r="AC25" s="49" t="s">
        <v>894</v>
      </c>
      <c r="AD25" s="49" t="s">
        <v>894</v>
      </c>
      <c r="AE25" s="49" t="s">
        <v>894</v>
      </c>
      <c r="AF25" s="49" t="s">
        <v>872</v>
      </c>
      <c r="AG25" s="49" t="s">
        <v>870</v>
      </c>
    </row>
    <row r="26" spans="1:33" x14ac:dyDescent="0.25">
      <c r="A26" s="40">
        <v>2000025</v>
      </c>
      <c r="B26" s="40" t="s">
        <v>142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1033</v>
      </c>
      <c r="F26" s="41" t="s">
        <v>817</v>
      </c>
      <c r="G26" s="50" t="s">
        <v>960</v>
      </c>
      <c r="H26" s="41" t="s">
        <v>792</v>
      </c>
      <c r="I26" s="43">
        <v>44197</v>
      </c>
      <c r="J26" s="41" t="s">
        <v>830</v>
      </c>
      <c r="K26" s="41" t="s">
        <v>831</v>
      </c>
      <c r="L26" s="41" t="s">
        <v>835</v>
      </c>
      <c r="M26" s="47" t="s">
        <v>841</v>
      </c>
      <c r="N26" s="41" t="s">
        <v>1026</v>
      </c>
      <c r="O26" s="48">
        <v>0.7</v>
      </c>
      <c r="P26" s="41" t="s">
        <v>856</v>
      </c>
      <c r="Q26" s="41" t="s">
        <v>1027</v>
      </c>
      <c r="R26" s="41" t="s">
        <v>1030</v>
      </c>
      <c r="S26" s="41" t="s">
        <v>870</v>
      </c>
      <c r="T26" s="41" t="s">
        <v>863</v>
      </c>
      <c r="U26" s="41" t="s">
        <v>870</v>
      </c>
      <c r="V26" s="41" t="s">
        <v>870</v>
      </c>
      <c r="W26" s="49" t="s">
        <v>1011</v>
      </c>
      <c r="X26" s="49" t="s">
        <v>865</v>
      </c>
      <c r="Y26" s="49" t="s">
        <v>1013</v>
      </c>
      <c r="Z26" s="49" t="s">
        <v>874</v>
      </c>
      <c r="AA26" s="49" t="s">
        <v>870</v>
      </c>
      <c r="AB26" s="49" t="s">
        <v>1014</v>
      </c>
      <c r="AC26" s="49" t="s">
        <v>1014</v>
      </c>
      <c r="AD26" s="49" t="s">
        <v>1014</v>
      </c>
      <c r="AE26" s="49" t="s">
        <v>1014</v>
      </c>
      <c r="AF26" s="49" t="s">
        <v>867</v>
      </c>
      <c r="AG26" s="49" t="s">
        <v>863</v>
      </c>
    </row>
    <row r="27" spans="1:33" x14ac:dyDescent="0.25">
      <c r="A27" s="40">
        <v>2000026</v>
      </c>
      <c r="B27" s="40" t="s">
        <v>924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1033</v>
      </c>
      <c r="F27" s="41" t="s">
        <v>1049</v>
      </c>
      <c r="G27" s="50" t="s">
        <v>26</v>
      </c>
      <c r="H27" s="41" t="s">
        <v>1048</v>
      </c>
      <c r="I27" s="43">
        <v>44197</v>
      </c>
      <c r="J27" s="41" t="s">
        <v>830</v>
      </c>
      <c r="K27" s="41" t="s">
        <v>831</v>
      </c>
      <c r="L27" s="41" t="s">
        <v>835</v>
      </c>
      <c r="M27" s="47" t="s">
        <v>981</v>
      </c>
      <c r="N27" s="41" t="s">
        <v>854</v>
      </c>
      <c r="O27" s="48">
        <v>0.5</v>
      </c>
      <c r="P27" s="41" t="s">
        <v>856</v>
      </c>
      <c r="Q27" s="41" t="s">
        <v>859</v>
      </c>
      <c r="R27" s="41" t="s">
        <v>1029</v>
      </c>
      <c r="S27" s="41" t="s">
        <v>870</v>
      </c>
      <c r="T27" s="41" t="s">
        <v>870</v>
      </c>
      <c r="U27" s="41" t="s">
        <v>1013</v>
      </c>
      <c r="V27" s="41" t="s">
        <v>870</v>
      </c>
      <c r="W27" s="49" t="s">
        <v>874</v>
      </c>
      <c r="X27" s="49" t="s">
        <v>1012</v>
      </c>
      <c r="Y27" s="49" t="s">
        <v>1012</v>
      </c>
      <c r="Z27" s="49" t="s">
        <v>1012</v>
      </c>
      <c r="AA27" s="49" t="s">
        <v>1012</v>
      </c>
      <c r="AB27" s="49" t="s">
        <v>874</v>
      </c>
      <c r="AC27" s="49" t="s">
        <v>874</v>
      </c>
      <c r="AD27" s="49" t="s">
        <v>874</v>
      </c>
      <c r="AE27" s="49" t="s">
        <v>874</v>
      </c>
      <c r="AF27" s="49" t="s">
        <v>872</v>
      </c>
      <c r="AG27" s="49" t="s">
        <v>870</v>
      </c>
    </row>
    <row r="28" spans="1:33" x14ac:dyDescent="0.25">
      <c r="A28" s="40">
        <v>2000027</v>
      </c>
      <c r="B28" s="40" t="s">
        <v>164</v>
      </c>
      <c r="C28" s="41" t="s">
        <v>916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1033</v>
      </c>
      <c r="F28" s="41" t="s">
        <v>935</v>
      </c>
      <c r="G28" s="50" t="s">
        <v>961</v>
      </c>
      <c r="H28" s="41" t="s">
        <v>962</v>
      </c>
      <c r="I28" s="43">
        <v>44197</v>
      </c>
      <c r="J28" s="41" t="s">
        <v>830</v>
      </c>
      <c r="K28" s="41" t="s">
        <v>831</v>
      </c>
      <c r="L28" s="41" t="s">
        <v>835</v>
      </c>
      <c r="M28" s="47" t="s">
        <v>982</v>
      </c>
      <c r="N28" s="41" t="s">
        <v>1026</v>
      </c>
      <c r="O28" s="48">
        <v>1</v>
      </c>
      <c r="P28" s="41" t="s">
        <v>856</v>
      </c>
      <c r="Q28" s="41" t="s">
        <v>859</v>
      </c>
      <c r="R28" s="41" t="s">
        <v>1029</v>
      </c>
      <c r="S28" s="41" t="s">
        <v>863</v>
      </c>
      <c r="T28" s="41" t="s">
        <v>870</v>
      </c>
      <c r="U28" s="41" t="s">
        <v>870</v>
      </c>
      <c r="V28" s="41" t="s">
        <v>870</v>
      </c>
      <c r="W28" s="49" t="s">
        <v>1009</v>
      </c>
      <c r="X28" s="49" t="s">
        <v>887</v>
      </c>
      <c r="Y28" s="49" t="s">
        <v>1012</v>
      </c>
      <c r="Z28" s="49" t="s">
        <v>886</v>
      </c>
      <c r="AA28" s="49" t="s">
        <v>870</v>
      </c>
      <c r="AB28" s="49" t="s">
        <v>1015</v>
      </c>
      <c r="AC28" s="49" t="s">
        <v>1015</v>
      </c>
      <c r="AD28" s="49" t="s">
        <v>1015</v>
      </c>
      <c r="AE28" s="49" t="s">
        <v>1015</v>
      </c>
      <c r="AF28" s="49" t="s">
        <v>872</v>
      </c>
      <c r="AG28" s="49" t="s">
        <v>870</v>
      </c>
    </row>
    <row r="29" spans="1:33" x14ac:dyDescent="0.25">
      <c r="A29" s="40">
        <v>2000028</v>
      </c>
      <c r="B29" s="40" t="s">
        <v>4473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1033</v>
      </c>
      <c r="F29" s="41" t="s">
        <v>936</v>
      </c>
      <c r="G29" s="50" t="s">
        <v>26</v>
      </c>
      <c r="H29" s="41" t="s">
        <v>963</v>
      </c>
      <c r="I29" s="43">
        <v>44197</v>
      </c>
      <c r="J29" s="41" t="s">
        <v>830</v>
      </c>
      <c r="K29" s="41" t="s">
        <v>831</v>
      </c>
      <c r="L29" s="41" t="s">
        <v>835</v>
      </c>
      <c r="M29" s="47" t="s">
        <v>983</v>
      </c>
      <c r="N29" s="41" t="s">
        <v>1026</v>
      </c>
      <c r="O29" s="48">
        <v>1</v>
      </c>
      <c r="P29" s="41" t="s">
        <v>856</v>
      </c>
      <c r="Q29" s="41" t="s">
        <v>859</v>
      </c>
      <c r="R29" s="41" t="s">
        <v>1029</v>
      </c>
      <c r="S29" s="41" t="s">
        <v>863</v>
      </c>
      <c r="T29" s="41" t="s">
        <v>870</v>
      </c>
      <c r="U29" s="41" t="s">
        <v>888</v>
      </c>
      <c r="V29" s="41" t="s">
        <v>870</v>
      </c>
      <c r="W29" s="49" t="s">
        <v>1009</v>
      </c>
      <c r="X29" s="49" t="s">
        <v>1017</v>
      </c>
      <c r="Y29" s="49" t="s">
        <v>1016</v>
      </c>
      <c r="Z29" s="49" t="s">
        <v>888</v>
      </c>
      <c r="AA29" s="49" t="s">
        <v>870</v>
      </c>
      <c r="AB29" s="49" t="s">
        <v>874</v>
      </c>
      <c r="AC29" s="49" t="s">
        <v>874</v>
      </c>
      <c r="AD29" s="49" t="s">
        <v>874</v>
      </c>
      <c r="AE29" s="49" t="s">
        <v>874</v>
      </c>
      <c r="AF29" s="49" t="s">
        <v>872</v>
      </c>
      <c r="AG29" s="49" t="s">
        <v>870</v>
      </c>
    </row>
    <row r="30" spans="1:33" x14ac:dyDescent="0.25">
      <c r="A30" s="40">
        <v>2000029</v>
      </c>
      <c r="B30" s="40" t="s">
        <v>151</v>
      </c>
      <c r="C30" s="41" t="s">
        <v>916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1033</v>
      </c>
      <c r="F30" s="41" t="s">
        <v>937</v>
      </c>
      <c r="G30" s="50" t="s">
        <v>26</v>
      </c>
      <c r="H30" s="41" t="s">
        <v>1045</v>
      </c>
      <c r="I30" s="43">
        <v>44197</v>
      </c>
      <c r="J30" s="41" t="s">
        <v>830</v>
      </c>
      <c r="K30" s="41" t="s">
        <v>831</v>
      </c>
      <c r="L30" s="41" t="s">
        <v>835</v>
      </c>
      <c r="M30" s="47" t="s">
        <v>984</v>
      </c>
      <c r="N30" s="41" t="s">
        <v>1026</v>
      </c>
      <c r="O30" s="48">
        <v>1</v>
      </c>
      <c r="P30" s="41" t="s">
        <v>856</v>
      </c>
      <c r="Q30" s="41" t="s">
        <v>1028</v>
      </c>
      <c r="R30" s="41" t="s">
        <v>1029</v>
      </c>
      <c r="S30" s="41" t="s">
        <v>863</v>
      </c>
      <c r="T30" s="41" t="s">
        <v>870</v>
      </c>
      <c r="U30" s="41" t="s">
        <v>870</v>
      </c>
      <c r="V30" s="41" t="s">
        <v>870</v>
      </c>
      <c r="W30" s="49" t="s">
        <v>874</v>
      </c>
      <c r="X30" s="49" t="s">
        <v>886</v>
      </c>
      <c r="Y30" s="49" t="s">
        <v>886</v>
      </c>
      <c r="Z30" s="49" t="s">
        <v>886</v>
      </c>
      <c r="AA30" s="49" t="s">
        <v>870</v>
      </c>
      <c r="AB30" s="49" t="s">
        <v>874</v>
      </c>
      <c r="AC30" s="49" t="s">
        <v>874</v>
      </c>
      <c r="AD30" s="49" t="s">
        <v>874</v>
      </c>
      <c r="AE30" s="49" t="s">
        <v>874</v>
      </c>
      <c r="AF30" s="49" t="s">
        <v>872</v>
      </c>
      <c r="AG30" s="49" t="s">
        <v>870</v>
      </c>
    </row>
    <row r="31" spans="1:33" x14ac:dyDescent="0.25">
      <c r="A31" s="40">
        <v>2000030</v>
      </c>
      <c r="B31" s="40" t="s">
        <v>165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1033</v>
      </c>
      <c r="F31" s="41" t="s">
        <v>938</v>
      </c>
      <c r="G31" s="50" t="s">
        <v>965</v>
      </c>
      <c r="H31" s="41" t="s">
        <v>964</v>
      </c>
      <c r="I31" s="43">
        <v>42736</v>
      </c>
      <c r="J31" s="41" t="s">
        <v>830</v>
      </c>
      <c r="K31" s="41" t="s">
        <v>831</v>
      </c>
      <c r="L31" s="41" t="s">
        <v>835</v>
      </c>
      <c r="M31" s="47" t="s">
        <v>985</v>
      </c>
      <c r="N31" s="41" t="s">
        <v>1026</v>
      </c>
      <c r="O31" s="48">
        <v>0.3</v>
      </c>
      <c r="P31" s="41" t="s">
        <v>856</v>
      </c>
      <c r="Q31" s="41" t="s">
        <v>1028</v>
      </c>
      <c r="R31" s="41" t="s">
        <v>915</v>
      </c>
      <c r="S31" s="41" t="s">
        <v>863</v>
      </c>
      <c r="T31" s="41" t="s">
        <v>870</v>
      </c>
      <c r="U31" s="41" t="s">
        <v>870</v>
      </c>
      <c r="V31" s="41" t="s">
        <v>870</v>
      </c>
      <c r="W31" s="49" t="s">
        <v>1009</v>
      </c>
      <c r="X31" s="49" t="s">
        <v>1018</v>
      </c>
      <c r="Y31" s="49" t="s">
        <v>1018</v>
      </c>
      <c r="Z31" s="49" t="s">
        <v>1018</v>
      </c>
      <c r="AA31" s="49" t="s">
        <v>870</v>
      </c>
      <c r="AB31" s="49" t="s">
        <v>1009</v>
      </c>
      <c r="AC31" s="49" t="s">
        <v>1009</v>
      </c>
      <c r="AD31" s="49" t="s">
        <v>1009</v>
      </c>
      <c r="AE31" s="49" t="s">
        <v>1009</v>
      </c>
      <c r="AF31" s="49" t="s">
        <v>872</v>
      </c>
      <c r="AG31" s="49" t="s">
        <v>870</v>
      </c>
    </row>
    <row r="32" spans="1:33" x14ac:dyDescent="0.25">
      <c r="A32" s="40">
        <v>2000031</v>
      </c>
      <c r="B32" s="40" t="s">
        <v>152</v>
      </c>
      <c r="C32" s="41" t="s">
        <v>786</v>
      </c>
      <c r="D32" s="44">
        <f>SUMIF(CREANCES!$B$2:$B$99999,'INFO CLIENTS'!B32,CREANCES!$J$2:$J$99999) - SUMIF(CREANCES!$B$2:$B$99999,'INFO CLIENTS'!B32,CREANCES!$K$2:$K$99999)</f>
        <v>234696.91400000019</v>
      </c>
      <c r="E32" s="41" t="s">
        <v>1033</v>
      </c>
      <c r="F32" s="41" t="s">
        <v>939</v>
      </c>
      <c r="G32" s="50" t="s">
        <v>26</v>
      </c>
      <c r="H32" s="41" t="s">
        <v>966</v>
      </c>
      <c r="I32" s="43">
        <v>44197</v>
      </c>
      <c r="J32" s="41" t="s">
        <v>830</v>
      </c>
      <c r="K32" s="41" t="s">
        <v>831</v>
      </c>
      <c r="L32" s="41" t="s">
        <v>835</v>
      </c>
      <c r="M32" s="47" t="s">
        <v>986</v>
      </c>
      <c r="N32" s="41" t="s">
        <v>1026</v>
      </c>
      <c r="O32" s="48">
        <v>1</v>
      </c>
      <c r="P32" s="41" t="s">
        <v>855</v>
      </c>
      <c r="Q32" s="41" t="s">
        <v>859</v>
      </c>
      <c r="R32" s="41" t="s">
        <v>1029</v>
      </c>
      <c r="S32" s="41" t="s">
        <v>863</v>
      </c>
      <c r="T32" s="41" t="s">
        <v>863</v>
      </c>
      <c r="U32" s="49" t="s">
        <v>863</v>
      </c>
      <c r="V32" s="49" t="s">
        <v>863</v>
      </c>
      <c r="W32" s="49" t="s">
        <v>863</v>
      </c>
      <c r="X32" s="49" t="s">
        <v>1013</v>
      </c>
      <c r="Y32" s="49" t="s">
        <v>882</v>
      </c>
      <c r="Z32" s="49" t="s">
        <v>879</v>
      </c>
      <c r="AA32" s="49" t="s">
        <v>863</v>
      </c>
      <c r="AB32" s="49" t="s">
        <v>863</v>
      </c>
      <c r="AC32" s="49" t="s">
        <v>863</v>
      </c>
      <c r="AD32" s="49" t="s">
        <v>863</v>
      </c>
      <c r="AE32" s="49" t="s">
        <v>863</v>
      </c>
      <c r="AF32" s="49" t="s">
        <v>867</v>
      </c>
      <c r="AG32" s="49" t="s">
        <v>863</v>
      </c>
    </row>
    <row r="33" spans="1:33" x14ac:dyDescent="0.25">
      <c r="A33" s="40">
        <v>2000032</v>
      </c>
      <c r="B33" s="40" t="s">
        <v>4474</v>
      </c>
      <c r="C33" s="41" t="s">
        <v>916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1033</v>
      </c>
      <c r="F33" s="41" t="s">
        <v>940</v>
      </c>
      <c r="G33" s="50" t="s">
        <v>26</v>
      </c>
      <c r="H33" s="41" t="s">
        <v>967</v>
      </c>
      <c r="I33" s="43">
        <v>44197</v>
      </c>
      <c r="J33" s="41" t="s">
        <v>830</v>
      </c>
      <c r="K33" s="41" t="s">
        <v>831</v>
      </c>
      <c r="L33" s="41" t="s">
        <v>835</v>
      </c>
      <c r="M33" s="47" t="s">
        <v>987</v>
      </c>
      <c r="N33" s="41" t="s">
        <v>1025</v>
      </c>
      <c r="O33" s="48">
        <v>1</v>
      </c>
      <c r="P33" s="41" t="s">
        <v>856</v>
      </c>
      <c r="Q33" s="41" t="s">
        <v>1028</v>
      </c>
      <c r="R33" s="41" t="s">
        <v>1069</v>
      </c>
      <c r="S33" s="41" t="s">
        <v>863</v>
      </c>
      <c r="T33" s="41" t="s">
        <v>863</v>
      </c>
      <c r="U33" s="41" t="s">
        <v>870</v>
      </c>
      <c r="V33" s="41" t="s">
        <v>870</v>
      </c>
      <c r="W33" s="49" t="s">
        <v>874</v>
      </c>
      <c r="X33" s="49" t="s">
        <v>1012</v>
      </c>
      <c r="Y33" s="49" t="s">
        <v>1012</v>
      </c>
      <c r="Z33" s="49" t="s">
        <v>1012</v>
      </c>
      <c r="AA33" s="49" t="s">
        <v>870</v>
      </c>
      <c r="AB33" s="49" t="s">
        <v>874</v>
      </c>
      <c r="AC33" s="49" t="s">
        <v>874</v>
      </c>
      <c r="AD33" s="49" t="s">
        <v>874</v>
      </c>
      <c r="AE33" s="49" t="s">
        <v>874</v>
      </c>
      <c r="AF33" s="49" t="s">
        <v>872</v>
      </c>
      <c r="AG33" s="49" t="s">
        <v>870</v>
      </c>
    </row>
    <row r="34" spans="1:33" x14ac:dyDescent="0.25">
      <c r="A34" s="40">
        <v>2000033</v>
      </c>
      <c r="B34" s="40" t="s">
        <v>4475</v>
      </c>
      <c r="C34" s="41" t="s">
        <v>916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1033</v>
      </c>
      <c r="F34" s="41" t="s">
        <v>941</v>
      </c>
      <c r="G34" s="50" t="s">
        <v>26</v>
      </c>
      <c r="H34" s="41" t="s">
        <v>968</v>
      </c>
      <c r="I34" s="43">
        <v>44197</v>
      </c>
      <c r="J34" s="41" t="s">
        <v>830</v>
      </c>
      <c r="K34" s="41" t="s">
        <v>831</v>
      </c>
      <c r="L34" s="41" t="s">
        <v>835</v>
      </c>
      <c r="M34" s="47" t="s">
        <v>26</v>
      </c>
      <c r="N34" s="41" t="s">
        <v>1026</v>
      </c>
      <c r="O34" s="48">
        <v>1</v>
      </c>
      <c r="P34" s="41" t="s">
        <v>855</v>
      </c>
      <c r="Q34" s="41" t="s">
        <v>1028</v>
      </c>
      <c r="R34" s="41" t="s">
        <v>1030</v>
      </c>
      <c r="S34" s="41" t="s">
        <v>863</v>
      </c>
      <c r="T34" s="41" t="s">
        <v>863</v>
      </c>
      <c r="U34" s="49" t="s">
        <v>863</v>
      </c>
      <c r="V34" s="49" t="s">
        <v>863</v>
      </c>
      <c r="W34" s="49" t="s">
        <v>863</v>
      </c>
      <c r="X34" s="49" t="s">
        <v>1013</v>
      </c>
      <c r="Y34" s="49" t="s">
        <v>1013</v>
      </c>
      <c r="Z34" s="49" t="s">
        <v>900</v>
      </c>
      <c r="AA34" s="49" t="s">
        <v>863</v>
      </c>
      <c r="AB34" s="49" t="s">
        <v>883</v>
      </c>
      <c r="AC34" s="49" t="s">
        <v>883</v>
      </c>
      <c r="AD34" s="49" t="s">
        <v>883</v>
      </c>
      <c r="AE34" s="49" t="s">
        <v>883</v>
      </c>
      <c r="AF34" s="49" t="s">
        <v>867</v>
      </c>
      <c r="AG34" s="49" t="s">
        <v>863</v>
      </c>
    </row>
    <row r="35" spans="1:33" x14ac:dyDescent="0.25">
      <c r="A35" s="40">
        <v>2000034</v>
      </c>
      <c r="B35" s="40" t="s">
        <v>925</v>
      </c>
      <c r="C35" s="41" t="s">
        <v>24</v>
      </c>
      <c r="D35" s="44">
        <f>24685.42+14288.14</f>
        <v>38973.56</v>
      </c>
      <c r="E35" s="41" t="s">
        <v>1033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830</v>
      </c>
      <c r="K35" s="41" t="s">
        <v>831</v>
      </c>
      <c r="L35" s="41" t="s">
        <v>835</v>
      </c>
      <c r="M35" s="47" t="s">
        <v>988</v>
      </c>
      <c r="N35" s="41" t="s">
        <v>1026</v>
      </c>
      <c r="O35" s="48">
        <v>0</v>
      </c>
      <c r="P35" s="41" t="s">
        <v>856</v>
      </c>
      <c r="Q35" s="41" t="s">
        <v>1028</v>
      </c>
      <c r="R35" s="41" t="s">
        <v>915</v>
      </c>
      <c r="S35" s="41" t="s">
        <v>863</v>
      </c>
      <c r="T35" s="41" t="s">
        <v>863</v>
      </c>
      <c r="U35" s="41" t="s">
        <v>870</v>
      </c>
      <c r="V35" s="41" t="s">
        <v>870</v>
      </c>
      <c r="W35" s="49" t="s">
        <v>1009</v>
      </c>
      <c r="X35" s="49" t="s">
        <v>888</v>
      </c>
      <c r="Y35" s="49" t="s">
        <v>886</v>
      </c>
      <c r="Z35" s="49" t="s">
        <v>888</v>
      </c>
      <c r="AA35" s="49" t="s">
        <v>870</v>
      </c>
      <c r="AB35" s="49" t="s">
        <v>1009</v>
      </c>
      <c r="AC35" s="49" t="s">
        <v>1009</v>
      </c>
      <c r="AD35" s="49" t="s">
        <v>1009</v>
      </c>
      <c r="AE35" s="49" t="s">
        <v>1009</v>
      </c>
      <c r="AF35" s="49" t="s">
        <v>872</v>
      </c>
      <c r="AG35" s="49" t="s">
        <v>870</v>
      </c>
    </row>
    <row r="36" spans="1:33" x14ac:dyDescent="0.25">
      <c r="A36" s="40">
        <v>2000035</v>
      </c>
      <c r="B36" s="40" t="s">
        <v>926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1033</v>
      </c>
      <c r="F36" s="41" t="s">
        <v>1047</v>
      </c>
      <c r="G36" s="50" t="s">
        <v>26</v>
      </c>
      <c r="H36" s="41" t="s">
        <v>26</v>
      </c>
      <c r="I36" s="43">
        <v>44197</v>
      </c>
      <c r="J36" s="41" t="s">
        <v>830</v>
      </c>
      <c r="K36" s="41" t="s">
        <v>831</v>
      </c>
      <c r="L36" s="41" t="s">
        <v>835</v>
      </c>
      <c r="M36" s="47" t="s">
        <v>989</v>
      </c>
      <c r="N36" s="41" t="s">
        <v>1026</v>
      </c>
      <c r="O36" s="48">
        <v>1</v>
      </c>
      <c r="P36" s="41" t="s">
        <v>856</v>
      </c>
      <c r="Q36" s="41" t="s">
        <v>1028</v>
      </c>
      <c r="R36" s="41" t="s">
        <v>1029</v>
      </c>
      <c r="S36" s="41" t="s">
        <v>863</v>
      </c>
      <c r="T36" s="41" t="s">
        <v>863</v>
      </c>
      <c r="U36" s="41" t="s">
        <v>870</v>
      </c>
      <c r="V36" s="41" t="s">
        <v>870</v>
      </c>
      <c r="W36" s="49" t="s">
        <v>1011</v>
      </c>
      <c r="X36" s="49" t="s">
        <v>886</v>
      </c>
      <c r="Y36" s="49" t="s">
        <v>1016</v>
      </c>
      <c r="Z36" s="49" t="s">
        <v>888</v>
      </c>
      <c r="AA36" s="49" t="s">
        <v>870</v>
      </c>
      <c r="AB36" s="49" t="s">
        <v>1011</v>
      </c>
      <c r="AC36" s="49" t="s">
        <v>1011</v>
      </c>
      <c r="AD36" s="49" t="s">
        <v>1011</v>
      </c>
      <c r="AE36" s="49" t="s">
        <v>1011</v>
      </c>
      <c r="AF36" s="49" t="s">
        <v>872</v>
      </c>
      <c r="AG36" s="49" t="s">
        <v>870</v>
      </c>
    </row>
    <row r="37" spans="1:33" x14ac:dyDescent="0.25">
      <c r="A37" s="40">
        <v>2000036</v>
      </c>
      <c r="B37" s="40" t="s">
        <v>4476</v>
      </c>
      <c r="C37" s="41" t="s">
        <v>916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1033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830</v>
      </c>
      <c r="K37" s="41" t="s">
        <v>831</v>
      </c>
      <c r="L37" s="41" t="s">
        <v>835</v>
      </c>
      <c r="M37" s="47" t="s">
        <v>990</v>
      </c>
      <c r="N37" s="41" t="s">
        <v>1026</v>
      </c>
      <c r="O37" s="48">
        <v>0.7</v>
      </c>
      <c r="P37" s="41" t="s">
        <v>855</v>
      </c>
      <c r="Q37" s="41" t="s">
        <v>859</v>
      </c>
      <c r="R37" s="41" t="s">
        <v>922</v>
      </c>
      <c r="S37" s="41" t="s">
        <v>863</v>
      </c>
      <c r="T37" s="41" t="s">
        <v>863</v>
      </c>
      <c r="U37" s="49" t="s">
        <v>863</v>
      </c>
      <c r="V37" s="49" t="s">
        <v>863</v>
      </c>
      <c r="W37" s="49" t="s">
        <v>863</v>
      </c>
      <c r="X37" s="49" t="s">
        <v>865</v>
      </c>
      <c r="Y37" s="49" t="s">
        <v>1013</v>
      </c>
      <c r="Z37" s="49" t="s">
        <v>900</v>
      </c>
      <c r="AA37" s="49" t="s">
        <v>863</v>
      </c>
      <c r="AB37" s="49" t="s">
        <v>863</v>
      </c>
      <c r="AC37" s="49" t="s">
        <v>881</v>
      </c>
      <c r="AD37" s="49" t="s">
        <v>863</v>
      </c>
      <c r="AE37" s="49" t="s">
        <v>866</v>
      </c>
      <c r="AF37" s="49" t="s">
        <v>1019</v>
      </c>
      <c r="AG37" s="49" t="s">
        <v>863</v>
      </c>
    </row>
    <row r="38" spans="1:33" x14ac:dyDescent="0.25">
      <c r="A38" s="40">
        <v>2000037</v>
      </c>
      <c r="B38" s="40" t="s">
        <v>4477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1033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830</v>
      </c>
      <c r="K38" s="41" t="s">
        <v>831</v>
      </c>
      <c r="L38" s="41" t="s">
        <v>835</v>
      </c>
      <c r="M38" s="47" t="s">
        <v>991</v>
      </c>
      <c r="N38" s="41" t="s">
        <v>1025</v>
      </c>
      <c r="O38" s="48">
        <v>1</v>
      </c>
      <c r="P38" s="41" t="s">
        <v>855</v>
      </c>
      <c r="Q38" s="41" t="s">
        <v>859</v>
      </c>
      <c r="R38" s="41" t="s">
        <v>1030</v>
      </c>
      <c r="S38" s="41" t="s">
        <v>863</v>
      </c>
      <c r="T38" s="41" t="s">
        <v>863</v>
      </c>
      <c r="U38" s="49" t="s">
        <v>863</v>
      </c>
      <c r="V38" s="49" t="s">
        <v>863</v>
      </c>
      <c r="W38" s="49" t="s">
        <v>863</v>
      </c>
      <c r="X38" s="49" t="s">
        <v>1013</v>
      </c>
      <c r="Y38" s="49" t="s">
        <v>1013</v>
      </c>
      <c r="Z38" s="49" t="s">
        <v>900</v>
      </c>
      <c r="AA38" s="49" t="s">
        <v>863</v>
      </c>
      <c r="AB38" s="49" t="s">
        <v>863</v>
      </c>
      <c r="AC38" s="49" t="s">
        <v>863</v>
      </c>
      <c r="AD38" s="49" t="s">
        <v>863</v>
      </c>
      <c r="AE38" s="49" t="s">
        <v>863</v>
      </c>
      <c r="AF38" s="49" t="s">
        <v>863</v>
      </c>
      <c r="AG38" s="49" t="s">
        <v>863</v>
      </c>
    </row>
    <row r="39" spans="1:33" x14ac:dyDescent="0.25">
      <c r="A39" s="40">
        <v>2000038</v>
      </c>
      <c r="B39" s="40" t="s">
        <v>4478</v>
      </c>
      <c r="C39" s="41" t="s">
        <v>786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1033</v>
      </c>
      <c r="F39" s="41" t="s">
        <v>942</v>
      </c>
      <c r="G39" s="50" t="s">
        <v>26</v>
      </c>
      <c r="H39" s="41" t="s">
        <v>969</v>
      </c>
      <c r="I39" s="43">
        <v>44197</v>
      </c>
      <c r="J39" s="41" t="s">
        <v>830</v>
      </c>
      <c r="K39" s="41" t="s">
        <v>831</v>
      </c>
      <c r="L39" s="41" t="s">
        <v>835</v>
      </c>
      <c r="M39" s="47" t="s">
        <v>992</v>
      </c>
      <c r="N39" s="41" t="s">
        <v>1025</v>
      </c>
      <c r="O39" s="48">
        <v>1</v>
      </c>
      <c r="P39" s="41" t="s">
        <v>855</v>
      </c>
      <c r="Q39" s="41" t="s">
        <v>857</v>
      </c>
      <c r="R39" s="41" t="s">
        <v>1030</v>
      </c>
      <c r="S39" s="41" t="s">
        <v>863</v>
      </c>
      <c r="T39" s="41" t="s">
        <v>863</v>
      </c>
      <c r="U39" s="49" t="s">
        <v>863</v>
      </c>
      <c r="V39" s="49" t="s">
        <v>863</v>
      </c>
      <c r="W39" s="49" t="s">
        <v>881</v>
      </c>
      <c r="X39" s="49" t="s">
        <v>863</v>
      </c>
      <c r="Y39" s="49" t="s">
        <v>863</v>
      </c>
      <c r="Z39" s="49" t="s">
        <v>863</v>
      </c>
      <c r="AA39" s="49" t="s">
        <v>863</v>
      </c>
      <c r="AB39" s="49" t="s">
        <v>863</v>
      </c>
      <c r="AC39" s="49" t="s">
        <v>863</v>
      </c>
      <c r="AD39" s="49" t="s">
        <v>863</v>
      </c>
      <c r="AE39" s="49" t="s">
        <v>863</v>
      </c>
      <c r="AF39" s="49" t="s">
        <v>863</v>
      </c>
      <c r="AG39" s="49" t="s">
        <v>863</v>
      </c>
    </row>
    <row r="40" spans="1:33" x14ac:dyDescent="0.25">
      <c r="A40" s="40">
        <v>2000039</v>
      </c>
      <c r="B40" s="40" t="s">
        <v>4479</v>
      </c>
      <c r="C40" s="41" t="s">
        <v>916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1032</v>
      </c>
      <c r="F40" s="41" t="s">
        <v>943</v>
      </c>
      <c r="G40" s="50" t="s">
        <v>26</v>
      </c>
      <c r="H40" s="41" t="s">
        <v>970</v>
      </c>
      <c r="I40" s="43">
        <v>44197</v>
      </c>
      <c r="J40" s="41" t="s">
        <v>830</v>
      </c>
      <c r="K40" s="41" t="s">
        <v>834</v>
      </c>
      <c r="L40" s="41" t="s">
        <v>835</v>
      </c>
      <c r="M40" s="47" t="s">
        <v>993</v>
      </c>
      <c r="N40" s="41" t="s">
        <v>854</v>
      </c>
      <c r="O40" s="48">
        <v>1</v>
      </c>
      <c r="P40" s="41" t="s">
        <v>855</v>
      </c>
      <c r="Q40" s="41" t="s">
        <v>857</v>
      </c>
      <c r="R40" s="41" t="s">
        <v>922</v>
      </c>
      <c r="S40" s="41" t="s">
        <v>869</v>
      </c>
      <c r="T40" s="41" t="s">
        <v>912</v>
      </c>
      <c r="U40" s="49" t="s">
        <v>863</v>
      </c>
      <c r="V40" s="49" t="s">
        <v>863</v>
      </c>
      <c r="W40" s="49" t="s">
        <v>901</v>
      </c>
      <c r="X40" s="49" t="s">
        <v>865</v>
      </c>
      <c r="Y40" s="49" t="s">
        <v>903</v>
      </c>
      <c r="Z40" s="49" t="s">
        <v>900</v>
      </c>
      <c r="AA40" s="49" t="s">
        <v>863</v>
      </c>
      <c r="AB40" s="49" t="s">
        <v>1020</v>
      </c>
      <c r="AC40" s="49" t="s">
        <v>1020</v>
      </c>
      <c r="AD40" s="49" t="s">
        <v>1020</v>
      </c>
      <c r="AE40" s="49" t="s">
        <v>1020</v>
      </c>
      <c r="AF40" s="49" t="s">
        <v>863</v>
      </c>
      <c r="AG40" s="49" t="s">
        <v>863</v>
      </c>
    </row>
    <row r="41" spans="1:33" x14ac:dyDescent="0.25">
      <c r="A41" s="40">
        <v>2000040</v>
      </c>
      <c r="B41" s="40" t="s">
        <v>4480</v>
      </c>
      <c r="C41" s="41" t="s">
        <v>916</v>
      </c>
      <c r="D41" s="44">
        <f>SUMIF(CREANCES!$B$2:$B$99999,'INFO CLIENTS'!B41,CREANCES!$J$2:$J$99999) - SUMIF(CREANCES!$B$2:$B$99999,'INFO CLIENTS'!B41,CREANCES!$K$2:$K$99999)</f>
        <v>690873</v>
      </c>
      <c r="E41" s="41" t="s">
        <v>1033</v>
      </c>
      <c r="F41" s="41" t="s">
        <v>944</v>
      </c>
      <c r="G41" s="50" t="s">
        <v>26</v>
      </c>
      <c r="H41" s="41" t="s">
        <v>1046</v>
      </c>
      <c r="I41" s="43">
        <v>44197</v>
      </c>
      <c r="J41" s="41" t="s">
        <v>830</v>
      </c>
      <c r="K41" s="41" t="s">
        <v>831</v>
      </c>
      <c r="L41" s="41" t="s">
        <v>835</v>
      </c>
      <c r="M41" s="47" t="s">
        <v>994</v>
      </c>
      <c r="N41" s="41" t="s">
        <v>1026</v>
      </c>
      <c r="O41" s="48">
        <v>1</v>
      </c>
      <c r="P41" s="41" t="s">
        <v>856</v>
      </c>
      <c r="Q41" s="41" t="s">
        <v>1028</v>
      </c>
      <c r="R41" s="41" t="s">
        <v>1029</v>
      </c>
      <c r="S41" s="41" t="s">
        <v>863</v>
      </c>
      <c r="T41" s="41" t="s">
        <v>863</v>
      </c>
      <c r="U41" s="41" t="s">
        <v>870</v>
      </c>
      <c r="V41" s="41" t="s">
        <v>870</v>
      </c>
      <c r="W41" s="49" t="s">
        <v>1021</v>
      </c>
      <c r="X41" s="49" t="s">
        <v>886</v>
      </c>
      <c r="Y41" s="49" t="s">
        <v>1016</v>
      </c>
      <c r="Z41" s="49" t="s">
        <v>888</v>
      </c>
      <c r="AA41" s="49" t="s">
        <v>870</v>
      </c>
      <c r="AB41" s="49" t="s">
        <v>1009</v>
      </c>
      <c r="AC41" s="49" t="s">
        <v>1009</v>
      </c>
      <c r="AD41" s="49" t="s">
        <v>1009</v>
      </c>
      <c r="AE41" s="49" t="s">
        <v>1009</v>
      </c>
      <c r="AF41" s="49" t="s">
        <v>872</v>
      </c>
      <c r="AG41" s="49" t="s">
        <v>870</v>
      </c>
    </row>
    <row r="42" spans="1:33" x14ac:dyDescent="0.25">
      <c r="A42" s="40">
        <v>2000041</v>
      </c>
      <c r="B42" s="40" t="s">
        <v>4481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1033</v>
      </c>
      <c r="F42" s="41" t="s">
        <v>945</v>
      </c>
      <c r="G42" s="50" t="s">
        <v>26</v>
      </c>
      <c r="H42" s="41" t="s">
        <v>971</v>
      </c>
      <c r="I42" s="43">
        <v>44197</v>
      </c>
      <c r="J42" s="41" t="s">
        <v>830</v>
      </c>
      <c r="K42" s="41" t="s">
        <v>834</v>
      </c>
      <c r="L42" s="41" t="s">
        <v>835</v>
      </c>
      <c r="M42" s="47" t="s">
        <v>995</v>
      </c>
      <c r="N42" s="41" t="s">
        <v>1026</v>
      </c>
      <c r="O42" s="48">
        <v>1</v>
      </c>
      <c r="P42" s="41" t="s">
        <v>856</v>
      </c>
      <c r="Q42" s="41" t="s">
        <v>1031</v>
      </c>
      <c r="R42" s="41" t="s">
        <v>915</v>
      </c>
      <c r="S42" s="41" t="s">
        <v>863</v>
      </c>
      <c r="T42" s="41" t="s">
        <v>863</v>
      </c>
      <c r="U42" s="41" t="s">
        <v>870</v>
      </c>
      <c r="V42" s="41" t="s">
        <v>870</v>
      </c>
      <c r="W42" s="49" t="s">
        <v>1009</v>
      </c>
      <c r="X42" s="49" t="s">
        <v>886</v>
      </c>
      <c r="Y42" s="49" t="s">
        <v>1016</v>
      </c>
      <c r="Z42" s="49" t="s">
        <v>888</v>
      </c>
      <c r="AA42" s="49" t="s">
        <v>870</v>
      </c>
      <c r="AB42" s="49" t="s">
        <v>1011</v>
      </c>
      <c r="AC42" s="49" t="s">
        <v>1011</v>
      </c>
      <c r="AD42" s="49" t="s">
        <v>1011</v>
      </c>
      <c r="AE42" s="49" t="s">
        <v>1011</v>
      </c>
      <c r="AF42" s="49" t="s">
        <v>870</v>
      </c>
      <c r="AG42" s="49" t="s">
        <v>870</v>
      </c>
    </row>
    <row r="43" spans="1:33" x14ac:dyDescent="0.25">
      <c r="A43" s="40">
        <v>2000042</v>
      </c>
      <c r="B43" s="40" t="s">
        <v>153</v>
      </c>
      <c r="C43" s="41" t="s">
        <v>916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1033</v>
      </c>
      <c r="F43" s="41" t="s">
        <v>1047</v>
      </c>
      <c r="G43" s="50" t="s">
        <v>26</v>
      </c>
      <c r="H43" s="41" t="s">
        <v>26</v>
      </c>
      <c r="I43" s="43">
        <v>44197</v>
      </c>
      <c r="J43" s="41" t="s">
        <v>830</v>
      </c>
      <c r="K43" s="41" t="s">
        <v>831</v>
      </c>
      <c r="L43" s="41" t="s">
        <v>835</v>
      </c>
      <c r="M43" s="47" t="s">
        <v>996</v>
      </c>
      <c r="N43" s="41" t="s">
        <v>1026</v>
      </c>
      <c r="O43" s="48">
        <v>1</v>
      </c>
      <c r="P43" s="41" t="s">
        <v>856</v>
      </c>
      <c r="Q43" s="41" t="s">
        <v>1028</v>
      </c>
      <c r="R43" s="41" t="s">
        <v>1029</v>
      </c>
      <c r="S43" s="41" t="s">
        <v>863</v>
      </c>
      <c r="T43" s="41" t="s">
        <v>863</v>
      </c>
      <c r="U43" s="41" t="s">
        <v>870</v>
      </c>
      <c r="V43" s="41" t="s">
        <v>870</v>
      </c>
      <c r="W43" s="49" t="s">
        <v>1011</v>
      </c>
      <c r="X43" s="49" t="s">
        <v>1017</v>
      </c>
      <c r="Y43" s="49" t="s">
        <v>1016</v>
      </c>
      <c r="Z43" s="49" t="s">
        <v>888</v>
      </c>
      <c r="AA43" s="49" t="s">
        <v>870</v>
      </c>
      <c r="AB43" s="49" t="s">
        <v>1021</v>
      </c>
      <c r="AC43" s="49" t="s">
        <v>1021</v>
      </c>
      <c r="AD43" s="49" t="s">
        <v>1021</v>
      </c>
      <c r="AE43" s="49" t="s">
        <v>1021</v>
      </c>
      <c r="AF43" s="49" t="s">
        <v>872</v>
      </c>
      <c r="AG43" s="49" t="s">
        <v>870</v>
      </c>
    </row>
    <row r="44" spans="1:33" x14ac:dyDescent="0.25">
      <c r="A44" s="40">
        <v>2000043</v>
      </c>
      <c r="B44" s="40" t="s">
        <v>927</v>
      </c>
      <c r="C44" s="41" t="s">
        <v>24</v>
      </c>
      <c r="D44" s="44">
        <f>SUMIF(CREANCES!$B$2:$B$99999,'INFO CLIENTS'!B44,CREANCES!$J$2:$J$99999) - SUMIF(CREANCES!$B$2:$B$99999,'INFO CLIENTS'!B44,CREANCES!$K$2:$K$99999)</f>
        <v>0</v>
      </c>
      <c r="E44" s="41" t="s">
        <v>1033</v>
      </c>
      <c r="F44" s="41" t="s">
        <v>946</v>
      </c>
      <c r="G44" s="50" t="s">
        <v>26</v>
      </c>
      <c r="H44" s="41" t="s">
        <v>972</v>
      </c>
      <c r="I44" s="43">
        <v>44197</v>
      </c>
      <c r="J44" s="41" t="s">
        <v>830</v>
      </c>
      <c r="K44" s="41" t="s">
        <v>834</v>
      </c>
      <c r="L44" s="41" t="s">
        <v>835</v>
      </c>
      <c r="M44" s="47" t="s">
        <v>26</v>
      </c>
      <c r="N44" s="41" t="s">
        <v>854</v>
      </c>
      <c r="O44" s="48">
        <v>1</v>
      </c>
      <c r="P44" s="41" t="s">
        <v>855</v>
      </c>
      <c r="Q44" s="41" t="s">
        <v>1031</v>
      </c>
      <c r="R44" s="41" t="s">
        <v>922</v>
      </c>
      <c r="S44" s="41" t="s">
        <v>863</v>
      </c>
      <c r="T44" s="41" t="s">
        <v>863</v>
      </c>
      <c r="U44" s="49" t="s">
        <v>863</v>
      </c>
      <c r="V44" s="49" t="s">
        <v>863</v>
      </c>
      <c r="W44" s="49" t="s">
        <v>863</v>
      </c>
      <c r="X44" s="49" t="s">
        <v>860</v>
      </c>
      <c r="Y44" s="49" t="s">
        <v>863</v>
      </c>
      <c r="Z44" s="49" t="s">
        <v>1022</v>
      </c>
      <c r="AA44" s="49" t="s">
        <v>863</v>
      </c>
      <c r="AB44" s="49" t="s">
        <v>863</v>
      </c>
      <c r="AC44" s="49" t="s">
        <v>863</v>
      </c>
      <c r="AD44" s="49" t="s">
        <v>863</v>
      </c>
      <c r="AE44" s="49" t="s">
        <v>863</v>
      </c>
      <c r="AF44" s="49" t="s">
        <v>863</v>
      </c>
      <c r="AG44" s="49" t="s">
        <v>863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1033</v>
      </c>
      <c r="F45" s="41" t="s">
        <v>947</v>
      </c>
      <c r="G45" s="50" t="s">
        <v>26</v>
      </c>
      <c r="H45" s="41" t="s">
        <v>973</v>
      </c>
      <c r="I45" s="43">
        <v>44197</v>
      </c>
      <c r="J45" s="41" t="s">
        <v>830</v>
      </c>
      <c r="K45" s="41" t="s">
        <v>831</v>
      </c>
      <c r="L45" s="41" t="s">
        <v>835</v>
      </c>
      <c r="M45" s="47" t="s">
        <v>997</v>
      </c>
      <c r="N45" s="41" t="s">
        <v>1026</v>
      </c>
      <c r="O45" s="48">
        <v>1</v>
      </c>
      <c r="P45" s="41" t="s">
        <v>856</v>
      </c>
      <c r="Q45" s="41" t="s">
        <v>1028</v>
      </c>
      <c r="R45" s="41" t="s">
        <v>1029</v>
      </c>
      <c r="S45" s="41" t="s">
        <v>863</v>
      </c>
      <c r="T45" s="41" t="s">
        <v>863</v>
      </c>
      <c r="U45" s="41" t="s">
        <v>870</v>
      </c>
      <c r="V45" s="41" t="s">
        <v>870</v>
      </c>
      <c r="W45" s="49" t="s">
        <v>885</v>
      </c>
      <c r="X45" s="49" t="s">
        <v>888</v>
      </c>
      <c r="Y45" s="49" t="s">
        <v>886</v>
      </c>
      <c r="Z45" s="49" t="s">
        <v>888</v>
      </c>
      <c r="AA45" s="49" t="s">
        <v>870</v>
      </c>
      <c r="AB45" s="49" t="s">
        <v>1011</v>
      </c>
      <c r="AC45" s="49" t="s">
        <v>1011</v>
      </c>
      <c r="AD45" s="49" t="s">
        <v>1011</v>
      </c>
      <c r="AE45" s="49" t="s">
        <v>1011</v>
      </c>
      <c r="AF45" s="49" t="s">
        <v>872</v>
      </c>
      <c r="AG45" s="49" t="s">
        <v>870</v>
      </c>
    </row>
    <row r="46" spans="1:33" x14ac:dyDescent="0.25">
      <c r="A46" s="40">
        <v>2000045</v>
      </c>
      <c r="B46" s="40" t="s">
        <v>928</v>
      </c>
      <c r="C46" s="41" t="s">
        <v>24</v>
      </c>
      <c r="D46" s="44">
        <v>955.34</v>
      </c>
      <c r="E46" s="41" t="s">
        <v>1033</v>
      </c>
      <c r="F46" s="41" t="s">
        <v>945</v>
      </c>
      <c r="G46" s="50" t="s">
        <v>26</v>
      </c>
      <c r="H46" s="41" t="s">
        <v>971</v>
      </c>
      <c r="I46" s="43">
        <v>44197</v>
      </c>
      <c r="J46" s="41" t="s">
        <v>830</v>
      </c>
      <c r="K46" s="41" t="s">
        <v>834</v>
      </c>
      <c r="L46" s="41" t="s">
        <v>835</v>
      </c>
      <c r="M46" s="47" t="s">
        <v>998</v>
      </c>
      <c r="N46" s="41" t="s">
        <v>854</v>
      </c>
      <c r="O46" s="48">
        <v>0</v>
      </c>
      <c r="P46" s="41" t="s">
        <v>855</v>
      </c>
      <c r="Q46" s="41" t="s">
        <v>1031</v>
      </c>
      <c r="R46" s="41" t="s">
        <v>915</v>
      </c>
      <c r="S46" s="41" t="s">
        <v>863</v>
      </c>
      <c r="T46" s="41" t="s">
        <v>863</v>
      </c>
      <c r="U46" s="49" t="s">
        <v>863</v>
      </c>
      <c r="V46" s="49" t="s">
        <v>863</v>
      </c>
      <c r="W46" s="49" t="s">
        <v>878</v>
      </c>
      <c r="X46" s="49" t="s">
        <v>880</v>
      </c>
      <c r="Y46" s="49" t="s">
        <v>880</v>
      </c>
      <c r="Z46" s="49" t="s">
        <v>910</v>
      </c>
      <c r="AA46" s="49" t="s">
        <v>863</v>
      </c>
      <c r="AB46" s="49" t="s">
        <v>866</v>
      </c>
      <c r="AC46" s="49" t="s">
        <v>866</v>
      </c>
      <c r="AD46" s="49" t="s">
        <v>866</v>
      </c>
      <c r="AE46" s="49" t="s">
        <v>866</v>
      </c>
      <c r="AF46" s="49" t="s">
        <v>870</v>
      </c>
      <c r="AG46" s="49" t="s">
        <v>870</v>
      </c>
    </row>
    <row r="47" spans="1:33" x14ac:dyDescent="0.25">
      <c r="A47" s="40">
        <v>2000046</v>
      </c>
      <c r="B47" s="40" t="s">
        <v>4482</v>
      </c>
      <c r="C47" s="41" t="s">
        <v>916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1032</v>
      </c>
      <c r="F47" s="41" t="s">
        <v>974</v>
      </c>
      <c r="G47" s="50" t="s">
        <v>26</v>
      </c>
      <c r="H47" s="41" t="s">
        <v>975</v>
      </c>
      <c r="I47" s="43">
        <v>44197</v>
      </c>
      <c r="J47" s="41" t="s">
        <v>830</v>
      </c>
      <c r="K47" s="41" t="s">
        <v>834</v>
      </c>
      <c r="L47" s="41" t="s">
        <v>835</v>
      </c>
      <c r="M47" s="47" t="s">
        <v>999</v>
      </c>
      <c r="N47" s="41" t="s">
        <v>854</v>
      </c>
      <c r="O47" s="48">
        <v>1</v>
      </c>
      <c r="P47" s="41" t="s">
        <v>855</v>
      </c>
      <c r="Q47" s="41" t="s">
        <v>1031</v>
      </c>
      <c r="R47" s="41" t="s">
        <v>922</v>
      </c>
      <c r="S47" s="41" t="s">
        <v>1038</v>
      </c>
      <c r="T47" s="41" t="s">
        <v>867</v>
      </c>
      <c r="U47" s="49" t="s">
        <v>863</v>
      </c>
      <c r="V47" s="41" t="s">
        <v>865</v>
      </c>
      <c r="W47" s="49" t="s">
        <v>863</v>
      </c>
      <c r="X47" s="49" t="s">
        <v>860</v>
      </c>
      <c r="Y47" s="49" t="s">
        <v>863</v>
      </c>
      <c r="Z47" s="49" t="s">
        <v>863</v>
      </c>
      <c r="AA47" s="49" t="s">
        <v>863</v>
      </c>
      <c r="AB47" s="49" t="s">
        <v>881</v>
      </c>
      <c r="AC47" s="49" t="s">
        <v>881</v>
      </c>
      <c r="AD47" s="49" t="s">
        <v>881</v>
      </c>
      <c r="AE47" s="49" t="s">
        <v>881</v>
      </c>
      <c r="AF47" s="49" t="s">
        <v>863</v>
      </c>
      <c r="AG47" s="49" t="s">
        <v>863</v>
      </c>
    </row>
    <row r="48" spans="1:33" x14ac:dyDescent="0.25">
      <c r="A48" s="40">
        <v>2000047</v>
      </c>
      <c r="B48" s="40" t="s">
        <v>929</v>
      </c>
      <c r="C48" s="41" t="s">
        <v>24</v>
      </c>
      <c r="D48" s="44">
        <v>20669.47</v>
      </c>
      <c r="E48" s="41" t="s">
        <v>1033</v>
      </c>
      <c r="F48" s="41" t="s">
        <v>948</v>
      </c>
      <c r="G48" s="50" t="s">
        <v>26</v>
      </c>
      <c r="H48" s="41" t="s">
        <v>976</v>
      </c>
      <c r="I48" s="43">
        <v>44197</v>
      </c>
      <c r="J48" s="41" t="s">
        <v>830</v>
      </c>
      <c r="K48" s="41" t="s">
        <v>834</v>
      </c>
      <c r="L48" s="41" t="s">
        <v>835</v>
      </c>
      <c r="M48" s="47" t="s">
        <v>1000</v>
      </c>
      <c r="N48" s="41" t="s">
        <v>854</v>
      </c>
      <c r="O48" s="48">
        <v>0</v>
      </c>
      <c r="P48" s="41" t="s">
        <v>855</v>
      </c>
      <c r="Q48" s="41" t="s">
        <v>1031</v>
      </c>
      <c r="R48" s="41" t="s">
        <v>915</v>
      </c>
      <c r="S48" s="41" t="s">
        <v>863</v>
      </c>
      <c r="T48" s="41" t="s">
        <v>863</v>
      </c>
      <c r="U48" s="49" t="s">
        <v>863</v>
      </c>
      <c r="V48" s="41" t="s">
        <v>863</v>
      </c>
      <c r="W48" s="41" t="s">
        <v>863</v>
      </c>
      <c r="X48" s="41" t="s">
        <v>863</v>
      </c>
      <c r="Y48" s="41" t="s">
        <v>863</v>
      </c>
      <c r="Z48" s="41" t="s">
        <v>1013</v>
      </c>
      <c r="AA48" s="49" t="s">
        <v>863</v>
      </c>
      <c r="AB48" s="49" t="s">
        <v>1020</v>
      </c>
      <c r="AC48" s="49" t="s">
        <v>1020</v>
      </c>
      <c r="AD48" s="49" t="s">
        <v>1020</v>
      </c>
      <c r="AE48" s="49" t="s">
        <v>1020</v>
      </c>
      <c r="AF48" s="49" t="s">
        <v>863</v>
      </c>
      <c r="AG48" s="49" t="s">
        <v>863</v>
      </c>
    </row>
    <row r="49" spans="1:33" x14ac:dyDescent="0.25">
      <c r="A49" s="40">
        <v>2000048</v>
      </c>
      <c r="B49" s="40" t="s">
        <v>4483</v>
      </c>
      <c r="C49" s="41" t="s">
        <v>786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1033</v>
      </c>
      <c r="F49" s="41" t="s">
        <v>949</v>
      </c>
      <c r="G49" s="50" t="s">
        <v>26</v>
      </c>
      <c r="H49" s="41" t="s">
        <v>977</v>
      </c>
      <c r="I49" s="43">
        <v>44197</v>
      </c>
      <c r="J49" s="41" t="s">
        <v>830</v>
      </c>
      <c r="K49" s="41" t="s">
        <v>831</v>
      </c>
      <c r="L49" s="41" t="s">
        <v>835</v>
      </c>
      <c r="M49" s="47" t="s">
        <v>1001</v>
      </c>
      <c r="N49" s="41" t="s">
        <v>1026</v>
      </c>
      <c r="O49" s="48">
        <v>1</v>
      </c>
      <c r="P49" s="41" t="s">
        <v>855</v>
      </c>
      <c r="Q49" s="41" t="s">
        <v>1028</v>
      </c>
      <c r="R49" s="41" t="s">
        <v>1029</v>
      </c>
      <c r="S49" s="41" t="s">
        <v>863</v>
      </c>
      <c r="T49" s="41" t="s">
        <v>863</v>
      </c>
      <c r="U49" s="49" t="s">
        <v>863</v>
      </c>
      <c r="V49" s="41" t="s">
        <v>863</v>
      </c>
      <c r="W49" s="49" t="s">
        <v>866</v>
      </c>
      <c r="X49" s="49" t="s">
        <v>900</v>
      </c>
      <c r="Y49" s="49" t="s">
        <v>1013</v>
      </c>
      <c r="Z49" s="49" t="s">
        <v>912</v>
      </c>
      <c r="AA49" s="49" t="s">
        <v>863</v>
      </c>
      <c r="AB49" s="49" t="s">
        <v>881</v>
      </c>
      <c r="AC49" s="49" t="s">
        <v>863</v>
      </c>
      <c r="AD49" s="49" t="s">
        <v>881</v>
      </c>
      <c r="AE49" s="49" t="s">
        <v>863</v>
      </c>
      <c r="AF49" s="49" t="s">
        <v>867</v>
      </c>
      <c r="AG49" s="49" t="s">
        <v>863</v>
      </c>
    </row>
    <row r="50" spans="1:33" x14ac:dyDescent="0.25">
      <c r="A50" s="40">
        <v>2000049</v>
      </c>
      <c r="B50" s="40" t="s">
        <v>4484</v>
      </c>
      <c r="C50" s="41" t="s">
        <v>786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1033</v>
      </c>
      <c r="F50" s="41" t="s">
        <v>950</v>
      </c>
      <c r="G50" s="50" t="s">
        <v>26</v>
      </c>
      <c r="H50" s="41" t="s">
        <v>26</v>
      </c>
      <c r="I50" s="43">
        <v>44197</v>
      </c>
      <c r="J50" s="41" t="s">
        <v>830</v>
      </c>
      <c r="K50" s="41" t="s">
        <v>831</v>
      </c>
      <c r="L50" s="41" t="s">
        <v>835</v>
      </c>
      <c r="M50" s="47" t="s">
        <v>1002</v>
      </c>
      <c r="N50" s="41" t="s">
        <v>1026</v>
      </c>
      <c r="O50" s="48">
        <v>1</v>
      </c>
      <c r="P50" s="41" t="s">
        <v>856</v>
      </c>
      <c r="Q50" s="41" t="s">
        <v>1028</v>
      </c>
      <c r="R50" s="41" t="s">
        <v>1029</v>
      </c>
      <c r="S50" s="41" t="s">
        <v>863</v>
      </c>
      <c r="T50" s="41" t="s">
        <v>863</v>
      </c>
      <c r="U50" s="41" t="s">
        <v>870</v>
      </c>
      <c r="V50" s="41" t="s">
        <v>870</v>
      </c>
      <c r="W50" s="41" t="s">
        <v>1009</v>
      </c>
      <c r="X50" s="49" t="s">
        <v>888</v>
      </c>
      <c r="Y50" s="49" t="s">
        <v>1016</v>
      </c>
      <c r="Z50" s="49" t="s">
        <v>888</v>
      </c>
      <c r="AA50" s="49" t="s">
        <v>870</v>
      </c>
      <c r="AB50" s="49" t="s">
        <v>1009</v>
      </c>
      <c r="AC50" s="49" t="s">
        <v>1009</v>
      </c>
      <c r="AD50" s="49" t="s">
        <v>1009</v>
      </c>
      <c r="AE50" s="49" t="s">
        <v>1009</v>
      </c>
      <c r="AF50" s="49" t="s">
        <v>870</v>
      </c>
      <c r="AG50" s="49" t="s">
        <v>870</v>
      </c>
    </row>
    <row r="51" spans="1:33" x14ac:dyDescent="0.25">
      <c r="A51" s="40">
        <v>2000050</v>
      </c>
      <c r="B51" s="40" t="s">
        <v>4485</v>
      </c>
      <c r="C51" s="41" t="s">
        <v>786</v>
      </c>
      <c r="D51" s="44">
        <f>SUMIF(CREANCES!$B$2:$B$99999,'INFO CLIENTS'!B51,CREANCES!$J$2:$J$99999) - SUMIF(CREANCES!$B$2:$B$99999,'INFO CLIENTS'!B51,CREANCES!$K$2:$K$99999)</f>
        <v>623610</v>
      </c>
      <c r="E51" s="41" t="s">
        <v>1033</v>
      </c>
      <c r="F51" s="41" t="s">
        <v>951</v>
      </c>
      <c r="G51" s="50" t="s">
        <v>26</v>
      </c>
      <c r="H51" s="41" t="s">
        <v>26</v>
      </c>
      <c r="I51" s="43">
        <v>44197</v>
      </c>
      <c r="J51" s="41" t="s">
        <v>830</v>
      </c>
      <c r="K51" s="41" t="s">
        <v>831</v>
      </c>
      <c r="L51" s="41" t="s">
        <v>835</v>
      </c>
      <c r="M51" s="47" t="s">
        <v>1003</v>
      </c>
      <c r="N51" s="41" t="s">
        <v>1026</v>
      </c>
      <c r="O51" s="48">
        <v>1</v>
      </c>
      <c r="P51" s="41" t="s">
        <v>856</v>
      </c>
      <c r="Q51" s="41" t="s">
        <v>1028</v>
      </c>
      <c r="R51" s="41" t="s">
        <v>1029</v>
      </c>
      <c r="S51" s="41" t="s">
        <v>863</v>
      </c>
      <c r="T51" s="41" t="s">
        <v>863</v>
      </c>
      <c r="U51" s="41" t="s">
        <v>870</v>
      </c>
      <c r="V51" s="41" t="s">
        <v>870</v>
      </c>
      <c r="W51" s="41" t="s">
        <v>1009</v>
      </c>
      <c r="X51" s="49" t="s">
        <v>888</v>
      </c>
      <c r="Y51" s="49" t="s">
        <v>1016</v>
      </c>
      <c r="Z51" s="49" t="s">
        <v>888</v>
      </c>
      <c r="AA51" s="49" t="s">
        <v>870</v>
      </c>
      <c r="AB51" s="49" t="s">
        <v>1009</v>
      </c>
      <c r="AC51" s="49" t="s">
        <v>1009</v>
      </c>
      <c r="AD51" s="49" t="s">
        <v>1009</v>
      </c>
      <c r="AE51" s="49" t="s">
        <v>1009</v>
      </c>
      <c r="AF51" s="49" t="s">
        <v>870</v>
      </c>
      <c r="AG51" s="49" t="s">
        <v>870</v>
      </c>
    </row>
    <row r="52" spans="1:33" x14ac:dyDescent="0.25">
      <c r="A52" s="40">
        <v>2000051</v>
      </c>
      <c r="B52" s="40" t="s">
        <v>930</v>
      </c>
      <c r="C52" s="41" t="s">
        <v>786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1033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830</v>
      </c>
      <c r="K52" s="41" t="s">
        <v>831</v>
      </c>
      <c r="L52" s="41" t="s">
        <v>835</v>
      </c>
      <c r="M52" s="47" t="s">
        <v>1004</v>
      </c>
      <c r="N52" s="41" t="s">
        <v>1026</v>
      </c>
      <c r="O52" s="48">
        <v>0.7</v>
      </c>
      <c r="P52" s="41" t="s">
        <v>855</v>
      </c>
      <c r="Q52" s="41" t="s">
        <v>859</v>
      </c>
      <c r="R52" s="41" t="s">
        <v>1029</v>
      </c>
      <c r="S52" s="41" t="s">
        <v>863</v>
      </c>
      <c r="T52" s="41" t="s">
        <v>863</v>
      </c>
      <c r="U52" s="41" t="s">
        <v>896</v>
      </c>
      <c r="V52" s="41" t="s">
        <v>863</v>
      </c>
      <c r="W52" s="49" t="s">
        <v>866</v>
      </c>
      <c r="X52" s="49" t="s">
        <v>903</v>
      </c>
      <c r="Y52" s="49" t="s">
        <v>882</v>
      </c>
      <c r="Z52" s="49" t="s">
        <v>1013</v>
      </c>
      <c r="AA52" s="49" t="s">
        <v>863</v>
      </c>
      <c r="AB52" s="49" t="s">
        <v>863</v>
      </c>
      <c r="AC52" s="49" t="s">
        <v>863</v>
      </c>
      <c r="AD52" s="49" t="s">
        <v>863</v>
      </c>
      <c r="AE52" s="49" t="s">
        <v>863</v>
      </c>
      <c r="AF52" s="49" t="s">
        <v>863</v>
      </c>
      <c r="AG52" s="49" t="s">
        <v>863</v>
      </c>
    </row>
    <row r="53" spans="1:33" x14ac:dyDescent="0.25">
      <c r="A53" s="40">
        <v>2000052</v>
      </c>
      <c r="B53" s="40" t="s">
        <v>931</v>
      </c>
      <c r="C53" s="41" t="s">
        <v>786</v>
      </c>
      <c r="D53" s="44">
        <f>SUMIF(CREANCES!$B$2:$B$99999,'INFO CLIENTS'!B53,CREANCES!$J$2:$J$99999) - SUMIF(CREANCES!$B$2:$B$99999,'INFO CLIENTS'!B53,CREANCES!$K$2:$K$99999)</f>
        <v>22800</v>
      </c>
      <c r="E53" s="41" t="s">
        <v>1033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830</v>
      </c>
      <c r="K53" s="41" t="s">
        <v>831</v>
      </c>
      <c r="L53" s="41" t="s">
        <v>835</v>
      </c>
      <c r="M53" s="47" t="s">
        <v>1005</v>
      </c>
      <c r="N53" s="41" t="s">
        <v>1026</v>
      </c>
      <c r="O53" s="48">
        <v>1</v>
      </c>
      <c r="P53" s="41" t="s">
        <v>856</v>
      </c>
      <c r="Q53" s="41" t="s">
        <v>859</v>
      </c>
      <c r="R53" s="41" t="s">
        <v>1029</v>
      </c>
      <c r="S53" s="41" t="s">
        <v>863</v>
      </c>
      <c r="T53" s="41" t="s">
        <v>863</v>
      </c>
      <c r="U53" s="41" t="s">
        <v>870</v>
      </c>
      <c r="V53" s="41" t="s">
        <v>870</v>
      </c>
      <c r="W53" s="41" t="s">
        <v>870</v>
      </c>
      <c r="X53" s="41" t="s">
        <v>870</v>
      </c>
      <c r="Y53" s="41" t="s">
        <v>870</v>
      </c>
      <c r="Z53" s="41" t="s">
        <v>870</v>
      </c>
      <c r="AA53" s="41" t="s">
        <v>870</v>
      </c>
      <c r="AB53" s="41" t="s">
        <v>870</v>
      </c>
      <c r="AC53" s="41" t="s">
        <v>870</v>
      </c>
      <c r="AD53" s="41" t="s">
        <v>870</v>
      </c>
      <c r="AE53" s="41" t="s">
        <v>870</v>
      </c>
      <c r="AF53" s="41" t="s">
        <v>870</v>
      </c>
      <c r="AG53" s="41" t="s">
        <v>870</v>
      </c>
    </row>
    <row r="54" spans="1:33" x14ac:dyDescent="0.25">
      <c r="A54" s="40">
        <v>2000053</v>
      </c>
      <c r="B54" s="40" t="s">
        <v>4486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1033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830</v>
      </c>
      <c r="K54" s="41" t="s">
        <v>831</v>
      </c>
      <c r="L54" s="41" t="s">
        <v>835</v>
      </c>
      <c r="M54" s="47" t="s">
        <v>1006</v>
      </c>
      <c r="N54" s="41" t="s">
        <v>1026</v>
      </c>
      <c r="O54" s="48">
        <v>1</v>
      </c>
      <c r="P54" s="41" t="s">
        <v>856</v>
      </c>
      <c r="Q54" s="41" t="s">
        <v>859</v>
      </c>
      <c r="R54" s="41" t="s">
        <v>1030</v>
      </c>
      <c r="S54" s="41" t="s">
        <v>863</v>
      </c>
      <c r="T54" s="41" t="s">
        <v>863</v>
      </c>
      <c r="U54" s="41" t="s">
        <v>870</v>
      </c>
      <c r="V54" s="41" t="s">
        <v>870</v>
      </c>
      <c r="W54" s="41" t="s">
        <v>870</v>
      </c>
      <c r="X54" s="41" t="s">
        <v>870</v>
      </c>
      <c r="Y54" s="41" t="s">
        <v>870</v>
      </c>
      <c r="Z54" s="41" t="s">
        <v>870</v>
      </c>
      <c r="AA54" s="41" t="s">
        <v>870</v>
      </c>
      <c r="AB54" s="41" t="s">
        <v>870</v>
      </c>
      <c r="AC54" s="41" t="s">
        <v>870</v>
      </c>
      <c r="AD54" s="41" t="s">
        <v>870</v>
      </c>
      <c r="AE54" s="41" t="s">
        <v>870</v>
      </c>
      <c r="AF54" s="41" t="s">
        <v>870</v>
      </c>
      <c r="AG54" s="41" t="s">
        <v>870</v>
      </c>
    </row>
    <row r="55" spans="1:33" x14ac:dyDescent="0.25">
      <c r="A55" s="40">
        <v>2000054</v>
      </c>
      <c r="B55" s="40" t="s">
        <v>4487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1033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830</v>
      </c>
      <c r="K55" s="41" t="s">
        <v>831</v>
      </c>
      <c r="L55" s="41" t="s">
        <v>835</v>
      </c>
      <c r="M55" s="47" t="s">
        <v>1007</v>
      </c>
      <c r="N55" s="41" t="s">
        <v>1026</v>
      </c>
      <c r="O55" s="48">
        <v>1</v>
      </c>
      <c r="P55" s="41" t="s">
        <v>856</v>
      </c>
      <c r="Q55" s="41" t="s">
        <v>859</v>
      </c>
      <c r="R55" s="41" t="s">
        <v>1029</v>
      </c>
      <c r="S55" s="41" t="s">
        <v>863</v>
      </c>
      <c r="T55" s="41" t="s">
        <v>863</v>
      </c>
      <c r="U55" s="41" t="s">
        <v>870</v>
      </c>
      <c r="V55" s="41" t="s">
        <v>870</v>
      </c>
      <c r="W55" s="49" t="s">
        <v>870</v>
      </c>
      <c r="X55" s="49" t="s">
        <v>1012</v>
      </c>
      <c r="Y55" s="49" t="s">
        <v>1012</v>
      </c>
      <c r="Z55" s="49" t="s">
        <v>1012</v>
      </c>
      <c r="AA55" s="49" t="s">
        <v>870</v>
      </c>
      <c r="AB55" s="49" t="s">
        <v>874</v>
      </c>
      <c r="AC55" s="49" t="s">
        <v>874</v>
      </c>
      <c r="AD55" s="49" t="s">
        <v>874</v>
      </c>
      <c r="AE55" s="49" t="s">
        <v>874</v>
      </c>
      <c r="AF55" s="49" t="s">
        <v>872</v>
      </c>
      <c r="AG55" s="49" t="s">
        <v>870</v>
      </c>
    </row>
    <row r="56" spans="1:33" x14ac:dyDescent="0.25">
      <c r="A56" s="40">
        <v>2000055</v>
      </c>
      <c r="B56" s="40" t="s">
        <v>4488</v>
      </c>
      <c r="C56" s="41" t="s">
        <v>916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1032</v>
      </c>
      <c r="F56" s="41" t="s">
        <v>952</v>
      </c>
      <c r="G56" s="50" t="s">
        <v>979</v>
      </c>
      <c r="H56" s="41" t="s">
        <v>978</v>
      </c>
      <c r="I56" s="43">
        <v>44197</v>
      </c>
      <c r="J56" s="41" t="s">
        <v>830</v>
      </c>
      <c r="K56" s="41" t="s">
        <v>832</v>
      </c>
      <c r="L56" s="41" t="s">
        <v>835</v>
      </c>
      <c r="M56" s="47" t="s">
        <v>1008</v>
      </c>
      <c r="N56" s="41" t="s">
        <v>854</v>
      </c>
      <c r="O56" s="48">
        <v>1</v>
      </c>
      <c r="P56" s="41" t="s">
        <v>856</v>
      </c>
      <c r="Q56" s="41" t="s">
        <v>857</v>
      </c>
      <c r="R56" s="41" t="s">
        <v>1029</v>
      </c>
      <c r="S56" s="41" t="s">
        <v>1011</v>
      </c>
      <c r="T56" s="41" t="s">
        <v>1011</v>
      </c>
      <c r="U56" s="41" t="s">
        <v>870</v>
      </c>
      <c r="V56" s="41" t="s">
        <v>870</v>
      </c>
      <c r="W56" s="49" t="s">
        <v>870</v>
      </c>
      <c r="X56" s="49" t="s">
        <v>1018</v>
      </c>
      <c r="Y56" s="49" t="s">
        <v>1023</v>
      </c>
      <c r="Z56" s="49" t="s">
        <v>1023</v>
      </c>
      <c r="AA56" s="49" t="s">
        <v>870</v>
      </c>
      <c r="AB56" s="49" t="s">
        <v>870</v>
      </c>
      <c r="AC56" s="49" t="s">
        <v>1021</v>
      </c>
      <c r="AD56" s="41" t="s">
        <v>870</v>
      </c>
      <c r="AE56" s="41" t="s">
        <v>871</v>
      </c>
      <c r="AF56" s="49" t="s">
        <v>908</v>
      </c>
      <c r="AG56" s="49" t="s">
        <v>870</v>
      </c>
    </row>
    <row r="57" spans="1:33" x14ac:dyDescent="0.25">
      <c r="A57" s="40">
        <v>2000056</v>
      </c>
      <c r="B57" s="40" t="s">
        <v>4489</v>
      </c>
      <c r="C57" s="41" t="s">
        <v>916</v>
      </c>
      <c r="D57" s="44">
        <f>SUMIF(CREANCES!$B$2:$B$99999,'INFO CLIENTS'!B57,CREANCES!$J$2:$J$99999) - SUMIF(CREANCES!$B$2:$B$99999,'INFO CLIENTS'!B57,CREANCES!$K$2:$K$99999)</f>
        <v>0</v>
      </c>
      <c r="E57" s="41" t="s">
        <v>1033</v>
      </c>
      <c r="F57" s="41" t="s">
        <v>952</v>
      </c>
      <c r="G57" s="50" t="s">
        <v>979</v>
      </c>
      <c r="H57" s="41"/>
      <c r="I57" s="43">
        <v>44197</v>
      </c>
      <c r="J57" s="41" t="s">
        <v>830</v>
      </c>
      <c r="K57" s="41" t="s">
        <v>834</v>
      </c>
      <c r="L57" s="41" t="s">
        <v>835</v>
      </c>
      <c r="M57" s="47" t="s">
        <v>1062</v>
      </c>
      <c r="N57" s="41" t="s">
        <v>854</v>
      </c>
      <c r="O57" s="48">
        <v>1</v>
      </c>
      <c r="P57" s="41" t="s">
        <v>855</v>
      </c>
      <c r="Q57" s="41" t="s">
        <v>1031</v>
      </c>
      <c r="R57" s="41" t="s">
        <v>922</v>
      </c>
      <c r="S57" s="41" t="s">
        <v>863</v>
      </c>
      <c r="T57" s="41" t="s">
        <v>863</v>
      </c>
      <c r="U57" s="41" t="s">
        <v>860</v>
      </c>
      <c r="V57" s="41" t="s">
        <v>863</v>
      </c>
      <c r="W57" s="49" t="s">
        <v>863</v>
      </c>
      <c r="X57" s="49" t="s">
        <v>1013</v>
      </c>
      <c r="Y57" s="49" t="s">
        <v>903</v>
      </c>
      <c r="Z57" s="49" t="s">
        <v>900</v>
      </c>
      <c r="AA57" s="49" t="s">
        <v>863</v>
      </c>
      <c r="AB57" s="41" t="s">
        <v>863</v>
      </c>
      <c r="AC57" s="41" t="s">
        <v>863</v>
      </c>
      <c r="AD57" s="41" t="s">
        <v>863</v>
      </c>
      <c r="AE57" s="41" t="s">
        <v>863</v>
      </c>
      <c r="AF57" s="49" t="s">
        <v>867</v>
      </c>
      <c r="AG57" s="41" t="s">
        <v>863</v>
      </c>
    </row>
    <row r="58" spans="1:33" x14ac:dyDescent="0.25">
      <c r="A58" s="40">
        <v>2000057</v>
      </c>
      <c r="B58" s="40" t="s">
        <v>1053</v>
      </c>
      <c r="C58" s="41" t="s">
        <v>788</v>
      </c>
      <c r="D58" s="44">
        <v>6375</v>
      </c>
      <c r="E58" s="41" t="s">
        <v>1033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830</v>
      </c>
      <c r="K58" s="41" t="s">
        <v>834</v>
      </c>
      <c r="L58" s="41" t="s">
        <v>835</v>
      </c>
      <c r="M58" s="47" t="s">
        <v>26</v>
      </c>
      <c r="N58" s="41" t="s">
        <v>1025</v>
      </c>
      <c r="O58" s="48">
        <v>0</v>
      </c>
      <c r="P58" s="41" t="s">
        <v>1055</v>
      </c>
      <c r="Q58" s="41" t="s">
        <v>1028</v>
      </c>
      <c r="R58" s="41" t="s">
        <v>915</v>
      </c>
      <c r="S58" s="41" t="s">
        <v>870</v>
      </c>
      <c r="T58" s="41" t="s">
        <v>870</v>
      </c>
      <c r="U58" s="41" t="s">
        <v>870</v>
      </c>
      <c r="V58" s="41" t="s">
        <v>870</v>
      </c>
      <c r="W58" s="41" t="s">
        <v>870</v>
      </c>
      <c r="X58" s="41" t="s">
        <v>870</v>
      </c>
      <c r="Y58" s="41" t="s">
        <v>870</v>
      </c>
      <c r="Z58" s="41" t="s">
        <v>870</v>
      </c>
      <c r="AA58" s="41" t="s">
        <v>870</v>
      </c>
      <c r="AB58" s="41" t="s">
        <v>870</v>
      </c>
      <c r="AC58" s="41" t="s">
        <v>870</v>
      </c>
      <c r="AD58" s="41" t="s">
        <v>870</v>
      </c>
      <c r="AE58" s="41" t="s">
        <v>870</v>
      </c>
      <c r="AF58" s="41" t="s">
        <v>870</v>
      </c>
      <c r="AG58" s="41" t="s">
        <v>870</v>
      </c>
    </row>
    <row r="59" spans="1:33" x14ac:dyDescent="0.25">
      <c r="A59" s="40">
        <v>2000058</v>
      </c>
      <c r="B59" s="40" t="s">
        <v>1054</v>
      </c>
      <c r="C59" s="41" t="s">
        <v>24</v>
      </c>
      <c r="D59" s="44">
        <v>108872.24</v>
      </c>
      <c r="E59" s="41" t="s">
        <v>1033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830</v>
      </c>
      <c r="K59" s="41" t="s">
        <v>834</v>
      </c>
      <c r="L59" s="41" t="s">
        <v>835</v>
      </c>
      <c r="M59" s="47" t="s">
        <v>1063</v>
      </c>
      <c r="N59" s="41" t="s">
        <v>1026</v>
      </c>
      <c r="O59" s="48">
        <v>0</v>
      </c>
      <c r="P59" s="41" t="s">
        <v>855</v>
      </c>
      <c r="Q59" s="41" t="s">
        <v>1028</v>
      </c>
      <c r="R59" s="41" t="s">
        <v>915</v>
      </c>
      <c r="S59" s="41" t="s">
        <v>863</v>
      </c>
      <c r="T59" s="41" t="s">
        <v>863</v>
      </c>
      <c r="U59" s="41" t="s">
        <v>870</v>
      </c>
      <c r="V59" s="41" t="s">
        <v>870</v>
      </c>
      <c r="W59" s="49" t="s">
        <v>866</v>
      </c>
      <c r="X59" s="49" t="s">
        <v>888</v>
      </c>
      <c r="Y59" s="49" t="s">
        <v>888</v>
      </c>
      <c r="Z59" s="49" t="s">
        <v>888</v>
      </c>
      <c r="AA59" s="49" t="s">
        <v>863</v>
      </c>
      <c r="AB59" s="41" t="s">
        <v>863</v>
      </c>
      <c r="AC59" s="41" t="s">
        <v>1020</v>
      </c>
      <c r="AD59" s="41" t="s">
        <v>862</v>
      </c>
      <c r="AE59" s="41" t="s">
        <v>862</v>
      </c>
      <c r="AF59" s="49" t="s">
        <v>872</v>
      </c>
      <c r="AG59" s="41" t="s">
        <v>863</v>
      </c>
    </row>
    <row r="60" spans="1:33" x14ac:dyDescent="0.25">
      <c r="A60" s="40">
        <v>2000059</v>
      </c>
      <c r="B60" s="40" t="s">
        <v>207</v>
      </c>
      <c r="C60" s="41" t="s">
        <v>26</v>
      </c>
      <c r="D60" s="44">
        <v>-26159.52</v>
      </c>
      <c r="E60" s="41" t="s">
        <v>1033</v>
      </c>
      <c r="F60" s="41" t="s">
        <v>1056</v>
      </c>
      <c r="G60" s="50" t="s">
        <v>1057</v>
      </c>
      <c r="H60" s="41" t="s">
        <v>1058</v>
      </c>
      <c r="I60" s="43">
        <v>44927</v>
      </c>
      <c r="J60" s="41" t="s">
        <v>830</v>
      </c>
      <c r="K60" s="41" t="s">
        <v>834</v>
      </c>
      <c r="L60" s="41" t="s">
        <v>835</v>
      </c>
      <c r="M60" s="47" t="s">
        <v>1064</v>
      </c>
      <c r="N60" s="41" t="s">
        <v>854</v>
      </c>
      <c r="O60" s="48">
        <v>0</v>
      </c>
      <c r="P60" s="41" t="s">
        <v>855</v>
      </c>
      <c r="Q60" s="41" t="s">
        <v>1031</v>
      </c>
      <c r="R60" s="41" t="s">
        <v>915</v>
      </c>
      <c r="S60" s="41" t="s">
        <v>863</v>
      </c>
      <c r="T60" s="41" t="s">
        <v>863</v>
      </c>
      <c r="U60" s="41" t="s">
        <v>870</v>
      </c>
      <c r="V60" s="41" t="s">
        <v>870</v>
      </c>
      <c r="W60" s="41" t="s">
        <v>1011</v>
      </c>
      <c r="X60" s="41" t="s">
        <v>1018</v>
      </c>
      <c r="Y60" s="41" t="s">
        <v>1059</v>
      </c>
      <c r="Z60" s="41" t="s">
        <v>1059</v>
      </c>
      <c r="AA60" s="49" t="s">
        <v>870</v>
      </c>
      <c r="AB60" s="41" t="s">
        <v>890</v>
      </c>
      <c r="AC60" s="41" t="s">
        <v>890</v>
      </c>
      <c r="AD60" s="41" t="s">
        <v>890</v>
      </c>
      <c r="AE60" s="41" t="s">
        <v>890</v>
      </c>
      <c r="AF60" s="41" t="s">
        <v>870</v>
      </c>
      <c r="AG60" s="41" t="s">
        <v>870</v>
      </c>
    </row>
    <row r="61" spans="1:33" x14ac:dyDescent="0.25">
      <c r="A61" s="40">
        <v>2000060</v>
      </c>
      <c r="B61" s="40" t="s">
        <v>4490</v>
      </c>
      <c r="C61" s="41" t="s">
        <v>916</v>
      </c>
      <c r="D61" s="44">
        <f>SUMIF(CREANCES!$B$2:$B$99999,'INFO CLIENTS'!B61,CREANCES!$J$2:$J$99999) - SUMIF(CREANCES!$B$2:$B$99999,'INFO CLIENTS'!B61,CREANCES!$K$2:$K$99999)</f>
        <v>0</v>
      </c>
      <c r="E61" s="41" t="s">
        <v>1032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830</v>
      </c>
      <c r="K61" s="41" t="s">
        <v>834</v>
      </c>
      <c r="L61" s="41" t="s">
        <v>835</v>
      </c>
      <c r="M61" s="47" t="s">
        <v>1065</v>
      </c>
      <c r="N61" s="41" t="s">
        <v>854</v>
      </c>
      <c r="O61" s="48">
        <v>1</v>
      </c>
      <c r="P61" s="41" t="s">
        <v>855</v>
      </c>
      <c r="Q61" s="41" t="s">
        <v>857</v>
      </c>
      <c r="R61" s="41" t="s">
        <v>915</v>
      </c>
      <c r="S61" s="41" t="s">
        <v>1060</v>
      </c>
      <c r="T61" s="41" t="s">
        <v>1061</v>
      </c>
      <c r="U61" s="41" t="s">
        <v>863</v>
      </c>
      <c r="V61" s="41" t="s">
        <v>860</v>
      </c>
      <c r="W61" s="41" t="s">
        <v>863</v>
      </c>
      <c r="X61" s="41" t="s">
        <v>863</v>
      </c>
      <c r="Y61" s="41" t="s">
        <v>863</v>
      </c>
      <c r="Z61" s="41" t="s">
        <v>863</v>
      </c>
      <c r="AA61" s="41" t="s">
        <v>863</v>
      </c>
      <c r="AB61" s="41" t="s">
        <v>863</v>
      </c>
      <c r="AC61" s="41" t="s">
        <v>863</v>
      </c>
      <c r="AD61" s="41" t="s">
        <v>863</v>
      </c>
      <c r="AE61" s="41" t="s">
        <v>863</v>
      </c>
      <c r="AF61" s="41" t="s">
        <v>863</v>
      </c>
      <c r="AG61" s="41" t="s">
        <v>863</v>
      </c>
    </row>
    <row r="62" spans="1:33" x14ac:dyDescent="0.25">
      <c r="A62" s="40">
        <v>2000061</v>
      </c>
      <c r="B62" s="40" t="s">
        <v>4464</v>
      </c>
      <c r="C62" s="41" t="s">
        <v>916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1033</v>
      </c>
      <c r="F62" s="41" t="s">
        <v>4463</v>
      </c>
      <c r="G62" s="50" t="s">
        <v>4462</v>
      </c>
      <c r="H62" s="41" t="s">
        <v>26</v>
      </c>
      <c r="I62" s="43">
        <v>45658</v>
      </c>
      <c r="J62" s="41" t="s">
        <v>830</v>
      </c>
      <c r="K62" s="41" t="s">
        <v>834</v>
      </c>
      <c r="L62" s="44">
        <f>D62</f>
        <v>-15784.416000000001</v>
      </c>
      <c r="M62" s="47" t="s">
        <v>4465</v>
      </c>
      <c r="N62" s="41" t="s">
        <v>854</v>
      </c>
      <c r="O62" s="48">
        <v>1</v>
      </c>
      <c r="P62" s="41" t="s">
        <v>855</v>
      </c>
      <c r="Q62" s="41" t="s">
        <v>857</v>
      </c>
      <c r="R62" s="41" t="s">
        <v>922</v>
      </c>
      <c r="S62" s="41" t="s">
        <v>863</v>
      </c>
      <c r="T62" s="41" t="s">
        <v>863</v>
      </c>
      <c r="U62" s="41" t="s">
        <v>863</v>
      </c>
      <c r="V62" s="41" t="s">
        <v>863</v>
      </c>
      <c r="W62" s="41" t="s">
        <v>863</v>
      </c>
      <c r="X62" s="41" t="s">
        <v>880</v>
      </c>
      <c r="Y62" s="41" t="s">
        <v>863</v>
      </c>
      <c r="Z62" s="41" t="s">
        <v>910</v>
      </c>
      <c r="AA62" s="41" t="s">
        <v>860</v>
      </c>
      <c r="AB62" s="41" t="s">
        <v>863</v>
      </c>
      <c r="AC62" s="41" t="s">
        <v>863</v>
      </c>
      <c r="AD62" s="41" t="s">
        <v>863</v>
      </c>
      <c r="AE62" s="41" t="s">
        <v>863</v>
      </c>
      <c r="AF62" s="41" t="s">
        <v>863</v>
      </c>
      <c r="AG62" s="41" t="s">
        <v>863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v>0</v>
      </c>
      <c r="E63" s="41" t="s">
        <v>1033</v>
      </c>
      <c r="F63" s="41" t="s">
        <v>6185</v>
      </c>
      <c r="G63" s="50" t="s">
        <v>26</v>
      </c>
      <c r="H63" s="41" t="s">
        <v>6186</v>
      </c>
      <c r="I63" s="43">
        <v>44927</v>
      </c>
      <c r="J63" s="41" t="s">
        <v>830</v>
      </c>
      <c r="K63" s="41" t="s">
        <v>834</v>
      </c>
      <c r="L63" s="41" t="s">
        <v>835</v>
      </c>
      <c r="M63" s="47" t="s">
        <v>6187</v>
      </c>
      <c r="N63" s="41" t="s">
        <v>854</v>
      </c>
      <c r="O63" s="48">
        <v>0</v>
      </c>
      <c r="P63" s="41" t="s">
        <v>1055</v>
      </c>
      <c r="Q63" s="41" t="s">
        <v>857</v>
      </c>
      <c r="R63" s="41" t="s">
        <v>915</v>
      </c>
      <c r="S63" s="41" t="s">
        <v>870</v>
      </c>
      <c r="T63" s="41" t="s">
        <v>870</v>
      </c>
      <c r="U63" s="41" t="s">
        <v>870</v>
      </c>
      <c r="V63" s="41" t="s">
        <v>870</v>
      </c>
      <c r="W63" s="41" t="s">
        <v>870</v>
      </c>
      <c r="X63" s="41" t="s">
        <v>6188</v>
      </c>
      <c r="Y63" s="41" t="s">
        <v>1018</v>
      </c>
      <c r="Z63" s="41" t="s">
        <v>870</v>
      </c>
      <c r="AA63" s="41" t="s">
        <v>870</v>
      </c>
      <c r="AB63" s="41" t="s">
        <v>870</v>
      </c>
      <c r="AC63" s="41" t="s">
        <v>870</v>
      </c>
      <c r="AD63" s="41" t="s">
        <v>870</v>
      </c>
      <c r="AE63" s="41" t="s">
        <v>870</v>
      </c>
      <c r="AF63" s="41" t="s">
        <v>872</v>
      </c>
      <c r="AG63" s="41" t="s">
        <v>870</v>
      </c>
    </row>
    <row r="64" spans="1:33" x14ac:dyDescent="0.25">
      <c r="A64" s="40">
        <v>2000063</v>
      </c>
      <c r="B64" s="40" t="s">
        <v>6189</v>
      </c>
      <c r="C64" s="41" t="s">
        <v>24</v>
      </c>
      <c r="D64" s="44">
        <v>0</v>
      </c>
      <c r="E64" s="41" t="s">
        <v>1033</v>
      </c>
      <c r="F64" s="41" t="s">
        <v>6190</v>
      </c>
      <c r="G64" s="50" t="s">
        <v>26</v>
      </c>
      <c r="H64" s="41" t="s">
        <v>6191</v>
      </c>
      <c r="I64" s="43">
        <v>45292</v>
      </c>
      <c r="J64" s="41" t="s">
        <v>830</v>
      </c>
      <c r="K64" s="41" t="s">
        <v>834</v>
      </c>
      <c r="L64" s="41" t="s">
        <v>835</v>
      </c>
      <c r="M64" s="47" t="s">
        <v>6192</v>
      </c>
      <c r="N64" s="41" t="s">
        <v>854</v>
      </c>
      <c r="O64" s="48">
        <v>0</v>
      </c>
      <c r="P64" s="41" t="s">
        <v>855</v>
      </c>
      <c r="Q64" s="41" t="s">
        <v>857</v>
      </c>
      <c r="R64" s="41" t="s">
        <v>915</v>
      </c>
      <c r="S64" s="41" t="s">
        <v>863</v>
      </c>
      <c r="T64" s="41" t="s">
        <v>863</v>
      </c>
      <c r="U64" s="41" t="s">
        <v>863</v>
      </c>
      <c r="V64" s="41" t="s">
        <v>863</v>
      </c>
      <c r="W64" s="41" t="s">
        <v>863</v>
      </c>
      <c r="X64" s="41" t="s">
        <v>863</v>
      </c>
      <c r="Y64" s="41" t="s">
        <v>863</v>
      </c>
      <c r="Z64" s="41" t="s">
        <v>863</v>
      </c>
      <c r="AA64" s="41" t="s">
        <v>863</v>
      </c>
      <c r="AB64" s="41" t="s">
        <v>863</v>
      </c>
      <c r="AC64" s="41" t="s">
        <v>866</v>
      </c>
      <c r="AD64" s="41" t="s">
        <v>866</v>
      </c>
      <c r="AE64" s="41" t="s">
        <v>863</v>
      </c>
      <c r="AF64" s="41" t="s">
        <v>863</v>
      </c>
      <c r="AG64" s="41" t="s">
        <v>863</v>
      </c>
    </row>
    <row r="65" spans="1:33" x14ac:dyDescent="0.25">
      <c r="A65" s="40">
        <v>2000064</v>
      </c>
      <c r="B65" s="40" t="s">
        <v>6193</v>
      </c>
      <c r="C65" s="41" t="s">
        <v>788</v>
      </c>
      <c r="D65" s="44">
        <v>0</v>
      </c>
      <c r="E65" s="41" t="s">
        <v>1033</v>
      </c>
      <c r="F65" s="41" t="s">
        <v>6194</v>
      </c>
      <c r="G65" s="50" t="s">
        <v>26</v>
      </c>
      <c r="H65" s="41" t="s">
        <v>6195</v>
      </c>
      <c r="I65" s="43">
        <v>44927</v>
      </c>
      <c r="J65" s="44">
        <v>20000</v>
      </c>
      <c r="K65" s="41" t="s">
        <v>831</v>
      </c>
      <c r="L65" s="87">
        <f>J65</f>
        <v>20000</v>
      </c>
      <c r="M65" s="47" t="s">
        <v>6196</v>
      </c>
      <c r="N65" s="41" t="s">
        <v>854</v>
      </c>
      <c r="O65" s="48">
        <v>1</v>
      </c>
      <c r="P65" s="41" t="s">
        <v>1055</v>
      </c>
      <c r="Q65" s="41" t="s">
        <v>6197</v>
      </c>
      <c r="R65" s="41" t="s">
        <v>1030</v>
      </c>
      <c r="S65" s="41" t="s">
        <v>870</v>
      </c>
      <c r="T65" s="41" t="s">
        <v>870</v>
      </c>
      <c r="U65" s="41" t="s">
        <v>870</v>
      </c>
      <c r="V65" s="41" t="s">
        <v>870</v>
      </c>
      <c r="W65" s="41" t="s">
        <v>1009</v>
      </c>
      <c r="X65" s="41" t="s">
        <v>886</v>
      </c>
      <c r="Y65" s="41" t="s">
        <v>1016</v>
      </c>
      <c r="Z65" s="41" t="s">
        <v>888</v>
      </c>
      <c r="AA65" s="41" t="s">
        <v>870</v>
      </c>
      <c r="AB65" s="41" t="s">
        <v>870</v>
      </c>
      <c r="AC65" s="41" t="s">
        <v>870</v>
      </c>
      <c r="AD65" s="41" t="s">
        <v>870</v>
      </c>
      <c r="AE65" s="41" t="s">
        <v>870</v>
      </c>
      <c r="AF65" s="41" t="s">
        <v>870</v>
      </c>
      <c r="AG65" s="41" t="s">
        <v>870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</cp:lastModifiedBy>
  <dcterms:created xsi:type="dcterms:W3CDTF">2024-12-30T21:11:29Z</dcterms:created>
  <dcterms:modified xsi:type="dcterms:W3CDTF">2025-02-21T23:40:00Z</dcterms:modified>
</cp:coreProperties>
</file>