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05AB9085-7A25-4D98-B4B3-4FD93DAC4EB9}" xr6:coauthVersionLast="47" xr6:coauthVersionMax="47" xr10:uidLastSave="{00000000-0000-0000-0000-000000000000}"/>
  <bookViews>
    <workbookView xWindow="-120" yWindow="-120" windowWidth="29040" windowHeight="1578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CREANCES!$A$1:$L$213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9" l="1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U3601" i="1" s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U3542" i="1" s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U3504" i="1" s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U3477" i="1" s="1"/>
  <c r="V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U3367" i="1" s="1"/>
  <c r="V3367" i="1" s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U3309" i="1" s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U3263" i="1" s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U3247" i="1" s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Y3233" i="1" s="1"/>
  <c r="R3233" i="1"/>
  <c r="N3233" i="1"/>
  <c r="X3232" i="1"/>
  <c r="T3232" i="1"/>
  <c r="R3232" i="1"/>
  <c r="N3232" i="1"/>
  <c r="T3231" i="1"/>
  <c r="Y3231" i="1" s="1"/>
  <c r="R3231" i="1"/>
  <c r="U3231" i="1" s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U3202" i="1" s="1"/>
  <c r="V3202" i="1" s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036" i="1" l="1"/>
  <c r="V3036" i="1" s="1"/>
  <c r="U2908" i="1"/>
  <c r="U2939" i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W3036" i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V3247" i="1"/>
  <c r="W3247" i="1" s="1"/>
  <c r="Y2473" i="1"/>
  <c r="U2473" i="1"/>
  <c r="Y2622" i="1"/>
  <c r="U2622" i="1"/>
  <c r="V2939" i="1"/>
  <c r="W2939" i="1" s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V3542" i="1"/>
  <c r="W3542" i="1" s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V3309" i="1"/>
  <c r="W3309" i="1" s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V2830" i="1"/>
  <c r="W2830" i="1" s="1"/>
  <c r="U2937" i="1"/>
  <c r="U2950" i="1"/>
  <c r="U2952" i="1"/>
  <c r="U3071" i="1"/>
  <c r="V2908" i="1"/>
  <c r="W2908" i="1" s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V3263" i="1"/>
  <c r="W3263" i="1" s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V2876" i="1"/>
  <c r="W2876" i="1" s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V3499" i="1"/>
  <c r="W3499" i="1" s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231" i="1"/>
  <c r="W3231" i="1" s="1"/>
  <c r="V3418" i="1"/>
  <c r="W3418" i="1" s="1"/>
  <c r="U2896" i="1"/>
  <c r="Y2923" i="1"/>
  <c r="V2993" i="1"/>
  <c r="W2993" i="1" s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V3504" i="1"/>
  <c r="W3504" i="1" s="1"/>
  <c r="Y3554" i="1"/>
  <c r="U3554" i="1"/>
  <c r="W3367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V3601" i="1"/>
  <c r="W3601" i="1" s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331" i="1" l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<sst xmlns="http://schemas.openxmlformats.org/spreadsheetml/2006/main" count="47575" uniqueCount="6788">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</sst>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0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3" fontId="0" fillId="0" borderId="7" xfId="1" applyFont="1" applyBorder="1" applyAlignment="1">
      <alignment horizontal="center"/>
    </xf>
    <xf numFmtId="43" fontId="0" fillId="0" borderId="7" xfId="1" applyFont="1" applyBorder="1" applyAlignment="1">
      <alignment horizontal="right"/>
    </xf>
    <xf numFmtId="43" fontId="3" fillId="0" borderId="7" xfId="1" applyFont="1" applyBorder="1" applyAlignment="1">
      <alignment horizontal="right"/>
    </xf>
    <xf numFmtId="164" fontId="0" fillId="0" borderId="7" xfId="0" applyNumberFormat="1" applyBorder="1"/>
    <xf numFmtId="164" fontId="0" fillId="0" borderId="0" xfId="0" applyNumberFormat="1"/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workbookViewId="0">
      <selection activeCell="H17" sqref="H17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4534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7" t="s">
        <v>24</v>
      </c>
      <c r="AA1" s="9" t="s">
        <v>25</v>
      </c>
    </row>
    <row r="2" spans="1:27" x14ac:dyDescent="0.25">
      <c r="A2" s="10">
        <v>45658</v>
      </c>
      <c r="B2" s="11" t="s">
        <v>712</v>
      </c>
      <c r="C2" s="11" t="s">
        <v>1057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5">
        <v>87</v>
      </c>
      <c r="P2" s="85" t="s">
        <v>30</v>
      </c>
      <c r="Q2" s="85">
        <v>0</v>
      </c>
      <c r="R2" s="29">
        <v>3660.96</v>
      </c>
      <c r="S2" s="86">
        <v>38</v>
      </c>
      <c r="T2" s="86">
        <v>1599.04</v>
      </c>
      <c r="U2" s="86">
        <v>2061.92</v>
      </c>
      <c r="V2" s="86">
        <v>2061.92</v>
      </c>
      <c r="W2" s="86">
        <v>0</v>
      </c>
      <c r="X2" s="86">
        <v>1514.8799999999999</v>
      </c>
      <c r="Y2" s="87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1058</v>
      </c>
      <c r="C3" s="11" t="s">
        <v>1059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6335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5">
        <v>42.5</v>
      </c>
      <c r="P3" s="85"/>
      <c r="Q3" s="85">
        <v>0</v>
      </c>
      <c r="R3" s="29">
        <v>1682.1499999999999</v>
      </c>
      <c r="S3" s="86">
        <v>0</v>
      </c>
      <c r="T3" s="86">
        <v>0</v>
      </c>
      <c r="U3" s="86">
        <v>1682.1499999999999</v>
      </c>
      <c r="V3" s="86">
        <v>0</v>
      </c>
      <c r="W3" s="86">
        <v>1682.1499999999999</v>
      </c>
      <c r="X3" s="86">
        <v>0</v>
      </c>
      <c r="Y3" s="87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1060</v>
      </c>
      <c r="C4" s="11" t="s">
        <v>1061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4431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5">
        <v>88</v>
      </c>
      <c r="P4" s="85" t="s">
        <v>30</v>
      </c>
      <c r="Q4" s="85">
        <v>0</v>
      </c>
      <c r="R4" s="29">
        <v>3129.28</v>
      </c>
      <c r="S4" s="86">
        <v>41</v>
      </c>
      <c r="T4" s="86">
        <v>1457.96</v>
      </c>
      <c r="U4" s="86">
        <v>1671.3200000000002</v>
      </c>
      <c r="V4" s="86">
        <v>1671.3200000000002</v>
      </c>
      <c r="W4" s="86">
        <v>0</v>
      </c>
      <c r="X4" s="86">
        <v>1422.4</v>
      </c>
      <c r="Y4" s="87">
        <v>35.559999999999945</v>
      </c>
      <c r="Z4" s="69" t="s">
        <v>141</v>
      </c>
      <c r="AA4" s="12" t="s">
        <v>746</v>
      </c>
    </row>
    <row r="5" spans="1:27" x14ac:dyDescent="0.25">
      <c r="A5" s="10">
        <v>45658</v>
      </c>
      <c r="B5" s="11" t="s">
        <v>1062</v>
      </c>
      <c r="C5" s="11" t="s">
        <v>1063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5">
        <v>87</v>
      </c>
      <c r="P5" s="85" t="s">
        <v>30</v>
      </c>
      <c r="Q5" s="85">
        <v>0</v>
      </c>
      <c r="R5" s="29">
        <v>3554.82</v>
      </c>
      <c r="S5" s="86">
        <v>38</v>
      </c>
      <c r="T5" s="86">
        <v>1552.68</v>
      </c>
      <c r="U5" s="86">
        <v>2002.14</v>
      </c>
      <c r="V5" s="86">
        <v>2002.14</v>
      </c>
      <c r="W5" s="86">
        <v>0</v>
      </c>
      <c r="X5" s="86">
        <v>1470.96</v>
      </c>
      <c r="Y5" s="87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1064</v>
      </c>
      <c r="C6" s="11" t="s">
        <v>1065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5">
        <v>85</v>
      </c>
      <c r="P6" s="85" t="s">
        <v>30</v>
      </c>
      <c r="Q6" s="85">
        <v>0</v>
      </c>
      <c r="R6" s="86">
        <v>3595.4999999999995</v>
      </c>
      <c r="S6" s="86">
        <v>38</v>
      </c>
      <c r="T6" s="86">
        <v>1607.3999999999999</v>
      </c>
      <c r="U6" s="86">
        <v>1988.0999999999997</v>
      </c>
      <c r="V6" s="86">
        <v>1988.0999999999997</v>
      </c>
      <c r="W6" s="86">
        <v>0</v>
      </c>
      <c r="X6" s="86">
        <v>1522.8</v>
      </c>
      <c r="Y6" s="87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1066</v>
      </c>
      <c r="C7" s="11" t="s">
        <v>1067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5">
        <v>85</v>
      </c>
      <c r="P7" s="85" t="s">
        <v>30</v>
      </c>
      <c r="Q7" s="85">
        <v>0</v>
      </c>
      <c r="R7" s="29">
        <v>3575.1000000000004</v>
      </c>
      <c r="S7" s="86">
        <v>38</v>
      </c>
      <c r="T7" s="86">
        <v>1598.2800000000002</v>
      </c>
      <c r="U7" s="86">
        <v>1976.8200000000002</v>
      </c>
      <c r="V7" s="86">
        <v>1976.8200000000002</v>
      </c>
      <c r="W7" s="86">
        <v>0</v>
      </c>
      <c r="X7" s="87">
        <v>1556.22</v>
      </c>
      <c r="Y7" s="87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1068</v>
      </c>
      <c r="D8" s="11" t="s">
        <v>26</v>
      </c>
      <c r="E8" s="11" t="s">
        <v>1069</v>
      </c>
      <c r="F8" s="11" t="s">
        <v>26</v>
      </c>
      <c r="G8" s="11">
        <v>111846</v>
      </c>
      <c r="H8" s="12" t="s">
        <v>4453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5">
        <v>44</v>
      </c>
      <c r="P8" s="85" t="s">
        <v>30</v>
      </c>
      <c r="Q8" s="85">
        <v>0</v>
      </c>
      <c r="R8" s="29">
        <v>1547.04</v>
      </c>
      <c r="S8" s="86">
        <v>0</v>
      </c>
      <c r="T8" s="86">
        <v>0</v>
      </c>
      <c r="U8" s="86">
        <v>1547.04</v>
      </c>
      <c r="V8" s="86">
        <v>1547.04</v>
      </c>
      <c r="W8" s="86">
        <v>0</v>
      </c>
      <c r="X8" s="87">
        <v>0</v>
      </c>
      <c r="Y8" s="87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1070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5">
        <v>40</v>
      </c>
      <c r="P9" s="85"/>
      <c r="Q9" s="85">
        <v>0</v>
      </c>
      <c r="R9" s="29">
        <v>1687.2</v>
      </c>
      <c r="S9" s="86">
        <v>0</v>
      </c>
      <c r="T9" s="86">
        <v>0</v>
      </c>
      <c r="U9" s="86">
        <v>1687.2</v>
      </c>
      <c r="V9" s="86">
        <v>0</v>
      </c>
      <c r="W9" s="86">
        <v>1687.2</v>
      </c>
      <c r="X9" s="86">
        <v>0</v>
      </c>
      <c r="Y9" s="87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663</v>
      </c>
      <c r="C10" s="11" t="s">
        <v>1071</v>
      </c>
      <c r="D10" s="11" t="s">
        <v>26</v>
      </c>
      <c r="E10" s="11" t="s">
        <v>1072</v>
      </c>
      <c r="F10" s="11" t="s">
        <v>26</v>
      </c>
      <c r="G10" s="11">
        <v>111848</v>
      </c>
      <c r="H10" s="12" t="s">
        <v>4453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5">
        <v>42</v>
      </c>
      <c r="P10" s="85" t="s">
        <v>30</v>
      </c>
      <c r="Q10" s="85">
        <v>0</v>
      </c>
      <c r="R10" s="29">
        <v>1753.0800000000002</v>
      </c>
      <c r="S10" s="86">
        <v>0</v>
      </c>
      <c r="T10" s="86">
        <v>0</v>
      </c>
      <c r="U10" s="86">
        <v>1753.0800000000002</v>
      </c>
      <c r="V10" s="86">
        <v>1753.0800000000002</v>
      </c>
      <c r="W10" s="86">
        <v>0</v>
      </c>
      <c r="X10" s="87">
        <v>0</v>
      </c>
      <c r="Y10" s="87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1073</v>
      </c>
      <c r="C11" s="11" t="s">
        <v>1074</v>
      </c>
      <c r="D11" s="11" t="s">
        <v>26</v>
      </c>
      <c r="E11" s="11" t="s">
        <v>1075</v>
      </c>
      <c r="F11" s="11" t="s">
        <v>26</v>
      </c>
      <c r="G11" s="11">
        <v>111847</v>
      </c>
      <c r="H11" s="12" t="s">
        <v>4453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5">
        <v>42</v>
      </c>
      <c r="P11" s="85" t="s">
        <v>30</v>
      </c>
      <c r="Q11" s="85">
        <v>0</v>
      </c>
      <c r="R11" s="86">
        <v>1677.48</v>
      </c>
      <c r="S11" s="86">
        <v>0</v>
      </c>
      <c r="T11" s="86">
        <v>0</v>
      </c>
      <c r="U11" s="86">
        <v>1677.48</v>
      </c>
      <c r="V11" s="86">
        <v>1677.48</v>
      </c>
      <c r="W11" s="86">
        <v>0</v>
      </c>
      <c r="X11" s="86">
        <v>0</v>
      </c>
      <c r="Y11" s="87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1076</v>
      </c>
      <c r="C12" s="11" t="s">
        <v>1077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5">
        <v>83</v>
      </c>
      <c r="P12" s="85" t="s">
        <v>30</v>
      </c>
      <c r="Q12" s="85">
        <v>0</v>
      </c>
      <c r="R12" s="29">
        <v>3539.12</v>
      </c>
      <c r="S12" s="86">
        <v>38</v>
      </c>
      <c r="T12" s="86">
        <v>1620.32</v>
      </c>
      <c r="U12" s="86">
        <v>1918.8</v>
      </c>
      <c r="V12" s="86">
        <v>1918.8</v>
      </c>
      <c r="W12" s="86">
        <v>0</v>
      </c>
      <c r="X12" s="86">
        <v>1577.68</v>
      </c>
      <c r="Y12" s="87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1078</v>
      </c>
      <c r="C13" s="11" t="s">
        <v>1079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4455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5">
        <v>15</v>
      </c>
      <c r="P13" s="85" t="s">
        <v>30</v>
      </c>
      <c r="Q13" s="85">
        <v>0</v>
      </c>
      <c r="R13" s="29">
        <v>562.5</v>
      </c>
      <c r="S13" s="86">
        <v>0</v>
      </c>
      <c r="T13" s="86">
        <v>0</v>
      </c>
      <c r="U13" s="86">
        <v>562.5</v>
      </c>
      <c r="V13" s="86">
        <v>421.875</v>
      </c>
      <c r="W13" s="86">
        <v>140.625</v>
      </c>
      <c r="X13" s="86">
        <v>0</v>
      </c>
      <c r="Y13" s="87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1080</v>
      </c>
      <c r="C14" s="11" t="s">
        <v>1081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4455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5">
        <v>15</v>
      </c>
      <c r="P14" s="85" t="s">
        <v>30</v>
      </c>
      <c r="Q14" s="85">
        <v>0</v>
      </c>
      <c r="R14" s="86">
        <v>561</v>
      </c>
      <c r="S14" s="86">
        <v>0</v>
      </c>
      <c r="T14" s="86">
        <v>0</v>
      </c>
      <c r="U14" s="86">
        <v>561</v>
      </c>
      <c r="V14" s="86">
        <v>420.75</v>
      </c>
      <c r="W14" s="86">
        <v>140.25</v>
      </c>
      <c r="X14" s="86">
        <v>0</v>
      </c>
      <c r="Y14" s="87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1082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4455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5">
        <v>15</v>
      </c>
      <c r="P15" s="85" t="s">
        <v>30</v>
      </c>
      <c r="Q15" s="85">
        <v>0</v>
      </c>
      <c r="R15" s="29">
        <v>573.9</v>
      </c>
      <c r="S15" s="86">
        <v>0</v>
      </c>
      <c r="T15" s="86">
        <v>0</v>
      </c>
      <c r="U15" s="86">
        <v>573.9</v>
      </c>
      <c r="V15" s="86">
        <v>430.42499999999995</v>
      </c>
      <c r="W15" s="86">
        <v>143.47500000000002</v>
      </c>
      <c r="X15" s="86">
        <v>0</v>
      </c>
      <c r="Y15" s="87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1083</v>
      </c>
      <c r="C16" s="11" t="s">
        <v>1084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4453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5">
        <v>42</v>
      </c>
      <c r="P16" s="85" t="s">
        <v>30</v>
      </c>
      <c r="Q16" s="85">
        <v>0</v>
      </c>
      <c r="R16" s="86">
        <v>1656.48</v>
      </c>
      <c r="S16" s="86">
        <v>0</v>
      </c>
      <c r="T16" s="86">
        <v>0</v>
      </c>
      <c r="U16" s="86">
        <v>1656.48</v>
      </c>
      <c r="V16" s="86">
        <v>1656.48</v>
      </c>
      <c r="W16" s="86">
        <v>0</v>
      </c>
      <c r="X16" s="86">
        <v>0</v>
      </c>
      <c r="Y16" s="87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1085</v>
      </c>
      <c r="C17" s="11" t="s">
        <v>1086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5" t="s">
        <v>30</v>
      </c>
      <c r="P17" s="85">
        <v>62</v>
      </c>
      <c r="Q17" s="85">
        <v>0</v>
      </c>
      <c r="R17" s="29">
        <v>1550</v>
      </c>
      <c r="S17" s="86">
        <v>0</v>
      </c>
      <c r="T17" s="86">
        <v>0</v>
      </c>
      <c r="U17" s="86">
        <v>1550</v>
      </c>
      <c r="V17" s="86">
        <v>0</v>
      </c>
      <c r="W17" s="86">
        <v>1550</v>
      </c>
      <c r="X17" s="86">
        <v>0</v>
      </c>
      <c r="Y17" s="87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1087</v>
      </c>
      <c r="C18" s="11" t="s">
        <v>1088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5" t="s">
        <v>30</v>
      </c>
      <c r="P18" s="85">
        <v>24</v>
      </c>
      <c r="Q18" s="85">
        <v>0</v>
      </c>
      <c r="R18" s="29">
        <v>456</v>
      </c>
      <c r="S18" s="86">
        <v>0</v>
      </c>
      <c r="T18" s="86">
        <v>0</v>
      </c>
      <c r="U18" s="86">
        <v>456</v>
      </c>
      <c r="V18" s="86">
        <v>0</v>
      </c>
      <c r="W18" s="86">
        <v>456</v>
      </c>
      <c r="X18" s="86">
        <v>0</v>
      </c>
      <c r="Y18" s="87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5" t="s">
        <v>30</v>
      </c>
      <c r="P19" s="85">
        <v>62</v>
      </c>
      <c r="Q19" s="85">
        <v>0</v>
      </c>
      <c r="R19" s="29">
        <v>1550</v>
      </c>
      <c r="S19" s="86">
        <v>0</v>
      </c>
      <c r="T19" s="86">
        <v>0</v>
      </c>
      <c r="U19" s="86">
        <v>1550</v>
      </c>
      <c r="V19" s="86">
        <v>0</v>
      </c>
      <c r="W19" s="86">
        <v>1550</v>
      </c>
      <c r="X19" s="86">
        <v>0</v>
      </c>
      <c r="Y19" s="87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1090</v>
      </c>
      <c r="C20" s="11" t="s">
        <v>1091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5">
        <v>15</v>
      </c>
      <c r="P20" s="85" t="s">
        <v>30</v>
      </c>
      <c r="Q20" s="85">
        <v>0</v>
      </c>
      <c r="R20" s="86">
        <v>567.29999999999995</v>
      </c>
      <c r="S20" s="86">
        <v>0</v>
      </c>
      <c r="T20" s="86">
        <v>0</v>
      </c>
      <c r="U20" s="86">
        <v>567.29999999999995</v>
      </c>
      <c r="V20" s="86">
        <v>0</v>
      </c>
      <c r="W20" s="86">
        <v>567.29999999999995</v>
      </c>
      <c r="X20" s="86">
        <v>0</v>
      </c>
      <c r="Y20" s="87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1092</v>
      </c>
      <c r="C21" s="11" t="s">
        <v>1093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5">
        <v>83</v>
      </c>
      <c r="P21" s="85" t="s">
        <v>30</v>
      </c>
      <c r="Q21" s="85">
        <v>0</v>
      </c>
      <c r="R21" s="29">
        <v>3542.44</v>
      </c>
      <c r="S21" s="86">
        <v>38</v>
      </c>
      <c r="T21" s="86">
        <v>1621.84</v>
      </c>
      <c r="U21" s="86">
        <v>1920.6000000000001</v>
      </c>
      <c r="V21" s="86">
        <v>1920.6000000000001</v>
      </c>
      <c r="W21" s="86">
        <v>0</v>
      </c>
      <c r="X21" s="86">
        <v>1536.48</v>
      </c>
      <c r="Y21" s="87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1094</v>
      </c>
      <c r="C22" s="11" t="s">
        <v>1095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5" t="s">
        <v>30</v>
      </c>
      <c r="P22" s="85">
        <v>24</v>
      </c>
      <c r="Q22" s="85">
        <v>0</v>
      </c>
      <c r="R22" s="29">
        <v>456</v>
      </c>
      <c r="S22" s="86">
        <v>0</v>
      </c>
      <c r="T22" s="86">
        <v>0</v>
      </c>
      <c r="U22" s="86">
        <v>456</v>
      </c>
      <c r="V22" s="86">
        <v>0</v>
      </c>
      <c r="W22" s="86">
        <v>456</v>
      </c>
      <c r="X22" s="86">
        <v>0</v>
      </c>
      <c r="Y22" s="87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1096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5">
        <v>15</v>
      </c>
      <c r="P23" s="85" t="s">
        <v>30</v>
      </c>
      <c r="Q23" s="85">
        <v>0</v>
      </c>
      <c r="R23" s="29">
        <v>572.4</v>
      </c>
      <c r="S23" s="86">
        <v>0</v>
      </c>
      <c r="T23" s="86">
        <v>0</v>
      </c>
      <c r="U23" s="86">
        <v>572.4</v>
      </c>
      <c r="V23" s="86">
        <v>0</v>
      </c>
      <c r="W23" s="86">
        <v>572.4</v>
      </c>
      <c r="X23" s="86">
        <v>0</v>
      </c>
      <c r="Y23" s="87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1097</v>
      </c>
      <c r="C24" s="11" t="s">
        <v>1098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5">
        <v>83</v>
      </c>
      <c r="P24" s="85" t="s">
        <v>30</v>
      </c>
      <c r="Q24" s="85">
        <v>0</v>
      </c>
      <c r="R24" s="29">
        <v>3710.1000000000004</v>
      </c>
      <c r="S24" s="86">
        <v>38</v>
      </c>
      <c r="T24" s="86">
        <v>1698.6000000000001</v>
      </c>
      <c r="U24" s="86">
        <v>2011.5000000000002</v>
      </c>
      <c r="V24" s="86">
        <v>2011.5000000000002</v>
      </c>
      <c r="W24" s="86">
        <v>0</v>
      </c>
      <c r="X24" s="86">
        <v>1653.9</v>
      </c>
      <c r="Y24" s="87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670</v>
      </c>
      <c r="C25" s="11" t="s">
        <v>1099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5">
        <v>15</v>
      </c>
      <c r="P25" s="85" t="s">
        <v>30</v>
      </c>
      <c r="Q25" s="85">
        <v>0</v>
      </c>
      <c r="R25" s="29">
        <v>573.9</v>
      </c>
      <c r="S25" s="86">
        <v>0</v>
      </c>
      <c r="T25" s="86">
        <v>0</v>
      </c>
      <c r="U25" s="86">
        <v>573.9</v>
      </c>
      <c r="V25" s="86">
        <v>0</v>
      </c>
      <c r="W25" s="86">
        <v>573.9</v>
      </c>
      <c r="X25" s="86">
        <v>0</v>
      </c>
      <c r="Y25" s="87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1100</v>
      </c>
      <c r="C26" s="11" t="s">
        <v>1101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5">
        <v>83</v>
      </c>
      <c r="P26" s="85" t="s">
        <v>30</v>
      </c>
      <c r="Q26" s="85">
        <v>0</v>
      </c>
      <c r="R26" s="86">
        <v>3666.94</v>
      </c>
      <c r="S26" s="86">
        <v>38</v>
      </c>
      <c r="T26" s="86">
        <v>1678.84</v>
      </c>
      <c r="U26" s="86">
        <v>1988.1000000000001</v>
      </c>
      <c r="V26" s="86">
        <v>1988.1000000000001</v>
      </c>
      <c r="W26" s="86">
        <v>0</v>
      </c>
      <c r="X26" s="86">
        <v>1634.66</v>
      </c>
      <c r="Y26" s="87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1102</v>
      </c>
      <c r="D27" s="11" t="s">
        <v>26</v>
      </c>
      <c r="E27" s="11" t="s">
        <v>1103</v>
      </c>
      <c r="F27" s="11" t="s">
        <v>26</v>
      </c>
      <c r="G27" s="11">
        <v>111845</v>
      </c>
      <c r="H27" s="12" t="s">
        <v>4453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5">
        <v>42</v>
      </c>
      <c r="P27" s="85" t="s">
        <v>30</v>
      </c>
      <c r="Q27" s="85">
        <v>0</v>
      </c>
      <c r="R27" s="86">
        <v>1665.7199999999998</v>
      </c>
      <c r="S27" s="86">
        <v>0</v>
      </c>
      <c r="T27" s="86">
        <v>0</v>
      </c>
      <c r="U27" s="86">
        <v>1665.7199999999998</v>
      </c>
      <c r="V27" s="86">
        <v>1665.7199999999998</v>
      </c>
      <c r="W27" s="86">
        <v>0</v>
      </c>
      <c r="X27" s="86">
        <v>0</v>
      </c>
      <c r="Y27" s="87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1104</v>
      </c>
      <c r="C28" s="11" t="s">
        <v>1105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5" t="s">
        <v>30</v>
      </c>
      <c r="P28" s="85">
        <v>62</v>
      </c>
      <c r="Q28" s="85">
        <v>0</v>
      </c>
      <c r="R28" s="29">
        <v>1550</v>
      </c>
      <c r="S28" s="86">
        <v>0</v>
      </c>
      <c r="T28" s="86">
        <v>0</v>
      </c>
      <c r="U28" s="86">
        <v>1550</v>
      </c>
      <c r="V28" s="86">
        <v>0</v>
      </c>
      <c r="W28" s="86">
        <v>1550</v>
      </c>
      <c r="X28" s="86">
        <v>0</v>
      </c>
      <c r="Y28" s="87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1106</v>
      </c>
      <c r="C29" s="11" t="s">
        <v>1107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4453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5">
        <v>42</v>
      </c>
      <c r="P29" s="85" t="s">
        <v>30</v>
      </c>
      <c r="Q29" s="85">
        <v>0</v>
      </c>
      <c r="R29" s="29">
        <v>1609.44</v>
      </c>
      <c r="S29" s="86">
        <v>0</v>
      </c>
      <c r="T29" s="86">
        <v>0</v>
      </c>
      <c r="U29" s="86">
        <v>1609.44</v>
      </c>
      <c r="V29" s="86">
        <v>1609.44</v>
      </c>
      <c r="W29" s="86">
        <v>0</v>
      </c>
      <c r="X29" s="86">
        <v>0</v>
      </c>
      <c r="Y29" s="87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1108</v>
      </c>
      <c r="C30" s="11" t="s">
        <v>1109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4453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5">
        <v>42</v>
      </c>
      <c r="P30" s="85" t="s">
        <v>30</v>
      </c>
      <c r="Q30" s="85">
        <v>0</v>
      </c>
      <c r="R30" s="29">
        <v>1682.52</v>
      </c>
      <c r="S30" s="86">
        <v>0</v>
      </c>
      <c r="T30" s="86">
        <v>0</v>
      </c>
      <c r="U30" s="86">
        <v>1682.52</v>
      </c>
      <c r="V30" s="86">
        <v>1682.52</v>
      </c>
      <c r="W30" s="86">
        <v>0</v>
      </c>
      <c r="X30" s="86">
        <v>0</v>
      </c>
      <c r="Y30" s="87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1110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4453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5">
        <v>42</v>
      </c>
      <c r="P31" s="85" t="s">
        <v>30</v>
      </c>
      <c r="Q31" s="85">
        <v>0</v>
      </c>
      <c r="R31" s="29">
        <v>1687.56</v>
      </c>
      <c r="S31" s="86">
        <v>0</v>
      </c>
      <c r="T31" s="86">
        <v>0</v>
      </c>
      <c r="U31" s="86">
        <v>1687.56</v>
      </c>
      <c r="V31" s="86">
        <v>1687.56</v>
      </c>
      <c r="W31" s="86">
        <v>0</v>
      </c>
      <c r="X31" s="86">
        <v>0</v>
      </c>
      <c r="Y31" s="87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1111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5" t="s">
        <v>30</v>
      </c>
      <c r="P32" s="85">
        <v>24</v>
      </c>
      <c r="Q32" s="85">
        <v>0</v>
      </c>
      <c r="R32" s="86">
        <v>600</v>
      </c>
      <c r="S32" s="86">
        <v>0</v>
      </c>
      <c r="T32" s="86">
        <v>0</v>
      </c>
      <c r="U32" s="86">
        <v>600</v>
      </c>
      <c r="V32" s="86">
        <v>0</v>
      </c>
      <c r="W32" s="86">
        <v>600</v>
      </c>
      <c r="X32" s="86">
        <v>0</v>
      </c>
      <c r="Y32" s="87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1112</v>
      </c>
      <c r="C33" s="11" t="s">
        <v>1113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5">
        <v>37</v>
      </c>
      <c r="P33" s="85" t="s">
        <v>30</v>
      </c>
      <c r="Q33" s="29">
        <v>0</v>
      </c>
      <c r="R33" s="86">
        <v>1443</v>
      </c>
      <c r="S33" s="86">
        <v>0</v>
      </c>
      <c r="T33" s="86">
        <v>0</v>
      </c>
      <c r="U33" s="86">
        <v>1443</v>
      </c>
      <c r="V33" s="86">
        <v>0</v>
      </c>
      <c r="W33" s="86">
        <v>1443</v>
      </c>
      <c r="X33" s="86">
        <v>0</v>
      </c>
      <c r="Y33" s="87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1114</v>
      </c>
      <c r="C34" s="11" t="s">
        <v>1115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5" t="s">
        <v>30</v>
      </c>
      <c r="P34" s="85">
        <v>58</v>
      </c>
      <c r="Q34" s="85">
        <v>0</v>
      </c>
      <c r="R34" s="29">
        <v>1450</v>
      </c>
      <c r="S34" s="86">
        <v>0</v>
      </c>
      <c r="T34" s="86">
        <v>0</v>
      </c>
      <c r="U34" s="86">
        <v>1450</v>
      </c>
      <c r="V34" s="86">
        <v>0</v>
      </c>
      <c r="W34" s="86">
        <v>1450</v>
      </c>
      <c r="X34" s="87">
        <v>0</v>
      </c>
      <c r="Y34" s="87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1116</v>
      </c>
      <c r="C35" s="11" t="s">
        <v>1117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5">
        <v>87</v>
      </c>
      <c r="P35" s="85" t="s">
        <v>30</v>
      </c>
      <c r="Q35" s="29">
        <v>0</v>
      </c>
      <c r="R35" s="86">
        <v>3786.2400000000002</v>
      </c>
      <c r="S35" s="86">
        <v>38</v>
      </c>
      <c r="T35" s="86">
        <v>1653.7600000000002</v>
      </c>
      <c r="U35" s="86">
        <v>2132.48</v>
      </c>
      <c r="V35" s="86">
        <v>2132.48</v>
      </c>
      <c r="W35" s="86">
        <v>0</v>
      </c>
      <c r="X35" s="86">
        <v>1610.24</v>
      </c>
      <c r="Y35" s="87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1118</v>
      </c>
      <c r="C36" s="11" t="s">
        <v>1119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4453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5">
        <v>42</v>
      </c>
      <c r="P36" s="85" t="s">
        <v>30</v>
      </c>
      <c r="Q36" s="85">
        <v>0</v>
      </c>
      <c r="R36" s="29">
        <v>1767.36</v>
      </c>
      <c r="S36" s="86">
        <v>0</v>
      </c>
      <c r="T36" s="86">
        <v>0</v>
      </c>
      <c r="U36" s="86">
        <v>1767.36</v>
      </c>
      <c r="V36" s="86">
        <v>1767.36</v>
      </c>
      <c r="W36" s="86">
        <v>0</v>
      </c>
      <c r="X36" s="86">
        <v>0</v>
      </c>
      <c r="Y36" s="87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1120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4455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5">
        <v>15</v>
      </c>
      <c r="P37" s="85" t="s">
        <v>30</v>
      </c>
      <c r="Q37" s="29">
        <v>0</v>
      </c>
      <c r="R37" s="86">
        <v>553.80000000000007</v>
      </c>
      <c r="S37" s="86">
        <v>0</v>
      </c>
      <c r="T37" s="86">
        <v>0</v>
      </c>
      <c r="U37" s="86">
        <v>553.80000000000007</v>
      </c>
      <c r="V37" s="86">
        <v>415.35</v>
      </c>
      <c r="W37" s="86">
        <v>138.45000000000005</v>
      </c>
      <c r="X37" s="86">
        <v>0</v>
      </c>
      <c r="Y37" s="87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1121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4455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5">
        <v>15</v>
      </c>
      <c r="P38" s="85" t="s">
        <v>30</v>
      </c>
      <c r="Q38" s="85">
        <v>0</v>
      </c>
      <c r="R38" s="29">
        <v>553.20000000000005</v>
      </c>
      <c r="S38" s="86">
        <v>0</v>
      </c>
      <c r="T38" s="86">
        <v>0</v>
      </c>
      <c r="U38" s="86">
        <v>553.20000000000005</v>
      </c>
      <c r="V38" s="86">
        <v>414.90000000000003</v>
      </c>
      <c r="W38" s="86">
        <v>138.30000000000001</v>
      </c>
      <c r="X38" s="86">
        <v>0</v>
      </c>
      <c r="Y38" s="87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1122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4455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5">
        <v>15</v>
      </c>
      <c r="P39" s="85" t="s">
        <v>30</v>
      </c>
      <c r="Q39" s="85">
        <v>0</v>
      </c>
      <c r="R39" s="29">
        <v>574.20000000000005</v>
      </c>
      <c r="S39" s="86">
        <v>0</v>
      </c>
      <c r="T39" s="86">
        <v>0</v>
      </c>
      <c r="U39" s="86">
        <v>574.20000000000005</v>
      </c>
      <c r="V39" s="86">
        <v>430.65000000000003</v>
      </c>
      <c r="W39" s="86">
        <v>143.55000000000001</v>
      </c>
      <c r="X39" s="86">
        <v>0</v>
      </c>
      <c r="Y39" s="87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1123</v>
      </c>
      <c r="C40" s="11" t="s">
        <v>1124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5">
        <v>15</v>
      </c>
      <c r="P40" s="85" t="s">
        <v>30</v>
      </c>
      <c r="Q40" s="85">
        <v>0</v>
      </c>
      <c r="R40" s="29">
        <v>524.09999999999991</v>
      </c>
      <c r="S40" s="86">
        <v>0</v>
      </c>
      <c r="T40" s="86">
        <v>0</v>
      </c>
      <c r="U40" s="86">
        <v>524.09999999999991</v>
      </c>
      <c r="V40" s="86">
        <v>0</v>
      </c>
      <c r="W40" s="86">
        <v>524.09999999999991</v>
      </c>
      <c r="X40" s="86">
        <v>0</v>
      </c>
      <c r="Y40" s="87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1125</v>
      </c>
      <c r="C41" s="11" t="s">
        <v>1126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4453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5">
        <v>42</v>
      </c>
      <c r="P41" s="85" t="s">
        <v>30</v>
      </c>
      <c r="Q41" s="85">
        <v>0</v>
      </c>
      <c r="R41" s="29">
        <v>1723.68</v>
      </c>
      <c r="S41" s="86">
        <v>0</v>
      </c>
      <c r="T41" s="86">
        <v>0</v>
      </c>
      <c r="U41" s="86">
        <v>1723.68</v>
      </c>
      <c r="V41" s="86">
        <v>1723.68</v>
      </c>
      <c r="W41" s="86">
        <v>0</v>
      </c>
      <c r="X41" s="86">
        <v>0</v>
      </c>
      <c r="Y41" s="87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1127</v>
      </c>
      <c r="C42" s="11" t="s">
        <v>1128</v>
      </c>
      <c r="D42" s="11" t="s">
        <v>26</v>
      </c>
      <c r="E42" s="11" t="s">
        <v>1069</v>
      </c>
      <c r="F42" s="11" t="s">
        <v>26</v>
      </c>
      <c r="G42" s="11">
        <v>111853</v>
      </c>
      <c r="H42" s="12" t="s">
        <v>4453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5">
        <v>42</v>
      </c>
      <c r="P42" s="85" t="s">
        <v>30</v>
      </c>
      <c r="Q42" s="85">
        <v>0</v>
      </c>
      <c r="R42" s="29">
        <v>1689.24</v>
      </c>
      <c r="S42" s="86">
        <v>0</v>
      </c>
      <c r="T42" s="86">
        <v>0</v>
      </c>
      <c r="U42" s="86">
        <v>1689.24</v>
      </c>
      <c r="V42" s="86">
        <v>1689.24</v>
      </c>
      <c r="W42" s="86">
        <v>0</v>
      </c>
      <c r="X42" s="86">
        <v>0</v>
      </c>
      <c r="Y42" s="87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1129</v>
      </c>
      <c r="C43" s="11" t="s">
        <v>1130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5" t="s">
        <v>30</v>
      </c>
      <c r="P43" s="85">
        <v>70</v>
      </c>
      <c r="Q43" s="85">
        <v>0</v>
      </c>
      <c r="R43" s="29">
        <v>1750</v>
      </c>
      <c r="S43" s="86">
        <v>0</v>
      </c>
      <c r="T43" s="86">
        <v>0</v>
      </c>
      <c r="U43" s="86">
        <v>1750</v>
      </c>
      <c r="V43" s="86">
        <v>1750</v>
      </c>
      <c r="W43" s="86">
        <v>0</v>
      </c>
      <c r="X43" s="86">
        <v>0</v>
      </c>
      <c r="Y43" s="87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1131</v>
      </c>
      <c r="C44" s="11" t="s">
        <v>1132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5" t="s">
        <v>30</v>
      </c>
      <c r="P44" s="85">
        <v>60</v>
      </c>
      <c r="Q44" s="85">
        <v>0</v>
      </c>
      <c r="R44" s="86">
        <v>1500</v>
      </c>
      <c r="S44" s="86">
        <v>0</v>
      </c>
      <c r="T44" s="86">
        <v>0</v>
      </c>
      <c r="U44" s="86">
        <v>1500</v>
      </c>
      <c r="V44" s="86">
        <v>0</v>
      </c>
      <c r="W44" s="86">
        <v>1500</v>
      </c>
      <c r="X44" s="86">
        <v>0</v>
      </c>
      <c r="Y44" s="87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692</v>
      </c>
      <c r="C45" s="11" t="s">
        <v>1133</v>
      </c>
      <c r="D45" s="11" t="s">
        <v>26</v>
      </c>
      <c r="E45" s="11" t="s">
        <v>1072</v>
      </c>
      <c r="F45" s="11" t="s">
        <v>26</v>
      </c>
      <c r="G45" s="11">
        <v>111855</v>
      </c>
      <c r="H45" s="12" t="s">
        <v>4453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5">
        <v>42</v>
      </c>
      <c r="P45" s="85" t="s">
        <v>30</v>
      </c>
      <c r="Q45" s="85">
        <v>0</v>
      </c>
      <c r="R45" s="86">
        <v>1550.64</v>
      </c>
      <c r="S45" s="86">
        <v>0</v>
      </c>
      <c r="T45" s="86">
        <v>0</v>
      </c>
      <c r="U45" s="86">
        <v>1550.64</v>
      </c>
      <c r="V45" s="86">
        <v>1550.64</v>
      </c>
      <c r="W45" s="86">
        <v>0</v>
      </c>
      <c r="X45" s="86">
        <v>0</v>
      </c>
      <c r="Y45" s="87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1134</v>
      </c>
      <c r="C46" s="11" t="s">
        <v>1135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5" t="s">
        <v>30</v>
      </c>
      <c r="P46" s="85">
        <v>64</v>
      </c>
      <c r="Q46" s="85">
        <v>0</v>
      </c>
      <c r="R46" s="29">
        <v>1600</v>
      </c>
      <c r="S46" s="86">
        <v>0</v>
      </c>
      <c r="T46" s="86">
        <v>0</v>
      </c>
      <c r="U46" s="86">
        <v>1600</v>
      </c>
      <c r="V46" s="86">
        <v>0</v>
      </c>
      <c r="W46" s="86">
        <v>1600</v>
      </c>
      <c r="X46" s="86">
        <v>0</v>
      </c>
      <c r="Y46" s="87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1136</v>
      </c>
      <c r="C47" s="11" t="s">
        <v>1137</v>
      </c>
      <c r="D47" s="11" t="s">
        <v>26</v>
      </c>
      <c r="E47" s="11" t="s">
        <v>1075</v>
      </c>
      <c r="F47" s="11" t="s">
        <v>26</v>
      </c>
      <c r="G47" s="11">
        <v>111854</v>
      </c>
      <c r="H47" s="12" t="s">
        <v>4453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5">
        <v>42</v>
      </c>
      <c r="P47" s="85" t="s">
        <v>30</v>
      </c>
      <c r="Q47" s="85">
        <v>0</v>
      </c>
      <c r="R47" s="29">
        <v>1607.76</v>
      </c>
      <c r="S47" s="86">
        <v>0</v>
      </c>
      <c r="T47" s="86">
        <v>0</v>
      </c>
      <c r="U47" s="86">
        <v>1607.76</v>
      </c>
      <c r="V47" s="86">
        <v>1607.76</v>
      </c>
      <c r="W47" s="86">
        <v>0</v>
      </c>
      <c r="X47" s="86">
        <v>0</v>
      </c>
      <c r="Y47" s="87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1138</v>
      </c>
      <c r="C48" s="11" t="s">
        <v>1139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5">
        <v>65</v>
      </c>
      <c r="P48" s="85" t="s">
        <v>30</v>
      </c>
      <c r="Q48" s="85">
        <v>30</v>
      </c>
      <c r="R48" s="29">
        <v>2061.6999999999998</v>
      </c>
      <c r="S48" s="86">
        <v>0</v>
      </c>
      <c r="T48" s="86">
        <v>0</v>
      </c>
      <c r="U48" s="86">
        <v>2061.6999999999998</v>
      </c>
      <c r="V48" s="86">
        <v>0</v>
      </c>
      <c r="W48" s="86">
        <v>2061.6999999999998</v>
      </c>
      <c r="X48" s="86">
        <v>0</v>
      </c>
      <c r="Y48" s="87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1140</v>
      </c>
      <c r="C49" s="11" t="s">
        <v>1141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4454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5" t="s">
        <v>30</v>
      </c>
      <c r="P49" s="85">
        <v>40.5</v>
      </c>
      <c r="Q49" s="85">
        <v>0</v>
      </c>
      <c r="R49" s="86">
        <v>486</v>
      </c>
      <c r="S49" s="86">
        <v>0</v>
      </c>
      <c r="T49" s="86">
        <v>0</v>
      </c>
      <c r="U49" s="86">
        <v>486</v>
      </c>
      <c r="V49" s="86">
        <v>486</v>
      </c>
      <c r="W49" s="86">
        <v>0</v>
      </c>
      <c r="X49" s="86">
        <v>0</v>
      </c>
      <c r="Y49" s="87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752</v>
      </c>
      <c r="C50" s="11" t="s">
        <v>1142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4453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5">
        <v>42</v>
      </c>
      <c r="P50" s="85" t="s">
        <v>30</v>
      </c>
      <c r="Q50" s="85">
        <v>0</v>
      </c>
      <c r="R50" s="29">
        <v>1701.8400000000001</v>
      </c>
      <c r="S50" s="86">
        <v>0</v>
      </c>
      <c r="T50" s="86">
        <v>0</v>
      </c>
      <c r="U50" s="86">
        <v>1701.8400000000001</v>
      </c>
      <c r="V50" s="86">
        <v>1701.8400000000001</v>
      </c>
      <c r="W50" s="86">
        <v>0</v>
      </c>
      <c r="X50" s="86">
        <v>0</v>
      </c>
      <c r="Y50" s="87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1143</v>
      </c>
      <c r="C51" s="11" t="s">
        <v>1144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5">
        <v>15</v>
      </c>
      <c r="P51" s="85" t="s">
        <v>30</v>
      </c>
      <c r="Q51" s="85">
        <v>0</v>
      </c>
      <c r="R51" s="29">
        <v>550.79999999999995</v>
      </c>
      <c r="S51" s="86">
        <v>0</v>
      </c>
      <c r="T51" s="86">
        <v>0</v>
      </c>
      <c r="U51" s="86">
        <v>550.79999999999995</v>
      </c>
      <c r="V51" s="86">
        <v>0</v>
      </c>
      <c r="W51" s="86">
        <v>550.79999999999995</v>
      </c>
      <c r="X51" s="86">
        <v>0</v>
      </c>
      <c r="Y51" s="87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1145</v>
      </c>
      <c r="D52" s="11" t="s">
        <v>26</v>
      </c>
      <c r="E52" s="11" t="s">
        <v>1103</v>
      </c>
      <c r="F52" s="11" t="s">
        <v>26</v>
      </c>
      <c r="G52" s="11">
        <v>111857</v>
      </c>
      <c r="H52" s="12" t="s">
        <v>4453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5">
        <v>42</v>
      </c>
      <c r="P52" s="85" t="s">
        <v>30</v>
      </c>
      <c r="Q52" s="85">
        <v>0</v>
      </c>
      <c r="R52" s="86">
        <v>1638.8400000000001</v>
      </c>
      <c r="S52" s="86">
        <v>0</v>
      </c>
      <c r="T52" s="86">
        <v>0</v>
      </c>
      <c r="U52" s="86">
        <v>1638.8400000000001</v>
      </c>
      <c r="V52" s="86">
        <v>1638.8400000000001</v>
      </c>
      <c r="W52" s="86">
        <v>0</v>
      </c>
      <c r="X52" s="86">
        <v>0</v>
      </c>
      <c r="Y52" s="87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1146</v>
      </c>
      <c r="C53" s="11" t="s">
        <v>1147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5">
        <v>15</v>
      </c>
      <c r="P53" s="85" t="s">
        <v>30</v>
      </c>
      <c r="Q53" s="85">
        <v>0</v>
      </c>
      <c r="R53" s="86">
        <v>555.30000000000007</v>
      </c>
      <c r="S53" s="86">
        <v>0</v>
      </c>
      <c r="T53" s="86">
        <v>0</v>
      </c>
      <c r="U53" s="86">
        <v>555.30000000000007</v>
      </c>
      <c r="V53" s="86">
        <v>0</v>
      </c>
      <c r="W53" s="86">
        <v>555.30000000000007</v>
      </c>
      <c r="X53" s="86">
        <v>0</v>
      </c>
      <c r="Y53" s="87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1148</v>
      </c>
      <c r="C54" s="11" t="s">
        <v>1149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5">
        <v>85</v>
      </c>
      <c r="P54" s="85" t="s">
        <v>30</v>
      </c>
      <c r="Q54" s="85">
        <v>0</v>
      </c>
      <c r="R54" s="86">
        <v>3451</v>
      </c>
      <c r="S54" s="86">
        <v>38</v>
      </c>
      <c r="T54" s="86">
        <v>1542.8</v>
      </c>
      <c r="U54" s="86">
        <v>1908.2</v>
      </c>
      <c r="V54" s="86">
        <v>1908.2</v>
      </c>
      <c r="W54" s="86">
        <v>0</v>
      </c>
      <c r="X54" s="86">
        <v>1461.6000000000001</v>
      </c>
      <c r="Y54" s="87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1150</v>
      </c>
      <c r="C55" s="11" t="s">
        <v>1151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5" t="s">
        <v>30</v>
      </c>
      <c r="P55" s="85">
        <v>56</v>
      </c>
      <c r="Q55" s="85">
        <v>0</v>
      </c>
      <c r="R55" s="86">
        <v>1400</v>
      </c>
      <c r="S55" s="86">
        <v>0</v>
      </c>
      <c r="T55" s="86">
        <v>0</v>
      </c>
      <c r="U55" s="86">
        <v>1400</v>
      </c>
      <c r="V55" s="86">
        <v>0</v>
      </c>
      <c r="W55" s="86">
        <v>1400</v>
      </c>
      <c r="X55" s="86">
        <v>0</v>
      </c>
      <c r="Y55" s="87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1152</v>
      </c>
      <c r="C56" s="11" t="s">
        <v>1153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5">
        <v>85</v>
      </c>
      <c r="P56" s="85" t="s">
        <v>30</v>
      </c>
      <c r="Q56" s="85">
        <v>0</v>
      </c>
      <c r="R56" s="86">
        <v>3420.4</v>
      </c>
      <c r="S56" s="86">
        <v>38</v>
      </c>
      <c r="T56" s="86">
        <v>1529.1200000000001</v>
      </c>
      <c r="U56" s="86">
        <v>1891.28</v>
      </c>
      <c r="V56" s="86">
        <v>1891.28</v>
      </c>
      <c r="W56" s="86">
        <v>0</v>
      </c>
      <c r="X56" s="86">
        <v>1448.64</v>
      </c>
      <c r="Y56" s="87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1154</v>
      </c>
      <c r="C57" s="11" t="s">
        <v>1155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5" t="s">
        <v>30</v>
      </c>
      <c r="P57" s="85">
        <v>64</v>
      </c>
      <c r="Q57" s="85">
        <v>0</v>
      </c>
      <c r="R57" s="86">
        <v>1600</v>
      </c>
      <c r="S57" s="86">
        <v>0</v>
      </c>
      <c r="T57" s="86">
        <v>0</v>
      </c>
      <c r="U57" s="86">
        <v>1600</v>
      </c>
      <c r="V57" s="86">
        <v>0</v>
      </c>
      <c r="W57" s="86">
        <v>1600</v>
      </c>
      <c r="X57" s="86">
        <v>0</v>
      </c>
      <c r="Y57" s="87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1156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6335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5">
        <v>42.5</v>
      </c>
      <c r="P58" s="85"/>
      <c r="Q58" s="85">
        <v>0</v>
      </c>
      <c r="R58" s="86">
        <v>1674.5</v>
      </c>
      <c r="S58" s="86">
        <v>0</v>
      </c>
      <c r="T58" s="86">
        <v>0</v>
      </c>
      <c r="U58" s="86">
        <v>1674.5</v>
      </c>
      <c r="V58" s="86">
        <v>0</v>
      </c>
      <c r="W58" s="86">
        <v>1674.5</v>
      </c>
      <c r="X58" s="86">
        <v>0</v>
      </c>
      <c r="Y58" s="87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1157</v>
      </c>
      <c r="C59" s="11" t="s">
        <v>1158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4453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5">
        <v>42</v>
      </c>
      <c r="P59" s="85" t="s">
        <v>30</v>
      </c>
      <c r="Q59" s="85">
        <v>0</v>
      </c>
      <c r="R59" s="86">
        <v>1735.44</v>
      </c>
      <c r="S59" s="86">
        <v>0</v>
      </c>
      <c r="T59" s="86">
        <v>0</v>
      </c>
      <c r="U59" s="86">
        <v>1735.44</v>
      </c>
      <c r="V59" s="86">
        <v>1735.44</v>
      </c>
      <c r="W59" s="86">
        <v>0</v>
      </c>
      <c r="X59" s="86">
        <v>0</v>
      </c>
      <c r="Y59" s="87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1159</v>
      </c>
      <c r="C60" s="11" t="s">
        <v>1160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4453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5">
        <v>42</v>
      </c>
      <c r="P60" s="85" t="s">
        <v>30</v>
      </c>
      <c r="Q60" s="29">
        <v>0</v>
      </c>
      <c r="R60" s="86">
        <v>1577.52</v>
      </c>
      <c r="S60" s="86">
        <v>0</v>
      </c>
      <c r="T60" s="86">
        <v>0</v>
      </c>
      <c r="U60" s="86">
        <v>1577.52</v>
      </c>
      <c r="V60" s="86">
        <v>1577.52</v>
      </c>
      <c r="W60" s="86">
        <v>0</v>
      </c>
      <c r="X60" s="86">
        <v>0</v>
      </c>
      <c r="Y60" s="87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1161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4455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5">
        <v>42.5</v>
      </c>
      <c r="P61" s="85"/>
      <c r="Q61" s="29">
        <v>0</v>
      </c>
      <c r="R61" s="86">
        <v>1754.4</v>
      </c>
      <c r="S61" s="86">
        <v>0</v>
      </c>
      <c r="T61" s="86">
        <v>0</v>
      </c>
      <c r="U61" s="86">
        <v>1754.4</v>
      </c>
      <c r="V61" s="86">
        <v>1315.8000000000002</v>
      </c>
      <c r="W61" s="86">
        <v>438.59999999999991</v>
      </c>
      <c r="X61" s="86">
        <v>0</v>
      </c>
      <c r="Y61" s="87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1162</v>
      </c>
      <c r="C62" s="11" t="s">
        <v>1163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4455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5">
        <v>42.5</v>
      </c>
      <c r="P62" s="85"/>
      <c r="Q62" s="85">
        <v>0</v>
      </c>
      <c r="R62" s="29">
        <v>1824.1000000000001</v>
      </c>
      <c r="S62" s="86">
        <v>0</v>
      </c>
      <c r="T62" s="86">
        <v>0</v>
      </c>
      <c r="U62" s="86">
        <v>1824.1000000000001</v>
      </c>
      <c r="V62" s="86">
        <v>1368.075</v>
      </c>
      <c r="W62" s="86">
        <v>456.02500000000009</v>
      </c>
      <c r="X62" s="86">
        <v>0</v>
      </c>
      <c r="Y62" s="87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1164</v>
      </c>
      <c r="C63" s="11" t="s">
        <v>1165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5">
        <v>29</v>
      </c>
      <c r="P63" s="85" t="s">
        <v>30</v>
      </c>
      <c r="Q63" s="85">
        <v>0</v>
      </c>
      <c r="R63" s="29">
        <v>1033.56</v>
      </c>
      <c r="S63" s="86">
        <v>0</v>
      </c>
      <c r="T63" s="86">
        <v>0</v>
      </c>
      <c r="U63" s="86">
        <v>1033.56</v>
      </c>
      <c r="V63" s="86">
        <v>0</v>
      </c>
      <c r="W63" s="86">
        <v>1033.56</v>
      </c>
      <c r="X63" s="86">
        <v>0</v>
      </c>
      <c r="Y63" s="87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1166</v>
      </c>
      <c r="C64" s="11" t="s">
        <v>1167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4455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5">
        <v>42.5</v>
      </c>
      <c r="P64" s="85"/>
      <c r="Q64" s="29">
        <v>0</v>
      </c>
      <c r="R64" s="86">
        <v>1781.6000000000001</v>
      </c>
      <c r="S64" s="86">
        <v>0</v>
      </c>
      <c r="T64" s="86">
        <v>0</v>
      </c>
      <c r="U64" s="86">
        <v>1781.6000000000001</v>
      </c>
      <c r="V64" s="86">
        <v>1336.2</v>
      </c>
      <c r="W64" s="86">
        <v>445.40000000000009</v>
      </c>
      <c r="X64" s="86">
        <v>0</v>
      </c>
      <c r="Y64" s="87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1168</v>
      </c>
      <c r="C65" s="11" t="s">
        <v>1169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5">
        <v>40</v>
      </c>
      <c r="P65" s="85" t="s">
        <v>30</v>
      </c>
      <c r="Q65" s="85">
        <v>0</v>
      </c>
      <c r="R65" s="86">
        <v>1626.3999999999999</v>
      </c>
      <c r="S65" s="86">
        <v>0</v>
      </c>
      <c r="T65" s="86">
        <v>0</v>
      </c>
      <c r="U65" s="86">
        <v>1626.3999999999999</v>
      </c>
      <c r="V65" s="86">
        <v>0</v>
      </c>
      <c r="W65" s="86">
        <v>1626.3999999999999</v>
      </c>
      <c r="X65" s="86">
        <v>0</v>
      </c>
      <c r="Y65" s="87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1170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4453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5">
        <v>42</v>
      </c>
      <c r="P66" s="85" t="s">
        <v>30</v>
      </c>
      <c r="Q66" s="85">
        <v>0</v>
      </c>
      <c r="R66" s="29">
        <v>1730.4</v>
      </c>
      <c r="S66" s="86">
        <v>0</v>
      </c>
      <c r="T66" s="86">
        <v>0</v>
      </c>
      <c r="U66" s="86">
        <v>1730.4</v>
      </c>
      <c r="V66" s="86">
        <v>1730.4</v>
      </c>
      <c r="W66" s="86">
        <v>0</v>
      </c>
      <c r="X66" s="86">
        <v>0</v>
      </c>
      <c r="Y66" s="87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1171</v>
      </c>
      <c r="C67" s="11" t="s">
        <v>1172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5">
        <v>45</v>
      </c>
      <c r="P67" s="85" t="s">
        <v>30</v>
      </c>
      <c r="Q67" s="85">
        <v>15</v>
      </c>
      <c r="R67" s="29">
        <v>448.50000000000006</v>
      </c>
      <c r="S67" s="86">
        <v>0</v>
      </c>
      <c r="T67" s="86">
        <v>0</v>
      </c>
      <c r="U67" s="86">
        <v>448.50000000000006</v>
      </c>
      <c r="V67" s="86">
        <v>0</v>
      </c>
      <c r="W67" s="86">
        <v>448.50000000000006</v>
      </c>
      <c r="X67" s="86">
        <v>0</v>
      </c>
      <c r="Y67" s="87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1173</v>
      </c>
      <c r="C68" s="11" t="s">
        <v>1174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5">
        <v>15</v>
      </c>
      <c r="P68" s="85" t="s">
        <v>30</v>
      </c>
      <c r="Q68" s="85">
        <v>0</v>
      </c>
      <c r="R68" s="29">
        <v>557.4</v>
      </c>
      <c r="S68" s="86">
        <v>0</v>
      </c>
      <c r="T68" s="86">
        <v>0</v>
      </c>
      <c r="U68" s="86">
        <v>557.4</v>
      </c>
      <c r="V68" s="86">
        <v>0</v>
      </c>
      <c r="W68" s="86">
        <v>557.4</v>
      </c>
      <c r="X68" s="86">
        <v>0</v>
      </c>
      <c r="Y68" s="87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1175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4453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5">
        <v>42</v>
      </c>
      <c r="P69" s="85" t="s">
        <v>30</v>
      </c>
      <c r="Q69" s="85">
        <v>0</v>
      </c>
      <c r="R69" s="29">
        <v>1795.9199999999998</v>
      </c>
      <c r="S69" s="86">
        <v>0</v>
      </c>
      <c r="T69" s="86">
        <v>0</v>
      </c>
      <c r="U69" s="86">
        <v>1795.9199999999998</v>
      </c>
      <c r="V69" s="86">
        <v>1795.9199999999998</v>
      </c>
      <c r="W69" s="86">
        <v>0</v>
      </c>
      <c r="X69" s="86">
        <v>0</v>
      </c>
      <c r="Y69" s="87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1176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4453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5">
        <v>42</v>
      </c>
      <c r="P70" s="85" t="s">
        <v>30</v>
      </c>
      <c r="Q70" s="85">
        <v>0</v>
      </c>
      <c r="R70" s="86">
        <v>1767.36</v>
      </c>
      <c r="S70" s="86">
        <v>0</v>
      </c>
      <c r="T70" s="86">
        <v>0</v>
      </c>
      <c r="U70" s="86">
        <v>1767.36</v>
      </c>
      <c r="V70" s="86">
        <v>1767.36</v>
      </c>
      <c r="W70" s="86">
        <v>0</v>
      </c>
      <c r="X70" s="86">
        <v>0</v>
      </c>
      <c r="Y70" s="87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1177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5">
        <v>45</v>
      </c>
      <c r="P71" s="85" t="s">
        <v>30</v>
      </c>
      <c r="Q71" s="85">
        <v>0</v>
      </c>
      <c r="R71" s="29">
        <v>440.09999999999997</v>
      </c>
      <c r="S71" s="86">
        <v>0</v>
      </c>
      <c r="T71" s="86">
        <v>0</v>
      </c>
      <c r="U71" s="86">
        <v>440.09999999999997</v>
      </c>
      <c r="V71" s="86">
        <v>0</v>
      </c>
      <c r="W71" s="86">
        <v>440.09999999999997</v>
      </c>
      <c r="X71" s="86">
        <v>0</v>
      </c>
      <c r="Y71" s="87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1178</v>
      </c>
      <c r="C72" s="11" t="s">
        <v>1179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4453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5">
        <v>42</v>
      </c>
      <c r="P72" s="85" t="s">
        <v>30</v>
      </c>
      <c r="Q72" s="85">
        <v>0</v>
      </c>
      <c r="R72" s="86">
        <v>1664.04</v>
      </c>
      <c r="S72" s="86">
        <v>0</v>
      </c>
      <c r="T72" s="86">
        <v>0</v>
      </c>
      <c r="U72" s="86">
        <v>1664.04</v>
      </c>
      <c r="V72" s="86">
        <v>1664.04</v>
      </c>
      <c r="W72" s="86">
        <v>0</v>
      </c>
      <c r="X72" s="86">
        <v>0</v>
      </c>
      <c r="Y72" s="87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1180</v>
      </c>
      <c r="C73" s="11" t="s">
        <v>1181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5">
        <v>40</v>
      </c>
      <c r="P73" s="85" t="s">
        <v>30</v>
      </c>
      <c r="Q73" s="85">
        <v>0</v>
      </c>
      <c r="R73" s="86">
        <v>1756</v>
      </c>
      <c r="S73" s="86">
        <v>0</v>
      </c>
      <c r="T73" s="86">
        <v>0</v>
      </c>
      <c r="U73" s="86">
        <v>1756</v>
      </c>
      <c r="V73" s="86">
        <v>0</v>
      </c>
      <c r="W73" s="86">
        <v>1756</v>
      </c>
      <c r="X73" s="86">
        <v>0</v>
      </c>
      <c r="Y73" s="87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1182</v>
      </c>
      <c r="C74" s="11" t="s">
        <v>1183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5" t="s">
        <v>30</v>
      </c>
      <c r="P74" s="85">
        <v>56</v>
      </c>
      <c r="Q74" s="85">
        <v>0</v>
      </c>
      <c r="R74" s="86">
        <v>1400</v>
      </c>
      <c r="S74" s="86">
        <v>0</v>
      </c>
      <c r="T74" s="86">
        <v>0</v>
      </c>
      <c r="U74" s="86">
        <v>1400</v>
      </c>
      <c r="V74" s="86">
        <v>0</v>
      </c>
      <c r="W74" s="86">
        <v>1400</v>
      </c>
      <c r="X74" s="86">
        <v>0</v>
      </c>
      <c r="Y74" s="87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1184</v>
      </c>
      <c r="C75" s="11" t="s">
        <v>1185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5">
        <v>37</v>
      </c>
      <c r="P75" s="85" t="s">
        <v>30</v>
      </c>
      <c r="Q75" s="85">
        <v>0</v>
      </c>
      <c r="R75" s="86">
        <v>1259.48</v>
      </c>
      <c r="S75" s="86">
        <v>0</v>
      </c>
      <c r="T75" s="86">
        <v>0</v>
      </c>
      <c r="U75" s="86">
        <v>1259.48</v>
      </c>
      <c r="V75" s="86">
        <v>0</v>
      </c>
      <c r="W75" s="86">
        <v>1259.48</v>
      </c>
      <c r="X75" s="86">
        <v>0</v>
      </c>
      <c r="Y75" s="87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1186</v>
      </c>
      <c r="C76" s="11" t="s">
        <v>1187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5">
        <v>25</v>
      </c>
      <c r="P76" s="85"/>
      <c r="Q76" s="85">
        <v>0</v>
      </c>
      <c r="R76" s="86">
        <v>1102.5</v>
      </c>
      <c r="S76" s="86">
        <v>0</v>
      </c>
      <c r="T76" s="86">
        <v>0</v>
      </c>
      <c r="U76" s="86">
        <v>1102.5</v>
      </c>
      <c r="V76" s="86">
        <v>0</v>
      </c>
      <c r="W76" s="86">
        <v>1102.5</v>
      </c>
      <c r="X76" s="86">
        <v>0</v>
      </c>
      <c r="Y76" s="87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1188</v>
      </c>
      <c r="C77" s="11" t="s">
        <v>1189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5">
        <v>35</v>
      </c>
      <c r="P77" s="85"/>
      <c r="Q77" s="85">
        <v>0</v>
      </c>
      <c r="R77" s="86">
        <v>1433.6000000000001</v>
      </c>
      <c r="S77" s="86">
        <v>0</v>
      </c>
      <c r="T77" s="86">
        <v>0</v>
      </c>
      <c r="U77" s="86">
        <v>1433.6000000000001</v>
      </c>
      <c r="V77" s="86">
        <v>0</v>
      </c>
      <c r="W77" s="86">
        <v>1433.6000000000001</v>
      </c>
      <c r="X77" s="86">
        <v>0</v>
      </c>
      <c r="Y77" s="87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1190</v>
      </c>
      <c r="C78" s="11" t="s">
        <v>1191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5">
        <v>25</v>
      </c>
      <c r="P78" s="85"/>
      <c r="Q78" s="85">
        <v>0</v>
      </c>
      <c r="R78" s="29">
        <v>1115.5</v>
      </c>
      <c r="S78" s="86">
        <v>0</v>
      </c>
      <c r="T78" s="86">
        <v>0</v>
      </c>
      <c r="U78" s="86">
        <v>1115.5</v>
      </c>
      <c r="V78" s="86">
        <v>0</v>
      </c>
      <c r="W78" s="86">
        <v>1115.5</v>
      </c>
      <c r="X78" s="86">
        <v>0</v>
      </c>
      <c r="Y78" s="87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1192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5">
        <v>35</v>
      </c>
      <c r="P79" s="85"/>
      <c r="Q79" s="85">
        <v>0</v>
      </c>
      <c r="R79" s="29">
        <v>1449.7</v>
      </c>
      <c r="S79" s="86">
        <v>0</v>
      </c>
      <c r="T79" s="86">
        <v>0</v>
      </c>
      <c r="U79" s="86">
        <v>1449.7</v>
      </c>
      <c r="V79" s="86">
        <v>0</v>
      </c>
      <c r="W79" s="86">
        <v>1449.7</v>
      </c>
      <c r="X79" s="86">
        <v>0</v>
      </c>
      <c r="Y79" s="87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1193</v>
      </c>
      <c r="C80" s="11" t="s">
        <v>1194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5">
        <v>25</v>
      </c>
      <c r="P80" s="85"/>
      <c r="Q80" s="85">
        <v>0</v>
      </c>
      <c r="R80" s="29">
        <v>1094.5</v>
      </c>
      <c r="S80" s="86">
        <v>0</v>
      </c>
      <c r="T80" s="86">
        <v>0</v>
      </c>
      <c r="U80" s="86">
        <v>1094.5</v>
      </c>
      <c r="V80" s="86">
        <v>0</v>
      </c>
      <c r="W80" s="86">
        <v>1094.5</v>
      </c>
      <c r="X80" s="86">
        <v>0</v>
      </c>
      <c r="Y80" s="87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1195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5" t="s">
        <v>30</v>
      </c>
      <c r="P81" s="85">
        <v>56</v>
      </c>
      <c r="Q81" s="85">
        <v>0</v>
      </c>
      <c r="R81" s="86">
        <v>1400</v>
      </c>
      <c r="S81" s="86">
        <v>0</v>
      </c>
      <c r="T81" s="86">
        <v>0</v>
      </c>
      <c r="U81" s="86">
        <v>1400</v>
      </c>
      <c r="V81" s="86">
        <v>0</v>
      </c>
      <c r="W81" s="86">
        <v>1400</v>
      </c>
      <c r="X81" s="86">
        <v>0</v>
      </c>
      <c r="Y81" s="87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1196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5">
        <v>20</v>
      </c>
      <c r="P82" s="85" t="s">
        <v>30</v>
      </c>
      <c r="Q82" s="85">
        <v>0</v>
      </c>
      <c r="R82" s="86">
        <v>682.8</v>
      </c>
      <c r="S82" s="86">
        <v>0</v>
      </c>
      <c r="T82" s="86">
        <v>0</v>
      </c>
      <c r="U82" s="86">
        <v>682.8</v>
      </c>
      <c r="V82" s="86">
        <v>0</v>
      </c>
      <c r="W82" s="86">
        <v>682.8</v>
      </c>
      <c r="X82" s="86">
        <v>0</v>
      </c>
      <c r="Y82" s="87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1197</v>
      </c>
      <c r="C83" s="11" t="s">
        <v>1198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5" t="s">
        <v>30</v>
      </c>
      <c r="P83" s="85">
        <v>58</v>
      </c>
      <c r="Q83" s="85">
        <v>0</v>
      </c>
      <c r="R83" s="29">
        <v>1450</v>
      </c>
      <c r="S83" s="86">
        <v>0</v>
      </c>
      <c r="T83" s="86">
        <v>0</v>
      </c>
      <c r="U83" s="86">
        <v>1450</v>
      </c>
      <c r="V83" s="86">
        <v>0</v>
      </c>
      <c r="W83" s="86">
        <v>1450</v>
      </c>
      <c r="X83" s="87">
        <v>0</v>
      </c>
      <c r="Y83" s="87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1199</v>
      </c>
      <c r="C84" s="11" t="s">
        <v>1200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4453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5">
        <v>42</v>
      </c>
      <c r="P84" s="85" t="s">
        <v>30</v>
      </c>
      <c r="Q84" s="85">
        <v>0</v>
      </c>
      <c r="R84" s="86">
        <v>1680</v>
      </c>
      <c r="S84" s="86">
        <v>0</v>
      </c>
      <c r="T84" s="86">
        <v>0</v>
      </c>
      <c r="U84" s="86">
        <v>1680</v>
      </c>
      <c r="V84" s="86">
        <v>1680</v>
      </c>
      <c r="W84" s="86">
        <v>0</v>
      </c>
      <c r="X84" s="86">
        <v>0</v>
      </c>
      <c r="Y84" s="87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1201</v>
      </c>
      <c r="C85" s="11" t="s">
        <v>1202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4455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5">
        <v>45.33</v>
      </c>
      <c r="P85" s="85" t="s">
        <v>30</v>
      </c>
      <c r="Q85" s="29">
        <v>0</v>
      </c>
      <c r="R85" s="86">
        <v>1836.7716</v>
      </c>
      <c r="S85" s="86">
        <v>0</v>
      </c>
      <c r="T85" s="86">
        <v>0</v>
      </c>
      <c r="U85" s="86">
        <v>1836.7716</v>
      </c>
      <c r="V85" s="86">
        <v>1377.5787</v>
      </c>
      <c r="W85" s="86">
        <v>459.19290000000001</v>
      </c>
      <c r="X85" s="86">
        <v>0</v>
      </c>
      <c r="Y85" s="87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1203</v>
      </c>
      <c r="C86" s="11" t="s">
        <v>1204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5">
        <v>20</v>
      </c>
      <c r="P86" s="85" t="s">
        <v>30</v>
      </c>
      <c r="Q86" s="85">
        <v>0</v>
      </c>
      <c r="R86" s="86">
        <v>691.2</v>
      </c>
      <c r="S86" s="86">
        <v>0</v>
      </c>
      <c r="T86" s="86">
        <v>0</v>
      </c>
      <c r="U86" s="86">
        <v>691.2</v>
      </c>
      <c r="V86" s="86">
        <v>0</v>
      </c>
      <c r="W86" s="86">
        <v>691.2</v>
      </c>
      <c r="X86" s="86">
        <v>0</v>
      </c>
      <c r="Y86" s="87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1205</v>
      </c>
      <c r="C87" s="11" t="s">
        <v>1206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5">
        <v>87</v>
      </c>
      <c r="P87" s="85" t="s">
        <v>30</v>
      </c>
      <c r="Q87" s="85">
        <v>0</v>
      </c>
      <c r="R87" s="86">
        <v>3676.62</v>
      </c>
      <c r="S87" s="86">
        <v>38</v>
      </c>
      <c r="T87" s="86">
        <v>1605.8799999999999</v>
      </c>
      <c r="U87" s="86">
        <v>2070.7399999999998</v>
      </c>
      <c r="V87" s="86">
        <v>2070.7399999999998</v>
      </c>
      <c r="W87" s="86">
        <v>0</v>
      </c>
      <c r="X87" s="86">
        <v>1521.36</v>
      </c>
      <c r="Y87" s="87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5">
        <v>87</v>
      </c>
      <c r="P88" s="85" t="s">
        <v>30</v>
      </c>
      <c r="Q88" s="85">
        <v>0</v>
      </c>
      <c r="R88" s="29">
        <v>3612.2400000000002</v>
      </c>
      <c r="S88" s="86">
        <v>38</v>
      </c>
      <c r="T88" s="86">
        <v>1577.7600000000002</v>
      </c>
      <c r="U88" s="86">
        <v>2034.48</v>
      </c>
      <c r="V88" s="86">
        <v>2034.48</v>
      </c>
      <c r="W88" s="86">
        <v>0</v>
      </c>
      <c r="X88" s="87">
        <v>1494.72</v>
      </c>
      <c r="Y88" s="87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5">
        <v>87</v>
      </c>
      <c r="P89" s="85" t="s">
        <v>30</v>
      </c>
      <c r="Q89" s="85">
        <v>0</v>
      </c>
      <c r="R89" s="86">
        <v>3523.5</v>
      </c>
      <c r="S89" s="86">
        <v>38</v>
      </c>
      <c r="T89" s="86">
        <v>1539</v>
      </c>
      <c r="U89" s="86">
        <v>1984.5</v>
      </c>
      <c r="V89" s="86">
        <v>1984.5</v>
      </c>
      <c r="W89" s="86">
        <v>0</v>
      </c>
      <c r="X89" s="86">
        <v>1458</v>
      </c>
      <c r="Y89" s="87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5">
        <v>40</v>
      </c>
      <c r="P90" s="85"/>
      <c r="Q90" s="85">
        <v>0</v>
      </c>
      <c r="R90" s="29">
        <v>1740</v>
      </c>
      <c r="S90" s="86">
        <v>0</v>
      </c>
      <c r="T90" s="86">
        <v>0</v>
      </c>
      <c r="U90" s="86">
        <v>1740</v>
      </c>
      <c r="V90" s="86">
        <v>0</v>
      </c>
      <c r="W90" s="86">
        <v>1740</v>
      </c>
      <c r="X90" s="86">
        <v>0</v>
      </c>
      <c r="Y90" s="87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5">
        <v>85</v>
      </c>
      <c r="P91" s="85" t="s">
        <v>30</v>
      </c>
      <c r="Q91" s="85">
        <v>0</v>
      </c>
      <c r="R91" s="29">
        <v>3665.2</v>
      </c>
      <c r="S91" s="86">
        <v>38</v>
      </c>
      <c r="T91" s="86">
        <v>1638.56</v>
      </c>
      <c r="U91" s="86">
        <v>2026.6399999999999</v>
      </c>
      <c r="V91" s="86">
        <v>2026.6399999999999</v>
      </c>
      <c r="W91" s="86">
        <v>0</v>
      </c>
      <c r="X91" s="86">
        <v>1595.4399999999998</v>
      </c>
      <c r="Y91" s="87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5">
        <v>40</v>
      </c>
      <c r="P92" s="85"/>
      <c r="Q92" s="85">
        <v>0</v>
      </c>
      <c r="R92" s="29">
        <v>1740</v>
      </c>
      <c r="S92" s="86">
        <v>0</v>
      </c>
      <c r="T92" s="86">
        <v>0</v>
      </c>
      <c r="U92" s="86">
        <v>1740</v>
      </c>
      <c r="V92" s="86">
        <v>0</v>
      </c>
      <c r="W92" s="86">
        <v>1740</v>
      </c>
      <c r="X92" s="86">
        <v>0</v>
      </c>
      <c r="Y92" s="87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5">
        <v>91</v>
      </c>
      <c r="P93" s="85" t="s">
        <v>30</v>
      </c>
      <c r="Q93" s="85">
        <v>0</v>
      </c>
      <c r="R93" s="29">
        <v>3992.1699999999996</v>
      </c>
      <c r="S93" s="86">
        <v>40</v>
      </c>
      <c r="T93" s="86">
        <v>1754.8</v>
      </c>
      <c r="U93" s="86">
        <v>2237.37</v>
      </c>
      <c r="V93" s="86">
        <v>2237.37</v>
      </c>
      <c r="W93" s="86">
        <v>0</v>
      </c>
      <c r="X93" s="86">
        <v>1623.1899999999998</v>
      </c>
      <c r="Y93" s="87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5">
        <v>91</v>
      </c>
      <c r="P94" s="85" t="s">
        <v>30</v>
      </c>
      <c r="Q94" s="85">
        <v>0</v>
      </c>
      <c r="R94" s="86">
        <v>3932.11</v>
      </c>
      <c r="S94" s="86">
        <v>40</v>
      </c>
      <c r="T94" s="86">
        <v>1728.4</v>
      </c>
      <c r="U94" s="86">
        <v>2203.71</v>
      </c>
      <c r="V94" s="86">
        <v>2203.71</v>
      </c>
      <c r="W94" s="86">
        <v>0</v>
      </c>
      <c r="X94" s="86">
        <v>1598.77</v>
      </c>
      <c r="Y94" s="87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5">
        <v>91</v>
      </c>
      <c r="P95" s="85" t="s">
        <v>30</v>
      </c>
      <c r="Q95" s="85">
        <v>0</v>
      </c>
      <c r="R95" s="86">
        <v>3937.57</v>
      </c>
      <c r="S95" s="86">
        <v>40</v>
      </c>
      <c r="T95" s="86">
        <v>1730.8000000000002</v>
      </c>
      <c r="U95" s="86">
        <v>2206.77</v>
      </c>
      <c r="V95" s="86">
        <v>2206.77</v>
      </c>
      <c r="W95" s="86">
        <v>0</v>
      </c>
      <c r="X95" s="86">
        <v>1600.99</v>
      </c>
      <c r="Y95" s="87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5">
        <v>83</v>
      </c>
      <c r="P96" s="85" t="s">
        <v>30</v>
      </c>
      <c r="Q96" s="85">
        <v>0</v>
      </c>
      <c r="R96" s="29">
        <v>3710.1000000000004</v>
      </c>
      <c r="S96" s="86">
        <v>38</v>
      </c>
      <c r="T96" s="86">
        <v>1698.6000000000001</v>
      </c>
      <c r="U96" s="86">
        <v>2011.5000000000002</v>
      </c>
      <c r="V96" s="86">
        <v>2011.5000000000002</v>
      </c>
      <c r="W96" s="86">
        <v>0</v>
      </c>
      <c r="X96" s="86">
        <v>1609.2</v>
      </c>
      <c r="Y96" s="87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5">
        <v>25</v>
      </c>
      <c r="P97" s="85"/>
      <c r="Q97" s="85">
        <v>0</v>
      </c>
      <c r="R97" s="29">
        <v>1000</v>
      </c>
      <c r="S97" s="86">
        <v>0</v>
      </c>
      <c r="T97" s="86">
        <v>0</v>
      </c>
      <c r="U97" s="86">
        <v>1000</v>
      </c>
      <c r="V97" s="86">
        <v>0</v>
      </c>
      <c r="W97" s="86">
        <v>1000</v>
      </c>
      <c r="X97" s="86">
        <v>0</v>
      </c>
      <c r="Y97" s="87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5" t="s">
        <v>30</v>
      </c>
      <c r="P98" s="85">
        <v>58</v>
      </c>
      <c r="Q98" s="85">
        <v>0</v>
      </c>
      <c r="R98" s="86">
        <v>1450</v>
      </c>
      <c r="S98" s="86">
        <v>0</v>
      </c>
      <c r="T98" s="86">
        <v>0</v>
      </c>
      <c r="U98" s="86">
        <v>1450</v>
      </c>
      <c r="V98" s="86">
        <v>0</v>
      </c>
      <c r="W98" s="86">
        <v>1450</v>
      </c>
      <c r="X98" s="86">
        <v>0</v>
      </c>
      <c r="Y98" s="87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4452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5" t="s">
        <v>30</v>
      </c>
      <c r="P99" s="85">
        <v>62</v>
      </c>
      <c r="Q99" s="85">
        <v>0</v>
      </c>
      <c r="R99" s="86">
        <v>1364</v>
      </c>
      <c r="S99" s="86">
        <v>37</v>
      </c>
      <c r="T99" s="86">
        <v>814</v>
      </c>
      <c r="U99" s="86">
        <v>550</v>
      </c>
      <c r="V99" s="86">
        <v>550</v>
      </c>
      <c r="W99" s="86">
        <v>0</v>
      </c>
      <c r="X99" s="86">
        <v>858</v>
      </c>
      <c r="Y99" s="87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4453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5">
        <v>42</v>
      </c>
      <c r="P100" s="85" t="s">
        <v>30</v>
      </c>
      <c r="Q100" s="85">
        <v>0</v>
      </c>
      <c r="R100" s="29">
        <v>1680</v>
      </c>
      <c r="S100" s="86">
        <v>0</v>
      </c>
      <c r="T100" s="86">
        <v>0</v>
      </c>
      <c r="U100" s="86">
        <v>1680</v>
      </c>
      <c r="V100" s="86">
        <v>1680</v>
      </c>
      <c r="W100" s="86">
        <v>0</v>
      </c>
      <c r="X100" s="86">
        <v>0</v>
      </c>
      <c r="Y100" s="87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5">
        <v>15</v>
      </c>
      <c r="P101" s="85" t="s">
        <v>30</v>
      </c>
      <c r="Q101" s="85">
        <v>0</v>
      </c>
      <c r="R101" s="29">
        <v>600</v>
      </c>
      <c r="S101" s="86">
        <v>0</v>
      </c>
      <c r="T101" s="86">
        <v>0</v>
      </c>
      <c r="U101" s="86">
        <v>600</v>
      </c>
      <c r="V101" s="86">
        <v>0</v>
      </c>
      <c r="W101" s="86">
        <v>600</v>
      </c>
      <c r="X101" s="86">
        <v>0</v>
      </c>
      <c r="Y101" s="87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5">
        <v>85</v>
      </c>
      <c r="P102" s="85" t="s">
        <v>30</v>
      </c>
      <c r="Q102" s="29">
        <v>0</v>
      </c>
      <c r="R102" s="86">
        <v>3408.5</v>
      </c>
      <c r="S102" s="86">
        <v>38</v>
      </c>
      <c r="T102" s="86">
        <v>1523.8</v>
      </c>
      <c r="U102" s="86">
        <v>1884.7</v>
      </c>
      <c r="V102" s="86">
        <v>1884.7</v>
      </c>
      <c r="W102" s="86">
        <v>0</v>
      </c>
      <c r="X102" s="86">
        <v>1443.6000000000001</v>
      </c>
      <c r="Y102" s="87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4453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5">
        <v>44</v>
      </c>
      <c r="P103" s="85" t="s">
        <v>30</v>
      </c>
      <c r="Q103" s="85">
        <v>0</v>
      </c>
      <c r="R103" s="29">
        <v>1650</v>
      </c>
      <c r="S103" s="86">
        <v>0</v>
      </c>
      <c r="T103" s="86">
        <v>0</v>
      </c>
      <c r="U103" s="86">
        <v>1650</v>
      </c>
      <c r="V103" s="86">
        <v>1650</v>
      </c>
      <c r="W103" s="86">
        <v>0</v>
      </c>
      <c r="X103" s="86">
        <v>0</v>
      </c>
      <c r="Y103" s="87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5">
        <v>35</v>
      </c>
      <c r="P104" s="85"/>
      <c r="Q104" s="29">
        <v>0</v>
      </c>
      <c r="R104" s="86">
        <v>1400</v>
      </c>
      <c r="S104" s="86">
        <v>0</v>
      </c>
      <c r="T104" s="86">
        <v>0</v>
      </c>
      <c r="U104" s="86">
        <v>1400</v>
      </c>
      <c r="V104" s="86">
        <v>0</v>
      </c>
      <c r="W104" s="86">
        <v>1400</v>
      </c>
      <c r="X104" s="86">
        <v>0</v>
      </c>
      <c r="Y104" s="87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5">
        <v>85</v>
      </c>
      <c r="P105" s="85" t="s">
        <v>30</v>
      </c>
      <c r="Q105" s="85">
        <v>0</v>
      </c>
      <c r="R105" s="29">
        <v>3637.9999999999995</v>
      </c>
      <c r="S105" s="86">
        <v>38</v>
      </c>
      <c r="T105" s="86">
        <v>1626.3999999999999</v>
      </c>
      <c r="U105" s="86">
        <v>2011.5999999999997</v>
      </c>
      <c r="V105" s="86">
        <v>2011.5999999999997</v>
      </c>
      <c r="W105" s="86">
        <v>0</v>
      </c>
      <c r="X105" s="86">
        <v>1540.8</v>
      </c>
      <c r="Y105" s="87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5" t="s">
        <v>30</v>
      </c>
      <c r="P106" s="85">
        <v>62</v>
      </c>
      <c r="Q106" s="29">
        <v>0</v>
      </c>
      <c r="R106" s="86">
        <v>1550</v>
      </c>
      <c r="S106" s="86">
        <v>0</v>
      </c>
      <c r="T106" s="86">
        <v>0</v>
      </c>
      <c r="U106" s="86">
        <v>1550</v>
      </c>
      <c r="V106" s="86">
        <v>0</v>
      </c>
      <c r="W106" s="86">
        <v>1550</v>
      </c>
      <c r="X106" s="86">
        <v>0</v>
      </c>
      <c r="Y106" s="87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4453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4453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4452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4453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4430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4452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4430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4430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4455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4455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4455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4453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4454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4453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4453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4455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4430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6335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4455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4430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6335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1209</v>
      </c>
      <c r="F179" s="11" t="s">
        <v>26</v>
      </c>
      <c r="G179" s="11" t="s">
        <v>26</v>
      </c>
      <c r="H179" s="12" t="s">
        <v>4429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4430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4430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4453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4430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6335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1210</v>
      </c>
      <c r="C206" s="11" t="s">
        <v>1211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1212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4453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1213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4453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719</v>
      </c>
      <c r="C209" s="11" t="s">
        <v>1214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4453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1215</v>
      </c>
      <c r="C210" s="11" t="s">
        <v>1216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4430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1217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1218</v>
      </c>
      <c r="C212" s="11" t="s">
        <v>1219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4430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1220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1221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1222</v>
      </c>
      <c r="C215" s="11" t="s">
        <v>1223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1224</v>
      </c>
      <c r="C216" s="11" t="s">
        <v>1225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1226</v>
      </c>
      <c r="C217" s="11" t="s">
        <v>1227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4453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1228</v>
      </c>
      <c r="C218" s="11" t="s">
        <v>1229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4455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1230</v>
      </c>
      <c r="C219" s="11" t="s">
        <v>1231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1232</v>
      </c>
      <c r="C220" s="11" t="s">
        <v>1233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4430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1234</v>
      </c>
      <c r="C221" s="11" t="s">
        <v>1235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1236</v>
      </c>
      <c r="C222" s="11" t="s">
        <v>1237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1238</v>
      </c>
      <c r="C223" s="11" t="s">
        <v>1239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4430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1240</v>
      </c>
      <c r="C224" s="11" t="s">
        <v>1241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4455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1242</v>
      </c>
      <c r="C225" s="11" t="s">
        <v>1243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1244</v>
      </c>
      <c r="C226" s="11" t="s">
        <v>1245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4430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1246</v>
      </c>
      <c r="C227" s="11" t="s">
        <v>1247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697</v>
      </c>
      <c r="C228" s="11" t="s">
        <v>1248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4430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1249</v>
      </c>
      <c r="C229" s="11" t="s">
        <v>1250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1251</v>
      </c>
      <c r="C230" s="11" t="s">
        <v>1252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4430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1253</v>
      </c>
      <c r="C231" s="11" t="s">
        <v>1254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711</v>
      </c>
      <c r="C232" s="11" t="s">
        <v>1255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1256</v>
      </c>
      <c r="C233" s="11" t="s">
        <v>1257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1258</v>
      </c>
      <c r="C234" s="11" t="s">
        <v>1259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1260</v>
      </c>
      <c r="C235" s="11" t="s">
        <v>1261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4453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1262</v>
      </c>
      <c r="C236" s="11" t="s">
        <v>1263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1264</v>
      </c>
      <c r="C237" s="11" t="s">
        <v>1265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1266</v>
      </c>
      <c r="C238" s="11" t="s">
        <v>1267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1268</v>
      </c>
      <c r="C239" s="11" t="s">
        <v>1269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4453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1270</v>
      </c>
      <c r="C240" s="11" t="s">
        <v>1271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4455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725</v>
      </c>
      <c r="C241" s="11" t="s">
        <v>1272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6335</v>
      </c>
      <c r="AA241" s="12" t="s">
        <v>78</v>
      </c>
    </row>
    <row r="242" spans="1:27" x14ac:dyDescent="0.25">
      <c r="A242" s="10">
        <v>45661</v>
      </c>
      <c r="B242" s="11" t="s">
        <v>694</v>
      </c>
      <c r="C242" s="11" t="s">
        <v>1273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1274</v>
      </c>
      <c r="C243" s="11" t="s">
        <v>1275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1276</v>
      </c>
      <c r="C244" s="11" t="s">
        <v>1277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1278</v>
      </c>
      <c r="C245" s="11" t="s">
        <v>1279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716</v>
      </c>
      <c r="C246" s="11" t="s">
        <v>1280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1281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4455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1282</v>
      </c>
      <c r="C248" s="11" t="s">
        <v>1283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1284</v>
      </c>
      <c r="C249" s="11" t="s">
        <v>1285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4430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1286</v>
      </c>
      <c r="C250" s="11" t="s">
        <v>1287</v>
      </c>
      <c r="D250" s="11" t="s">
        <v>26</v>
      </c>
      <c r="E250" s="11" t="s">
        <v>1288</v>
      </c>
      <c r="F250" s="11" t="s">
        <v>26</v>
      </c>
      <c r="G250" s="11" t="s">
        <v>26</v>
      </c>
      <c r="H250" s="12" t="s">
        <v>4429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1289</v>
      </c>
      <c r="C251" s="11" t="s">
        <v>1290</v>
      </c>
      <c r="D251" s="11" t="s">
        <v>26</v>
      </c>
      <c r="E251" s="11" t="s">
        <v>1207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1291</v>
      </c>
      <c r="C252" s="11" t="s">
        <v>1292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1293</v>
      </c>
      <c r="C253" s="11" t="s">
        <v>1294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1295</v>
      </c>
      <c r="C254" s="11" t="s">
        <v>1296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1297</v>
      </c>
      <c r="C255" s="11" t="s">
        <v>1298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1299</v>
      </c>
      <c r="C256" s="11" t="s">
        <v>1300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1301</v>
      </c>
      <c r="C257" s="11" t="s">
        <v>1302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1303</v>
      </c>
      <c r="C258" s="11" t="s">
        <v>1304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751</v>
      </c>
      <c r="C259" s="11" t="s">
        <v>1305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1306</v>
      </c>
      <c r="C260" s="11" t="s">
        <v>1307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1308</v>
      </c>
      <c r="C261" s="11" t="s">
        <v>1309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1310</v>
      </c>
      <c r="C262" s="11" t="s">
        <v>1311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4453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700</v>
      </c>
      <c r="C263" s="11" t="s">
        <v>1312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4453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1313</v>
      </c>
      <c r="C264" s="11" t="s">
        <v>1314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4455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1315</v>
      </c>
      <c r="C265" s="11" t="s">
        <v>1316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4455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669</v>
      </c>
      <c r="C266" s="11" t="s">
        <v>1317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4455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1318</v>
      </c>
      <c r="C267" s="11" t="s">
        <v>1319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4455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1320</v>
      </c>
      <c r="C268" s="11" t="s">
        <v>1321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1322</v>
      </c>
      <c r="C269" s="11" t="s">
        <v>1323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4455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1324</v>
      </c>
      <c r="C270" s="11" t="s">
        <v>1325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1326</v>
      </c>
      <c r="C271" s="11" t="s">
        <v>1327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4430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679</v>
      </c>
      <c r="C272" s="11" t="s">
        <v>1328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676</v>
      </c>
      <c r="C273" s="11" t="s">
        <v>1329</v>
      </c>
      <c r="D273" s="11" t="s">
        <v>26</v>
      </c>
      <c r="E273" s="11" t="s">
        <v>1207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1330</v>
      </c>
      <c r="C274" s="11" t="s">
        <v>1331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1332</v>
      </c>
      <c r="C275" s="11" t="s">
        <v>1333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6335</v>
      </c>
      <c r="AA275" s="12" t="s">
        <v>78</v>
      </c>
    </row>
    <row r="276" spans="1:27" x14ac:dyDescent="0.25">
      <c r="A276" s="10">
        <v>45661</v>
      </c>
      <c r="B276" s="11" t="s">
        <v>1334</v>
      </c>
      <c r="C276" s="11" t="s">
        <v>1335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1336</v>
      </c>
      <c r="C277" s="11" t="s">
        <v>1337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1338</v>
      </c>
      <c r="C278" s="11" t="s">
        <v>1339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1340</v>
      </c>
      <c r="C279" s="11" t="s">
        <v>1341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1342</v>
      </c>
      <c r="C280" s="11" t="s">
        <v>1343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1344</v>
      </c>
      <c r="C281" s="11" t="s">
        <v>1345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4453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1346</v>
      </c>
      <c r="C282" s="11" t="s">
        <v>1347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1348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6335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1349</v>
      </c>
      <c r="C284" s="11" t="s">
        <v>1350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1351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4453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1352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4430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1353</v>
      </c>
      <c r="C287" s="11" t="s">
        <v>1354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4430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1355</v>
      </c>
      <c r="C288" s="11" t="s">
        <v>1356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4430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728</v>
      </c>
      <c r="C289" s="11" t="s">
        <v>1357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1358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1359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1360</v>
      </c>
      <c r="C292" s="11" t="s">
        <v>1361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698</v>
      </c>
      <c r="C293" s="11" t="s">
        <v>1362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1363</v>
      </c>
      <c r="C294" s="11" t="s">
        <v>1364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1365</v>
      </c>
      <c r="C295" s="11" t="s">
        <v>1366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6335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1367</v>
      </c>
      <c r="C296" s="11" t="s">
        <v>1368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4430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1369</v>
      </c>
      <c r="C297" s="11" t="s">
        <v>1370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1371</v>
      </c>
      <c r="C298" s="11" t="s">
        <v>1372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1373</v>
      </c>
      <c r="C299" s="11" t="s">
        <v>1374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1375</v>
      </c>
      <c r="C300" s="11" t="s">
        <v>1376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1377</v>
      </c>
      <c r="C301" s="11" t="s">
        <v>1378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1379</v>
      </c>
      <c r="C302" s="11" t="s">
        <v>1380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4453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1381</v>
      </c>
      <c r="C303" s="11" t="s">
        <v>1382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1383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4453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1384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1385</v>
      </c>
      <c r="C306" s="11" t="s">
        <v>1386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1387</v>
      </c>
      <c r="C307" s="11" t="s">
        <v>1388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1389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1390</v>
      </c>
      <c r="C309" s="11" t="s">
        <v>1391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704</v>
      </c>
      <c r="C310" s="11" t="s">
        <v>1392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4455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1393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6335</v>
      </c>
      <c r="AA311" s="12" t="s">
        <v>78</v>
      </c>
    </row>
    <row r="312" spans="1:27" x14ac:dyDescent="0.25">
      <c r="A312" s="10">
        <v>45663</v>
      </c>
      <c r="B312" s="11" t="s">
        <v>1394</v>
      </c>
      <c r="C312" s="11" t="s">
        <v>1395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1396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1397</v>
      </c>
      <c r="C314" s="11" t="s">
        <v>1398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1399</v>
      </c>
      <c r="C315" s="11" t="s">
        <v>1400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1401</v>
      </c>
      <c r="C316" s="11" t="s">
        <v>1402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1403</v>
      </c>
      <c r="C317" s="11" t="s">
        <v>1404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1405</v>
      </c>
      <c r="C318" s="11" t="s">
        <v>1406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1407</v>
      </c>
      <c r="C319" s="11" t="s">
        <v>1408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1409</v>
      </c>
      <c r="C320" s="11" t="s">
        <v>1410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1411</v>
      </c>
      <c r="C321" s="11" t="s">
        <v>1412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1413</v>
      </c>
      <c r="C322" s="11" t="s">
        <v>1414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1415</v>
      </c>
      <c r="C323" s="11" t="s">
        <v>1416</v>
      </c>
      <c r="D323" s="11" t="s">
        <v>26</v>
      </c>
      <c r="E323" s="11" t="s">
        <v>1207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1417</v>
      </c>
      <c r="C324" s="11" t="s">
        <v>1418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1419</v>
      </c>
      <c r="C325" s="11" t="s">
        <v>1420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1421</v>
      </c>
      <c r="C326" s="11" t="s">
        <v>1422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683</v>
      </c>
      <c r="C327" s="11" t="s">
        <v>1423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1424</v>
      </c>
      <c r="C328" s="11" t="s">
        <v>1425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4455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1426</v>
      </c>
      <c r="C329" s="11" t="s">
        <v>1427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4454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1428</v>
      </c>
      <c r="C330" s="11" t="s">
        <v>1429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4430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1430</v>
      </c>
      <c r="C331" s="11" t="s">
        <v>1431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4453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1432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4455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1433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1434</v>
      </c>
      <c r="C334" s="11" t="s">
        <v>1435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1436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1437</v>
      </c>
      <c r="C336" s="11" t="s">
        <v>1438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1439</v>
      </c>
      <c r="C337" s="11" t="s">
        <v>1440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4455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664</v>
      </c>
      <c r="C338" s="11" t="s">
        <v>1441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1442</v>
      </c>
      <c r="C339" s="11" t="s">
        <v>1443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671</v>
      </c>
      <c r="C340" s="11" t="s">
        <v>1444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1445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1446</v>
      </c>
      <c r="C342" s="11" t="s">
        <v>1447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1448</v>
      </c>
      <c r="C343" s="11" t="s">
        <v>1449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1450</v>
      </c>
      <c r="C344" s="11" t="s">
        <v>1451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4430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1452</v>
      </c>
      <c r="C345" s="11" t="s">
        <v>1453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4430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686</v>
      </c>
      <c r="C346" s="11" t="s">
        <v>1454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4455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1455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4453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1456</v>
      </c>
      <c r="C348" s="11" t="s">
        <v>1457</v>
      </c>
      <c r="D348" s="11" t="s">
        <v>26</v>
      </c>
      <c r="E348" s="11" t="s">
        <v>1207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1458</v>
      </c>
      <c r="C349" s="11" t="s">
        <v>1459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4455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704</v>
      </c>
      <c r="C350" s="11" t="s">
        <v>1460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4454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1461</v>
      </c>
      <c r="C351" s="11" t="s">
        <v>1462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1463</v>
      </c>
      <c r="C352" s="11" t="s">
        <v>1464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1465</v>
      </c>
      <c r="C353" s="11" t="s">
        <v>1466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1467</v>
      </c>
      <c r="C354" s="11" t="s">
        <v>1468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1469</v>
      </c>
      <c r="C355" s="11" t="s">
        <v>1470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1471</v>
      </c>
      <c r="C356" s="11" t="s">
        <v>1472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4453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1473</v>
      </c>
      <c r="C357" s="11" t="s">
        <v>1474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1475</v>
      </c>
      <c r="C358" s="11" t="s">
        <v>1476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1477</v>
      </c>
      <c r="C359" s="11" t="s">
        <v>1478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4454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1479</v>
      </c>
      <c r="C360" s="11" t="s">
        <v>1480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1481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4453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1482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1483</v>
      </c>
      <c r="C363" s="11" t="s">
        <v>1484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6335</v>
      </c>
      <c r="AA363" s="12" t="s">
        <v>78</v>
      </c>
    </row>
    <row r="364" spans="1:27" x14ac:dyDescent="0.25">
      <c r="A364" s="10">
        <v>45663</v>
      </c>
      <c r="B364" s="11" t="s">
        <v>1485</v>
      </c>
      <c r="C364" s="11" t="s">
        <v>1486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1487</v>
      </c>
      <c r="C365" s="11" t="s">
        <v>1488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1489</v>
      </c>
      <c r="C366" s="11" t="s">
        <v>1490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1491</v>
      </c>
      <c r="C367" s="11" t="s">
        <v>1492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1493</v>
      </c>
      <c r="C368" s="11" t="s">
        <v>1494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1495</v>
      </c>
      <c r="C369" s="11" t="s">
        <v>1496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4453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1497</v>
      </c>
      <c r="C370" s="11" t="s">
        <v>1498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1499</v>
      </c>
      <c r="C371" s="11" t="s">
        <v>1500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1501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1502</v>
      </c>
      <c r="C373" s="11" t="s">
        <v>1503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1365</v>
      </c>
      <c r="C374" s="11" t="s">
        <v>1504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1505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735</v>
      </c>
      <c r="C376" s="11" t="s">
        <v>1506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1507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1508</v>
      </c>
      <c r="C378" s="11" t="s">
        <v>1509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4455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1510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1511</v>
      </c>
      <c r="C380" s="11" t="s">
        <v>1512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713</v>
      </c>
      <c r="C381" s="11" t="s">
        <v>1513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1514</v>
      </c>
      <c r="C382" s="11" t="s">
        <v>1515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1516</v>
      </c>
      <c r="C383" s="11" t="s">
        <v>1517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1518</v>
      </c>
      <c r="C384" s="11" t="s">
        <v>1519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1520</v>
      </c>
      <c r="C385" s="11" t="s">
        <v>1521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1522</v>
      </c>
      <c r="C386" s="11" t="s">
        <v>1523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1524</v>
      </c>
      <c r="C387" s="11" t="s">
        <v>1525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1526</v>
      </c>
      <c r="C388" s="11" t="s">
        <v>1527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1528</v>
      </c>
      <c r="C389" s="11" t="s">
        <v>1529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740</v>
      </c>
      <c r="C390" s="11" t="s">
        <v>1530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4430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1531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4453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1532</v>
      </c>
      <c r="C392" s="11" t="s">
        <v>1533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4430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703</v>
      </c>
      <c r="C393" s="11" t="s">
        <v>1534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1535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4453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1536</v>
      </c>
      <c r="C395" s="11" t="s">
        <v>1537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1538</v>
      </c>
      <c r="C396" s="11" t="s">
        <v>1539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1540</v>
      </c>
      <c r="C397" s="11" t="s">
        <v>1541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4452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1542</v>
      </c>
      <c r="C398" s="11" t="s">
        <v>1543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1544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4455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1545</v>
      </c>
      <c r="C400" s="11" t="s">
        <v>1546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1547</v>
      </c>
      <c r="C401" s="11" t="s">
        <v>1548</v>
      </c>
      <c r="D401" s="11" t="s">
        <v>26</v>
      </c>
      <c r="E401" s="11" t="s">
        <v>1207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1549</v>
      </c>
      <c r="C402" s="11" t="s">
        <v>1550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4455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1551</v>
      </c>
      <c r="C403" s="11" t="s">
        <v>1552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1553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1554</v>
      </c>
      <c r="C405" s="11" t="s">
        <v>1555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4430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1556</v>
      </c>
      <c r="C406" s="11" t="s">
        <v>1557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749</v>
      </c>
      <c r="C407" s="11" t="s">
        <v>1558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4455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1559</v>
      </c>
      <c r="C408" s="11" t="s">
        <v>1560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1561</v>
      </c>
      <c r="C409" s="11" t="s">
        <v>1562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1563</v>
      </c>
      <c r="C410" s="11" t="s">
        <v>1564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1565</v>
      </c>
      <c r="C411" s="11" t="s">
        <v>1566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1567</v>
      </c>
      <c r="C412" s="11" t="s">
        <v>1568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1569</v>
      </c>
      <c r="C413" s="11" t="s">
        <v>1570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4453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1571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4455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1572</v>
      </c>
      <c r="C415" s="11" t="s">
        <v>1573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1574</v>
      </c>
      <c r="C416" s="11" t="s">
        <v>1575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1576</v>
      </c>
      <c r="D417" s="11" t="s">
        <v>26</v>
      </c>
      <c r="E417" s="11" t="s">
        <v>1207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1577</v>
      </c>
      <c r="C418" s="11" t="s">
        <v>1578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4430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1579</v>
      </c>
      <c r="C419" s="11" t="s">
        <v>1580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4430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1581</v>
      </c>
      <c r="C420" s="11" t="s">
        <v>1582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1583</v>
      </c>
      <c r="C421" s="11" t="s">
        <v>1584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1585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1586</v>
      </c>
      <c r="C423" s="11" t="s">
        <v>1587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1205</v>
      </c>
      <c r="C424" s="11" t="s">
        <v>1588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1589</v>
      </c>
      <c r="C425" s="11" t="s">
        <v>1590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1591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4430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1592</v>
      </c>
      <c r="C427" s="11" t="s">
        <v>1593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1594</v>
      </c>
      <c r="C428" s="11" t="s">
        <v>1595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1596</v>
      </c>
      <c r="C429" s="11" t="s">
        <v>1597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1598</v>
      </c>
      <c r="C430" s="11" t="s">
        <v>1599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4455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1600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1601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1602</v>
      </c>
      <c r="C433" s="11" t="s">
        <v>1603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4453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1604</v>
      </c>
      <c r="C434" s="11" t="s">
        <v>1605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4430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1606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1607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4453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1608</v>
      </c>
      <c r="C437" s="11" t="s">
        <v>1609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1610</v>
      </c>
      <c r="C438" s="11" t="s">
        <v>1611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1612</v>
      </c>
      <c r="C439" s="11" t="s">
        <v>1613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1614</v>
      </c>
      <c r="C440" s="11" t="s">
        <v>1615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1616</v>
      </c>
      <c r="C441" s="11" t="s">
        <v>1617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1618</v>
      </c>
      <c r="C442" s="11" t="s">
        <v>1619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1620</v>
      </c>
      <c r="C443" s="11" t="s">
        <v>1621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1622</v>
      </c>
      <c r="C444" s="11" t="s">
        <v>1623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1624</v>
      </c>
      <c r="C445" s="11" t="s">
        <v>1625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1626</v>
      </c>
      <c r="C446" s="11" t="s">
        <v>1627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1628</v>
      </c>
      <c r="C447" s="11" t="s">
        <v>1629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6335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1630</v>
      </c>
      <c r="C448" s="11" t="s">
        <v>1631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1632</v>
      </c>
      <c r="C449" s="11" t="s">
        <v>1633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1634</v>
      </c>
      <c r="C450" s="11" t="s">
        <v>1635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1636</v>
      </c>
      <c r="C451" s="11" t="s">
        <v>1637</v>
      </c>
      <c r="D451" s="11" t="s">
        <v>26</v>
      </c>
      <c r="E451" s="11" t="s">
        <v>1207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1638</v>
      </c>
      <c r="C452" s="11" t="s">
        <v>1639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4455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1640</v>
      </c>
      <c r="C453" s="11" t="s">
        <v>1641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4430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1642</v>
      </c>
      <c r="C454" s="11" t="s">
        <v>1643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4430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1644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1645</v>
      </c>
      <c r="C456" s="11" t="s">
        <v>1646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1647</v>
      </c>
      <c r="C457" s="11" t="s">
        <v>1648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1649</v>
      </c>
      <c r="C458" s="11" t="s">
        <v>1650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4451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1651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1652</v>
      </c>
      <c r="C460" s="11" t="s">
        <v>1653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1654</v>
      </c>
      <c r="C461" s="11" t="s">
        <v>1655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4430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1656</v>
      </c>
      <c r="C462" s="11" t="s">
        <v>1657</v>
      </c>
      <c r="D462" s="11" t="s">
        <v>26</v>
      </c>
      <c r="E462" s="11" t="s">
        <v>1658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732</v>
      </c>
      <c r="C463" s="11" t="s">
        <v>1659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4451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1660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1661</v>
      </c>
      <c r="C465" s="11" t="s">
        <v>1662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1663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4451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1664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4455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1665</v>
      </c>
      <c r="C468" s="11" t="s">
        <v>1666</v>
      </c>
      <c r="D468" s="11" t="s">
        <v>26</v>
      </c>
      <c r="E468" s="11" t="s">
        <v>1667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720</v>
      </c>
      <c r="C469" s="11" t="s">
        <v>1668</v>
      </c>
      <c r="D469" s="11" t="s">
        <v>26</v>
      </c>
      <c r="E469" s="11" t="s">
        <v>1207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1669</v>
      </c>
      <c r="C470" s="11" t="s">
        <v>1670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1671</v>
      </c>
      <c r="C471" s="11" t="s">
        <v>1672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1673</v>
      </c>
      <c r="C472" s="11" t="s">
        <v>1674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1675</v>
      </c>
      <c r="C473" s="11" t="s">
        <v>1676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4451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1677</v>
      </c>
      <c r="C474" s="11" t="s">
        <v>1678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1679</v>
      </c>
      <c r="C475" s="11" t="s">
        <v>1680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1681</v>
      </c>
      <c r="C476" s="11" t="s">
        <v>1682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1683</v>
      </c>
      <c r="C477" s="11" t="s">
        <v>1684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6335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667</v>
      </c>
      <c r="C478" s="11" t="s">
        <v>1685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4451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1686</v>
      </c>
      <c r="C479" s="11" t="s">
        <v>1687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1688</v>
      </c>
      <c r="C480" s="11" t="s">
        <v>1689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1690</v>
      </c>
      <c r="C481" s="11" t="s">
        <v>1691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1692</v>
      </c>
      <c r="C482" s="11" t="s">
        <v>1693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4453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1694</v>
      </c>
      <c r="C483" s="11" t="s">
        <v>1695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1696</v>
      </c>
      <c r="D484" s="11" t="s">
        <v>26</v>
      </c>
      <c r="E484" s="11" t="s">
        <v>1207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1697</v>
      </c>
      <c r="C485" s="11" t="s">
        <v>1698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1699</v>
      </c>
      <c r="C486" s="11" t="s">
        <v>1700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1701</v>
      </c>
      <c r="C487" s="11" t="s">
        <v>1702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1703</v>
      </c>
      <c r="C488" s="11" t="s">
        <v>1704</v>
      </c>
      <c r="D488" s="11" t="s">
        <v>26</v>
      </c>
      <c r="E488" s="11" t="s">
        <v>1658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1705</v>
      </c>
      <c r="C489" s="11" t="s">
        <v>1706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1707</v>
      </c>
      <c r="C490" s="11" t="s">
        <v>1708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1709</v>
      </c>
      <c r="C491" s="11" t="s">
        <v>1710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4455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1143</v>
      </c>
      <c r="C492" s="11" t="s">
        <v>1711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1712</v>
      </c>
      <c r="C493" s="11" t="s">
        <v>1713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4455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1714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4453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1715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1716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1717</v>
      </c>
      <c r="C497" s="11" t="s">
        <v>1718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4430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6335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1720</v>
      </c>
      <c r="C499" s="11" t="s">
        <v>1721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4430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1722</v>
      </c>
      <c r="C500" s="11" t="s">
        <v>1723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699</v>
      </c>
      <c r="C501" s="11" t="s">
        <v>1724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4451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1725</v>
      </c>
      <c r="C502" s="11" t="s">
        <v>1726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4453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1727</v>
      </c>
      <c r="C503" s="11" t="s">
        <v>1728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1729</v>
      </c>
      <c r="C504" s="11" t="s">
        <v>1730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676</v>
      </c>
      <c r="C505" s="11" t="s">
        <v>1731</v>
      </c>
      <c r="D505" s="11" t="s">
        <v>26</v>
      </c>
      <c r="E505" s="11" t="s">
        <v>1732</v>
      </c>
      <c r="F505" s="11" t="s">
        <v>26</v>
      </c>
      <c r="G505" s="11">
        <v>3279</v>
      </c>
      <c r="H505" s="12" t="s">
        <v>4455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1733</v>
      </c>
      <c r="C506" s="11" t="s">
        <v>1734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1735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1736</v>
      </c>
      <c r="C508" s="11" t="s">
        <v>1737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1738</v>
      </c>
      <c r="C509" s="11" t="s">
        <v>1739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1740</v>
      </c>
      <c r="C510" s="11" t="s">
        <v>1741</v>
      </c>
      <c r="D510" s="11" t="s">
        <v>26</v>
      </c>
      <c r="E510" s="11" t="s">
        <v>1207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1456</v>
      </c>
      <c r="C511" s="11" t="s">
        <v>1742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1743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1744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1514</v>
      </c>
      <c r="C514" s="11" t="s">
        <v>1745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4451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1746</v>
      </c>
      <c r="C515" s="11" t="s">
        <v>1747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1748</v>
      </c>
      <c r="C516" s="11" t="s">
        <v>1749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1750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1751</v>
      </c>
      <c r="C518" s="11" t="s">
        <v>1752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1753</v>
      </c>
      <c r="C519" s="11" t="s">
        <v>1754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4455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1755</v>
      </c>
      <c r="C520" s="11" t="s">
        <v>1756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1757</v>
      </c>
      <c r="C521" s="11" t="s">
        <v>1758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1759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1760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4430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1761</v>
      </c>
      <c r="C524" s="11" t="s">
        <v>1762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4453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1763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1764</v>
      </c>
      <c r="C526" s="11" t="s">
        <v>1765</v>
      </c>
      <c r="D526" s="11" t="s">
        <v>26</v>
      </c>
      <c r="E526" s="11" t="s">
        <v>1207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1766</v>
      </c>
      <c r="C527" s="11" t="s">
        <v>1767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1768</v>
      </c>
      <c r="C528" s="11" t="s">
        <v>1769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1770</v>
      </c>
      <c r="C529" s="11" t="s">
        <v>1771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4430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1173</v>
      </c>
      <c r="C530" s="11" t="s">
        <v>1772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1773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6335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1774</v>
      </c>
      <c r="C532" s="11" t="s">
        <v>1775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750</v>
      </c>
      <c r="C533" s="11" t="s">
        <v>1776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1777</v>
      </c>
      <c r="C534" s="11" t="s">
        <v>1778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1779</v>
      </c>
      <c r="C535" s="11" t="s">
        <v>1780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1781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1782</v>
      </c>
      <c r="C537" s="11" t="s">
        <v>1783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753</v>
      </c>
      <c r="C538" s="11" t="s">
        <v>1784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4430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1785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1786</v>
      </c>
      <c r="C540" s="11" t="s">
        <v>1787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4455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1788</v>
      </c>
      <c r="D541" s="11" t="s">
        <v>26</v>
      </c>
      <c r="E541" s="11" t="s">
        <v>1667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715</v>
      </c>
      <c r="C542" s="11" t="s">
        <v>1789</v>
      </c>
      <c r="D542" s="11" t="s">
        <v>26</v>
      </c>
      <c r="E542" s="11" t="s">
        <v>1658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1790</v>
      </c>
      <c r="C543" s="11" t="s">
        <v>1791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1792</v>
      </c>
      <c r="C544" s="11" t="s">
        <v>1793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1794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1795</v>
      </c>
      <c r="C546" s="11" t="s">
        <v>1796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1797</v>
      </c>
      <c r="C547" s="11" t="s">
        <v>1798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4453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1799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1800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4430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1801</v>
      </c>
      <c r="C550" s="11" t="s">
        <v>1802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1803</v>
      </c>
      <c r="C551" s="11" t="s">
        <v>1804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1805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4430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1806</v>
      </c>
      <c r="C553" s="11" t="s">
        <v>1807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1808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1809</v>
      </c>
      <c r="C555" s="11" t="s">
        <v>1810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1811</v>
      </c>
      <c r="C556" s="11" t="s">
        <v>1812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1813</v>
      </c>
      <c r="C557" s="11" t="s">
        <v>1814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4430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1815</v>
      </c>
      <c r="C558" s="11" t="s">
        <v>1816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4430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1817</v>
      </c>
      <c r="C559" s="11" t="s">
        <v>1818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723</v>
      </c>
      <c r="C560" s="11" t="s">
        <v>1819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4430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1820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1821</v>
      </c>
      <c r="C562" s="11" t="s">
        <v>1822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1823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1824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1825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1826</v>
      </c>
      <c r="C566" s="11" t="s">
        <v>1827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4430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709</v>
      </c>
      <c r="C567" s="11" t="s">
        <v>1828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1829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4455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1830</v>
      </c>
      <c r="C569" s="11" t="s">
        <v>1831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1062</v>
      </c>
      <c r="C570" s="11" t="s">
        <v>1832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4430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1833</v>
      </c>
      <c r="C571" s="11" t="s">
        <v>1834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1835</v>
      </c>
      <c r="C572" s="11" t="s">
        <v>1836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1837</v>
      </c>
      <c r="C573" s="11" t="s">
        <v>1838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4430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1839</v>
      </c>
      <c r="C574" s="11" t="s">
        <v>1840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1841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6335</v>
      </c>
      <c r="AA575" s="12" t="s">
        <v>78</v>
      </c>
    </row>
    <row r="576" spans="1:27" x14ac:dyDescent="0.25">
      <c r="A576" s="10">
        <v>45667</v>
      </c>
      <c r="B576" s="11" t="s">
        <v>1842</v>
      </c>
      <c r="C576" s="11" t="s">
        <v>1843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1844</v>
      </c>
      <c r="C577" s="11" t="s">
        <v>1845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1846</v>
      </c>
      <c r="C578" s="11" t="s">
        <v>1847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1848</v>
      </c>
      <c r="C579" s="11" t="s">
        <v>1849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1850</v>
      </c>
      <c r="C580" s="11" t="s">
        <v>1851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1852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4451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1853</v>
      </c>
      <c r="C582" s="11" t="s">
        <v>1854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1855</v>
      </c>
      <c r="C583" s="11" t="s">
        <v>1856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1857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1136</v>
      </c>
      <c r="C585" s="11" t="s">
        <v>1858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4430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1859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1860</v>
      </c>
      <c r="C587" s="11" t="s">
        <v>1861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4451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1862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1863</v>
      </c>
      <c r="C589" s="11" t="s">
        <v>1864</v>
      </c>
      <c r="D589" s="11" t="s">
        <v>26</v>
      </c>
      <c r="E589" s="11" t="s">
        <v>1207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1865</v>
      </c>
      <c r="C590" s="11" t="s">
        <v>1866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4430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1867</v>
      </c>
      <c r="C591" s="11" t="s">
        <v>1868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1869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4451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1870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4453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1871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4455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1872</v>
      </c>
      <c r="C595" s="11" t="s">
        <v>1873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1874</v>
      </c>
      <c r="C596" s="11" t="s">
        <v>1875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1876</v>
      </c>
      <c r="C597" s="11" t="s">
        <v>1877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4451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1878</v>
      </c>
      <c r="C598" s="11" t="s">
        <v>1879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4430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1880</v>
      </c>
      <c r="C599" s="11" t="s">
        <v>1881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1882</v>
      </c>
      <c r="C600" s="11" t="s">
        <v>1883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1884</v>
      </c>
      <c r="C601" s="11" t="s">
        <v>1885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1886</v>
      </c>
      <c r="C602" s="11" t="s">
        <v>1887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6335</v>
      </c>
      <c r="AA602" s="12" t="s">
        <v>78</v>
      </c>
    </row>
    <row r="603" spans="1:27" x14ac:dyDescent="0.25">
      <c r="A603" s="10">
        <v>45667</v>
      </c>
      <c r="B603" s="11" t="s">
        <v>1888</v>
      </c>
      <c r="C603" s="11" t="s">
        <v>1889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1890</v>
      </c>
      <c r="C604" s="11" t="s">
        <v>1891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1892</v>
      </c>
      <c r="C605" s="11" t="s">
        <v>1893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4451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1894</v>
      </c>
      <c r="C606" s="11" t="s">
        <v>1895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4455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1896</v>
      </c>
      <c r="C607" s="11" t="s">
        <v>1897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1898</v>
      </c>
      <c r="C608" s="11" t="s">
        <v>1899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4455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1900</v>
      </c>
      <c r="C609" s="11" t="s">
        <v>1901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707</v>
      </c>
      <c r="C610" s="11" t="s">
        <v>1902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1903</v>
      </c>
      <c r="C611" s="11" t="s">
        <v>1904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1905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4430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1377</v>
      </c>
      <c r="C613" s="11" t="s">
        <v>1906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4451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1907</v>
      </c>
      <c r="C614" s="11" t="s">
        <v>1908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1909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1910</v>
      </c>
      <c r="D616" s="11" t="s">
        <v>26</v>
      </c>
      <c r="E616" s="11" t="s">
        <v>1207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1911</v>
      </c>
      <c r="C617" s="11" t="s">
        <v>1912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1913</v>
      </c>
      <c r="C618" s="11" t="s">
        <v>1914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4430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1915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1916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749</v>
      </c>
      <c r="C620" s="11" t="s">
        <v>1917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4451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1918</v>
      </c>
      <c r="C621" s="11" t="s">
        <v>1919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1920</v>
      </c>
      <c r="C622" s="11" t="s">
        <v>1921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1922</v>
      </c>
      <c r="C623" s="11" t="s">
        <v>1923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1924</v>
      </c>
      <c r="C624" s="11" t="s">
        <v>1925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1926</v>
      </c>
      <c r="C625" s="11" t="s">
        <v>1927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4451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1928</v>
      </c>
      <c r="C626" s="11" t="s">
        <v>1929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1930</v>
      </c>
      <c r="C627" s="11" t="s">
        <v>1931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1932</v>
      </c>
      <c r="C628" s="11" t="s">
        <v>1933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1681</v>
      </c>
      <c r="C629" s="11" t="s">
        <v>1934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4430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1935</v>
      </c>
      <c r="C630" s="11" t="s">
        <v>1936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1937</v>
      </c>
      <c r="C631" s="11" t="s">
        <v>1938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4430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1939</v>
      </c>
      <c r="C632" s="11" t="s">
        <v>1940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1941</v>
      </c>
      <c r="C633" s="11" t="s">
        <v>1942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4430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1943</v>
      </c>
      <c r="C634" s="11" t="s">
        <v>1944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1945</v>
      </c>
      <c r="C635" s="11" t="s">
        <v>1946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6335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1947</v>
      </c>
      <c r="C636" s="11" t="s">
        <v>1948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4430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1949</v>
      </c>
      <c r="C637" s="11" t="s">
        <v>1950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1951</v>
      </c>
      <c r="C638" s="11" t="s">
        <v>1952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1953</v>
      </c>
      <c r="C639" s="11" t="s">
        <v>1954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1955</v>
      </c>
      <c r="C640" s="11" t="s">
        <v>1956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1957</v>
      </c>
      <c r="C641" s="11" t="s">
        <v>1958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1959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1960</v>
      </c>
      <c r="C643" s="11" t="s">
        <v>1961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1962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1963</v>
      </c>
      <c r="C645" s="11" t="s">
        <v>1964</v>
      </c>
      <c r="D645" s="11" t="s">
        <v>26</v>
      </c>
      <c r="E645" s="11" t="s">
        <v>1207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1965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4455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1966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4430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1967</v>
      </c>
      <c r="C648" s="11" t="s">
        <v>1968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4430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677</v>
      </c>
      <c r="C649" s="11" t="s">
        <v>1969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4430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1970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1971</v>
      </c>
      <c r="C651" s="11" t="s">
        <v>1972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1973</v>
      </c>
      <c r="C652" s="11" t="s">
        <v>1974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1975</v>
      </c>
      <c r="C653" s="11" t="s">
        <v>1976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1977</v>
      </c>
      <c r="C654" s="11" t="s">
        <v>1978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1979</v>
      </c>
      <c r="C655" s="11" t="s">
        <v>1980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1981</v>
      </c>
      <c r="C656" s="11" t="s">
        <v>1982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1983</v>
      </c>
      <c r="C657" s="11" t="s">
        <v>1984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1154</v>
      </c>
      <c r="C658" s="11" t="s">
        <v>1985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1986</v>
      </c>
      <c r="C659" s="11" t="s">
        <v>1987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1988</v>
      </c>
      <c r="C660" s="11" t="s">
        <v>1989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1990</v>
      </c>
      <c r="C661" s="11" t="s">
        <v>1991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1992</v>
      </c>
      <c r="C662" s="11" t="s">
        <v>1993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1994</v>
      </c>
      <c r="C663" s="11" t="s">
        <v>1995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1996</v>
      </c>
      <c r="C664" s="11" t="s">
        <v>1997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1998</v>
      </c>
      <c r="C665" s="11" t="s">
        <v>1999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2000</v>
      </c>
      <c r="C666" s="11" t="s">
        <v>2001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2002</v>
      </c>
      <c r="C667" s="11" t="s">
        <v>2003</v>
      </c>
      <c r="D667" s="11" t="s">
        <v>26</v>
      </c>
      <c r="E667" s="11" t="s">
        <v>1207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2004</v>
      </c>
      <c r="C668" s="11" t="s">
        <v>2005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2006</v>
      </c>
      <c r="C669" s="11" t="s">
        <v>2007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2008</v>
      </c>
      <c r="C670" s="11" t="s">
        <v>2009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4430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2010</v>
      </c>
      <c r="C671" s="11" t="s">
        <v>2011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2012</v>
      </c>
      <c r="C672" s="11" t="s">
        <v>2013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2014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4455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2015</v>
      </c>
      <c r="C674" s="11" t="s">
        <v>2016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4430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2017</v>
      </c>
      <c r="C675" s="11" t="s">
        <v>2018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2019</v>
      </c>
      <c r="C676" s="11" t="s">
        <v>2020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723</v>
      </c>
      <c r="C677" s="11" t="s">
        <v>2021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2022</v>
      </c>
      <c r="C678" s="11" t="s">
        <v>2023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2024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2025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2026</v>
      </c>
      <c r="C681" s="11" t="s">
        <v>2027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2028</v>
      </c>
      <c r="C682" s="11" t="s">
        <v>2029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2030</v>
      </c>
      <c r="C683" s="11" t="s">
        <v>2031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4430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2032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4455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2033</v>
      </c>
      <c r="C685" s="11" t="s">
        <v>2034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4430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738</v>
      </c>
      <c r="C686" s="11" t="s">
        <v>2035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4455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2036</v>
      </c>
      <c r="C687" s="11" t="s">
        <v>2037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4430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2038</v>
      </c>
      <c r="C688" s="11" t="s">
        <v>2039</v>
      </c>
      <c r="D688" s="11" t="s">
        <v>26</v>
      </c>
      <c r="E688" s="11" t="s">
        <v>2040</v>
      </c>
      <c r="F688" s="11" t="s">
        <v>26</v>
      </c>
      <c r="G688" s="11">
        <v>137</v>
      </c>
      <c r="H688" s="12" t="s">
        <v>6335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2041</v>
      </c>
      <c r="C689" s="11" t="s">
        <v>2042</v>
      </c>
      <c r="D689" s="11" t="s">
        <v>26</v>
      </c>
      <c r="E689" s="11" t="s">
        <v>2043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2044</v>
      </c>
      <c r="C690" s="11" t="s">
        <v>2045</v>
      </c>
      <c r="D690" s="11" t="s">
        <v>26</v>
      </c>
      <c r="E690" s="11" t="s">
        <v>2046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2047</v>
      </c>
      <c r="C691" s="11" t="s">
        <v>2048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2049</v>
      </c>
      <c r="C692" s="11" t="s">
        <v>2050</v>
      </c>
      <c r="D692" s="11" t="s">
        <v>26</v>
      </c>
      <c r="E692" s="11" t="s">
        <v>2051</v>
      </c>
      <c r="F692" s="11" t="s">
        <v>26</v>
      </c>
      <c r="G692" s="11">
        <v>73970</v>
      </c>
      <c r="H692" s="12" t="s">
        <v>4455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2052</v>
      </c>
      <c r="C693" s="11" t="s">
        <v>2053</v>
      </c>
      <c r="D693" s="11" t="s">
        <v>26</v>
      </c>
      <c r="E693" s="11" t="s">
        <v>2054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2055</v>
      </c>
      <c r="C694" s="11" t="s">
        <v>2056</v>
      </c>
      <c r="D694" s="11" t="s">
        <v>26</v>
      </c>
      <c r="E694" s="11" t="s">
        <v>2057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2058</v>
      </c>
      <c r="C695" s="11" t="s">
        <v>2059</v>
      </c>
      <c r="D695" s="11" t="s">
        <v>26</v>
      </c>
      <c r="E695" s="11" t="s">
        <v>2060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2061</v>
      </c>
      <c r="C696" s="11" t="s">
        <v>2062</v>
      </c>
      <c r="D696" s="11" t="s">
        <v>26</v>
      </c>
      <c r="E696" s="11" t="s">
        <v>2063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2064</v>
      </c>
      <c r="C697" s="11" t="s">
        <v>2065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2066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2067</v>
      </c>
      <c r="C699" s="11" t="s">
        <v>2068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2069</v>
      </c>
      <c r="C700" s="11" t="s">
        <v>2070</v>
      </c>
      <c r="D700" s="11" t="s">
        <v>26</v>
      </c>
      <c r="E700" s="11" t="s">
        <v>2071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1355</v>
      </c>
      <c r="C701" s="11" t="s">
        <v>2072</v>
      </c>
      <c r="D701" s="11" t="s">
        <v>26</v>
      </c>
      <c r="E701" s="11" t="s">
        <v>2073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2074</v>
      </c>
      <c r="C702" s="11" t="s">
        <v>2075</v>
      </c>
      <c r="D702" s="11" t="s">
        <v>26</v>
      </c>
      <c r="E702" s="11" t="s">
        <v>2076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2077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4430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2078</v>
      </c>
      <c r="C704" s="11" t="s">
        <v>2079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4455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2080</v>
      </c>
      <c r="C705" s="11" t="s">
        <v>2081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6335</v>
      </c>
      <c r="AA705" s="12" t="s">
        <v>78</v>
      </c>
    </row>
    <row r="706" spans="1:27" x14ac:dyDescent="0.25">
      <c r="A706" s="10">
        <v>45670</v>
      </c>
      <c r="B706" s="11" t="s">
        <v>2082</v>
      </c>
      <c r="C706" s="11" t="s">
        <v>2083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4430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2084</v>
      </c>
      <c r="C707" s="11" t="s">
        <v>2085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4455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2086</v>
      </c>
      <c r="C708" s="11" t="s">
        <v>2087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2088</v>
      </c>
      <c r="C709" s="11" t="s">
        <v>2089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2090</v>
      </c>
      <c r="C710" s="11" t="s">
        <v>2091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2092</v>
      </c>
      <c r="C711" s="11" t="s">
        <v>2093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2094</v>
      </c>
      <c r="C712" s="11" t="s">
        <v>2095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2096</v>
      </c>
      <c r="C713" s="11" t="s">
        <v>2097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2098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2099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2100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2101</v>
      </c>
      <c r="C717" s="11" t="s">
        <v>2102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2103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2104</v>
      </c>
      <c r="C719" s="11" t="s">
        <v>2105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2106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4430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2107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2108</v>
      </c>
      <c r="C722" s="11" t="s">
        <v>2109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4430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2110</v>
      </c>
      <c r="C723" s="11" t="s">
        <v>2111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2112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2113</v>
      </c>
      <c r="C725" s="11" t="s">
        <v>2114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2115</v>
      </c>
      <c r="D726" s="11" t="s">
        <v>26</v>
      </c>
      <c r="E726" s="11" t="s">
        <v>2116</v>
      </c>
      <c r="F726" s="11" t="s">
        <v>26</v>
      </c>
      <c r="G726" s="11" t="s">
        <v>26</v>
      </c>
      <c r="H726" s="12" t="s">
        <v>4429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2117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1916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2118</v>
      </c>
      <c r="C728" s="11" t="s">
        <v>2119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2120</v>
      </c>
      <c r="C729" s="11" t="s">
        <v>2121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2122</v>
      </c>
      <c r="C730" s="11" t="s">
        <v>2123</v>
      </c>
      <c r="D730" s="11" t="s">
        <v>26</v>
      </c>
      <c r="E730" s="11" t="s">
        <v>1207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2124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2125</v>
      </c>
      <c r="C732" s="11" t="s">
        <v>2126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2127</v>
      </c>
      <c r="C733" s="11" t="s">
        <v>2128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2129</v>
      </c>
      <c r="C734" s="11" t="s">
        <v>2130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4453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2131</v>
      </c>
      <c r="C735" s="11" t="s">
        <v>2132</v>
      </c>
      <c r="D735" s="11" t="s">
        <v>26</v>
      </c>
      <c r="E735" s="11" t="s">
        <v>2133</v>
      </c>
      <c r="F735" s="11" t="s">
        <v>26</v>
      </c>
      <c r="G735" s="11">
        <v>111986</v>
      </c>
      <c r="H735" s="12" t="s">
        <v>4453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2134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6335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2135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2136</v>
      </c>
      <c r="C738" s="11" t="s">
        <v>2137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2138</v>
      </c>
      <c r="C739" s="11" t="s">
        <v>2139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2140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2141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4455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2142</v>
      </c>
      <c r="C742" s="11" t="s">
        <v>2143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4430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2144</v>
      </c>
      <c r="C743" s="11" t="s">
        <v>2145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2146</v>
      </c>
      <c r="C744" s="11" t="s">
        <v>2147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2148</v>
      </c>
      <c r="C745" s="11" t="s">
        <v>2149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6335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2150</v>
      </c>
      <c r="C746" s="11" t="s">
        <v>2151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4430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2152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2153</v>
      </c>
      <c r="C748" s="11" t="s">
        <v>2154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2155</v>
      </c>
      <c r="D749" s="11" t="s">
        <v>26</v>
      </c>
      <c r="E749" s="11" t="s">
        <v>2116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2156</v>
      </c>
      <c r="C750" s="11" t="s">
        <v>2157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2158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2159</v>
      </c>
      <c r="C752" s="11" t="s">
        <v>2160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2161</v>
      </c>
      <c r="C753" s="11" t="s">
        <v>2162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2163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2164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2165</v>
      </c>
      <c r="C756" s="11" t="s">
        <v>2166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2167</v>
      </c>
      <c r="C757" s="11" t="s">
        <v>2168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2169</v>
      </c>
      <c r="C758" s="11" t="s">
        <v>2170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2171</v>
      </c>
      <c r="C759" s="11" t="s">
        <v>2172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2173</v>
      </c>
      <c r="C760" s="11" t="s">
        <v>2174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4430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2175</v>
      </c>
      <c r="C761" s="11" t="s">
        <v>2176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6335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2177</v>
      </c>
      <c r="C762" s="11" t="s">
        <v>2178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2179</v>
      </c>
      <c r="C763" s="11" t="s">
        <v>2180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2181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2182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2183</v>
      </c>
      <c r="C766" s="11" t="s">
        <v>2184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4430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2185</v>
      </c>
      <c r="C767" s="11" t="s">
        <v>2186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2187</v>
      </c>
      <c r="C768" s="11" t="s">
        <v>2188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4455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2189</v>
      </c>
      <c r="C769" s="11" t="s">
        <v>2190</v>
      </c>
      <c r="D769" s="11" t="s">
        <v>26</v>
      </c>
      <c r="E769" s="11" t="s">
        <v>2191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2192</v>
      </c>
      <c r="C770" s="11" t="s">
        <v>2193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4453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2194</v>
      </c>
      <c r="C771" s="11" t="s">
        <v>2195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2196</v>
      </c>
      <c r="C772" s="11" t="s">
        <v>2197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2198</v>
      </c>
      <c r="C773" s="11" t="s">
        <v>2199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4454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2200</v>
      </c>
      <c r="C774" s="11" t="s">
        <v>2201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2202</v>
      </c>
      <c r="C775" s="11" t="s">
        <v>2203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2204</v>
      </c>
      <c r="C776" s="11" t="s">
        <v>2205</v>
      </c>
      <c r="D776" s="11" t="s">
        <v>26</v>
      </c>
      <c r="E776" s="11" t="s">
        <v>2116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2206</v>
      </c>
      <c r="C777" s="11" t="s">
        <v>2207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4455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2208</v>
      </c>
      <c r="C778" s="11" t="s">
        <v>2209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2210</v>
      </c>
      <c r="C779" s="11" t="s">
        <v>2211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4430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2212</v>
      </c>
      <c r="C780" s="11" t="s">
        <v>2213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2214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2215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2216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2217</v>
      </c>
      <c r="C784" s="11" t="s">
        <v>2218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2219</v>
      </c>
      <c r="D785" s="11" t="s">
        <v>26</v>
      </c>
      <c r="E785" s="11" t="s">
        <v>1207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2220</v>
      </c>
      <c r="C786" s="11" t="s">
        <v>2221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2222</v>
      </c>
      <c r="C787" s="11" t="s">
        <v>2223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2224</v>
      </c>
      <c r="C788" s="11" t="s">
        <v>2225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4430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2226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2227</v>
      </c>
      <c r="C790" s="11" t="s">
        <v>2228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2229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2230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2231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4455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2232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4455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2233</v>
      </c>
      <c r="C795" s="11" t="s">
        <v>2234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6335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2235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4430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2236</v>
      </c>
      <c r="C797" s="11" t="s">
        <v>2237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2238</v>
      </c>
      <c r="C798" s="11" t="s">
        <v>2239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2240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2241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2242</v>
      </c>
      <c r="C801" s="11" t="s">
        <v>2243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2244</v>
      </c>
      <c r="C802" s="11" t="s">
        <v>2245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2246</v>
      </c>
      <c r="C803" s="11" t="s">
        <v>2247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2248</v>
      </c>
      <c r="C804" s="11" t="s">
        <v>2249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4430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1173</v>
      </c>
      <c r="C805" s="11" t="s">
        <v>2250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2251</v>
      </c>
      <c r="C806" s="11" t="s">
        <v>2252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2253</v>
      </c>
      <c r="C807" s="11" t="s">
        <v>2254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4430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2255</v>
      </c>
      <c r="C808" s="11" t="s">
        <v>2256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2257</v>
      </c>
      <c r="C809" s="11" t="s">
        <v>2258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2049</v>
      </c>
      <c r="C810" s="11" t="s">
        <v>2259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704</v>
      </c>
      <c r="C811" s="11" t="s">
        <v>2260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2261</v>
      </c>
      <c r="C812" s="11" t="s">
        <v>2262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4430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2263</v>
      </c>
      <c r="C813" s="11" t="s">
        <v>2264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1201</v>
      </c>
      <c r="C814" s="11" t="s">
        <v>2265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2266</v>
      </c>
      <c r="C815" s="11" t="s">
        <v>2267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2268</v>
      </c>
      <c r="C816" s="11" t="s">
        <v>2269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2270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4455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2271</v>
      </c>
      <c r="C818" s="11" t="s">
        <v>2272</v>
      </c>
      <c r="D818" s="11" t="s">
        <v>26</v>
      </c>
      <c r="E818" s="11" t="s">
        <v>2116</v>
      </c>
      <c r="F818" s="11" t="s">
        <v>26</v>
      </c>
      <c r="G818" s="11" t="s">
        <v>26</v>
      </c>
      <c r="H818" s="12" t="s">
        <v>4429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2273</v>
      </c>
      <c r="C819" s="11" t="s">
        <v>2274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2275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4453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2276</v>
      </c>
      <c r="C821" s="11" t="s">
        <v>2277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1127</v>
      </c>
      <c r="C822" s="11" t="s">
        <v>2278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2279</v>
      </c>
      <c r="C823" s="11" t="s">
        <v>2280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4430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2281</v>
      </c>
      <c r="C824" s="11" t="s">
        <v>2282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2283</v>
      </c>
      <c r="C825" s="11" t="s">
        <v>2284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2285</v>
      </c>
      <c r="C826" s="11" t="s">
        <v>2286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2287</v>
      </c>
      <c r="C827" s="11" t="s">
        <v>2288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2289</v>
      </c>
      <c r="C828" s="11" t="s">
        <v>2290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2291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2292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6335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2293</v>
      </c>
      <c r="C831" s="11" t="s">
        <v>2294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2295</v>
      </c>
      <c r="C832" s="11" t="s">
        <v>2296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2297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2298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4455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2299</v>
      </c>
      <c r="C835" s="11" t="s">
        <v>2300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2012</v>
      </c>
      <c r="C836" s="11" t="s">
        <v>2301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2302</v>
      </c>
      <c r="C837" s="11" t="s">
        <v>2303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2304</v>
      </c>
      <c r="C838" s="11" t="s">
        <v>2305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2306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4455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2307</v>
      </c>
      <c r="C840" s="11" t="s">
        <v>2308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2309</v>
      </c>
      <c r="C841" s="11" t="s">
        <v>2310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2311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2312</v>
      </c>
      <c r="C843" s="11" t="s">
        <v>2313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4430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2314</v>
      </c>
      <c r="C844" s="11" t="s">
        <v>2315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4430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2316</v>
      </c>
      <c r="C845" s="11" t="s">
        <v>2317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2318</v>
      </c>
      <c r="C846" s="11" t="s">
        <v>2319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2320</v>
      </c>
      <c r="C847" s="11" t="s">
        <v>2321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2322</v>
      </c>
      <c r="C848" s="11" t="s">
        <v>2323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2324</v>
      </c>
      <c r="C849" s="11" t="s">
        <v>2325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2326</v>
      </c>
      <c r="C850" s="11" t="s">
        <v>2327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2328</v>
      </c>
      <c r="C851" s="11" t="s">
        <v>2329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2330</v>
      </c>
      <c r="C852" s="11" t="s">
        <v>2331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4430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2332</v>
      </c>
      <c r="C853" s="11" t="s">
        <v>2333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4455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2334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6335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2335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4430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2336</v>
      </c>
      <c r="C856" s="11" t="s">
        <v>2337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4455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2338</v>
      </c>
      <c r="C857" s="11" t="s">
        <v>2339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2340</v>
      </c>
      <c r="C858" s="11" t="s">
        <v>2341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2342</v>
      </c>
      <c r="C859" s="11" t="s">
        <v>2343</v>
      </c>
      <c r="D859" s="11" t="s">
        <v>26</v>
      </c>
      <c r="E859" s="11" t="s">
        <v>2116</v>
      </c>
      <c r="F859" s="11" t="s">
        <v>26</v>
      </c>
      <c r="G859" s="11" t="s">
        <v>26</v>
      </c>
      <c r="H859" s="12" t="s">
        <v>4429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2344</v>
      </c>
      <c r="C860" s="11" t="s">
        <v>2345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2346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2347</v>
      </c>
      <c r="C862" s="11" t="s">
        <v>2348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2349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2350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2351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2352</v>
      </c>
      <c r="C866" s="11" t="s">
        <v>2353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2354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2355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2356</v>
      </c>
      <c r="C869" s="11" t="s">
        <v>2357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2358</v>
      </c>
      <c r="C870" s="11" t="s">
        <v>2359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4453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2360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2361</v>
      </c>
      <c r="C872" s="11" t="s">
        <v>2362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4453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2363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4430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2364</v>
      </c>
      <c r="C874" s="11" t="s">
        <v>2365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2366</v>
      </c>
      <c r="C875" s="11" t="s">
        <v>2367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2368</v>
      </c>
      <c r="C876" s="11" t="s">
        <v>2369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2370</v>
      </c>
      <c r="C877" s="11" t="s">
        <v>2371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2372</v>
      </c>
      <c r="C878" s="11" t="s">
        <v>2373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2374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4455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2375</v>
      </c>
      <c r="C880" s="11" t="s">
        <v>2376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4453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2377</v>
      </c>
      <c r="C881" s="11" t="s">
        <v>2378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4455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2379</v>
      </c>
      <c r="C882" s="11" t="s">
        <v>2380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2381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4455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2382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2383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4430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2384</v>
      </c>
      <c r="C886" s="11" t="s">
        <v>2385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2386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2387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2388</v>
      </c>
      <c r="C889" s="11" t="s">
        <v>2389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4430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2390</v>
      </c>
      <c r="C890" s="11" t="s">
        <v>2391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6335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2392</v>
      </c>
      <c r="C891" s="11" t="s">
        <v>2393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2394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2395</v>
      </c>
      <c r="C893" s="11" t="s">
        <v>2396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2397</v>
      </c>
      <c r="C894" s="11" t="s">
        <v>2398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2399</v>
      </c>
      <c r="C895" s="11" t="s">
        <v>2400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6335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2401</v>
      </c>
      <c r="C896" s="11" t="s">
        <v>2402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2403</v>
      </c>
      <c r="C897" s="11" t="s">
        <v>2404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2405</v>
      </c>
      <c r="C898" s="11" t="s">
        <v>2406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4453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2407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2408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2409</v>
      </c>
      <c r="C901" s="11" t="s">
        <v>2410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4455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2411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4453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2412</v>
      </c>
      <c r="C903" s="11" t="s">
        <v>2413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2414</v>
      </c>
      <c r="C904" s="11" t="s">
        <v>2415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4455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2416</v>
      </c>
      <c r="C905" s="11" t="s">
        <v>2417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4430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2418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4430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2419</v>
      </c>
      <c r="C907" s="11" t="s">
        <v>2420</v>
      </c>
      <c r="D907" s="11" t="s">
        <v>26</v>
      </c>
      <c r="E907" s="11" t="s">
        <v>1207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2421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4453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2422</v>
      </c>
      <c r="C909" s="11" t="s">
        <v>2423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2424</v>
      </c>
      <c r="C910" s="11" t="s">
        <v>2425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2426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2427</v>
      </c>
      <c r="C912" s="11" t="s">
        <v>2428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4430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2429</v>
      </c>
      <c r="C913" s="11" t="s">
        <v>2430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4430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2431</v>
      </c>
      <c r="C914" s="11" t="s">
        <v>2432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2433</v>
      </c>
      <c r="C915" s="11" t="s">
        <v>2434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755</v>
      </c>
      <c r="C916" s="11" t="s">
        <v>2435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2436</v>
      </c>
      <c r="C917" s="11" t="s">
        <v>2437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2438</v>
      </c>
      <c r="C918" s="11" t="s">
        <v>2439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2440</v>
      </c>
      <c r="C919" s="11" t="s">
        <v>2441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2442</v>
      </c>
      <c r="C920" s="11" t="s">
        <v>2443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2444</v>
      </c>
      <c r="C921" s="11" t="s">
        <v>2445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4430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2446</v>
      </c>
      <c r="C922" s="11" t="s">
        <v>2447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2448</v>
      </c>
      <c r="C923" s="11" t="s">
        <v>2449</v>
      </c>
      <c r="D923" s="11" t="s">
        <v>26</v>
      </c>
      <c r="E923" s="11" t="s">
        <v>1207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2450</v>
      </c>
      <c r="C924" s="11" t="s">
        <v>2451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2452</v>
      </c>
      <c r="C925" s="11" t="s">
        <v>2453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695</v>
      </c>
      <c r="C926" s="11" t="s">
        <v>2454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4455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2455</v>
      </c>
      <c r="C927" s="11" t="s">
        <v>2456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4455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2457</v>
      </c>
      <c r="C928" s="11" t="s">
        <v>2458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4430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2459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2460</v>
      </c>
      <c r="C930" s="11" t="s">
        <v>2461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4455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2462</v>
      </c>
      <c r="C931" s="11" t="s">
        <v>2463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1367</v>
      </c>
      <c r="C932" s="11" t="s">
        <v>2464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2465</v>
      </c>
      <c r="C933" s="11" t="s">
        <v>2466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2467</v>
      </c>
      <c r="C934" s="11" t="s">
        <v>2468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4430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2469</v>
      </c>
      <c r="C935" s="11" t="s">
        <v>2470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2471</v>
      </c>
      <c r="C936" s="11" t="s">
        <v>2472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682</v>
      </c>
      <c r="C937" s="11" t="s">
        <v>2473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2474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736</v>
      </c>
      <c r="C939" s="11" t="s">
        <v>2475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4430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753</v>
      </c>
      <c r="C940" s="11" t="s">
        <v>2476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4430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2477</v>
      </c>
      <c r="C941" s="11" t="s">
        <v>2478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1439</v>
      </c>
      <c r="C942" s="11" t="s">
        <v>2479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2480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2481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2482</v>
      </c>
      <c r="C945" s="11" t="s">
        <v>2483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2484</v>
      </c>
      <c r="C946" s="11" t="s">
        <v>2485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2486</v>
      </c>
      <c r="C947" s="11" t="s">
        <v>2487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4430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2488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4453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2489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4453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1203</v>
      </c>
      <c r="C950" s="11" t="s">
        <v>2490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4453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2491</v>
      </c>
      <c r="D951" s="11" t="s">
        <v>26</v>
      </c>
      <c r="E951" s="11" t="s">
        <v>1207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728</v>
      </c>
      <c r="C952" s="11" t="s">
        <v>2492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702</v>
      </c>
      <c r="C953" s="11" t="s">
        <v>2493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2494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4455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2495</v>
      </c>
      <c r="C955" s="11" t="s">
        <v>2496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4455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2497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2498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2499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2500</v>
      </c>
      <c r="C959" s="11" t="s">
        <v>2501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2502</v>
      </c>
      <c r="C960" s="11" t="s">
        <v>2503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4430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2504</v>
      </c>
      <c r="C961" s="11" t="s">
        <v>2505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2506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2507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2477</v>
      </c>
      <c r="C964" s="11" t="s">
        <v>2508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2509</v>
      </c>
      <c r="C965" s="11" t="s">
        <v>2510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2511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2512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2513</v>
      </c>
      <c r="C968" s="11" t="s">
        <v>2514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4430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2012</v>
      </c>
      <c r="C969" s="11" t="s">
        <v>2515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1322</v>
      </c>
      <c r="C970" s="11" t="s">
        <v>2516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4453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2517</v>
      </c>
      <c r="C971" s="11" t="s">
        <v>2518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1308</v>
      </c>
      <c r="C972" s="11" t="s">
        <v>2519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2520</v>
      </c>
      <c r="C973" s="11" t="s">
        <v>2521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4455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2522</v>
      </c>
      <c r="C974" s="11" t="s">
        <v>2523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714</v>
      </c>
      <c r="C975" s="11" t="s">
        <v>2524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2525</v>
      </c>
      <c r="C976" s="11" t="s">
        <v>2526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2471</v>
      </c>
      <c r="C977" s="11" t="s">
        <v>2527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2528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2529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4430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2530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2017</v>
      </c>
      <c r="C981" s="11" t="s">
        <v>2531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2532</v>
      </c>
      <c r="C982" s="11" t="s">
        <v>2533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4430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2534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2535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4454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2536</v>
      </c>
      <c r="C985" s="11" t="s">
        <v>2537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2538</v>
      </c>
      <c r="C986" s="11" t="s">
        <v>2539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2540</v>
      </c>
      <c r="C987" s="11" t="s">
        <v>2541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2542</v>
      </c>
      <c r="C988" s="11" t="s">
        <v>2543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688</v>
      </c>
      <c r="C989" s="11" t="s">
        <v>2544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2545</v>
      </c>
      <c r="C990" s="11" t="s">
        <v>2546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2547</v>
      </c>
      <c r="C991" s="11" t="s">
        <v>2548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2549</v>
      </c>
      <c r="C992" s="11" t="s">
        <v>2550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2551</v>
      </c>
      <c r="C993" s="11" t="s">
        <v>2552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4453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718</v>
      </c>
      <c r="C994" s="11" t="s">
        <v>2553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2554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2555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4455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2556</v>
      </c>
      <c r="C997" s="11" t="s">
        <v>2557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1058</v>
      </c>
      <c r="C998" s="11" t="s">
        <v>2558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2559</v>
      </c>
      <c r="C999" s="11" t="s">
        <v>2560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4430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743</v>
      </c>
      <c r="C1000" s="11" t="s">
        <v>2561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4430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682</v>
      </c>
      <c r="C1001" s="11" t="s">
        <v>2562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2563</v>
      </c>
      <c r="C1002" s="11" t="s">
        <v>2564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4430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2565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2566</v>
      </c>
      <c r="C1004" s="11" t="s">
        <v>2567</v>
      </c>
      <c r="D1004" s="11" t="s">
        <v>26</v>
      </c>
      <c r="E1004" s="11" t="s">
        <v>2116</v>
      </c>
      <c r="F1004" s="11" t="s">
        <v>26</v>
      </c>
      <c r="G1004" s="11" t="s">
        <v>26</v>
      </c>
      <c r="H1004" s="12" t="s">
        <v>4429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1863</v>
      </c>
      <c r="C1005" s="11" t="s">
        <v>2568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4430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2569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705</v>
      </c>
      <c r="C1007" s="11" t="s">
        <v>2570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2571</v>
      </c>
      <c r="C1008" s="11" t="s">
        <v>2572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2573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717</v>
      </c>
      <c r="C1010" s="11" t="s">
        <v>2574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4453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2575</v>
      </c>
      <c r="C1011" s="11" t="s">
        <v>2576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4431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657</v>
      </c>
    </row>
    <row r="1012" spans="1:27" x14ac:dyDescent="0.25">
      <c r="A1012" s="10">
        <v>45674</v>
      </c>
      <c r="B1012" s="11" t="s">
        <v>2577</v>
      </c>
      <c r="C1012" s="11" t="s">
        <v>2578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4430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2579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2580</v>
      </c>
      <c r="C1014" s="11" t="s">
        <v>2581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2582</v>
      </c>
      <c r="C1015" s="11" t="s">
        <v>2583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4430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2584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4430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2585</v>
      </c>
      <c r="C1017" s="11" t="s">
        <v>2586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2587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2588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4430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2589</v>
      </c>
      <c r="C1020" s="11" t="s">
        <v>2590</v>
      </c>
      <c r="D1020" s="11" t="s">
        <v>26</v>
      </c>
      <c r="E1020" s="11" t="s">
        <v>2133</v>
      </c>
      <c r="F1020" s="11" t="s">
        <v>26</v>
      </c>
      <c r="G1020" s="11">
        <v>112132</v>
      </c>
      <c r="H1020" s="12" t="s">
        <v>4453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1712</v>
      </c>
      <c r="C1021" s="11" t="s">
        <v>2591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4453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708</v>
      </c>
      <c r="C1022" s="11" t="s">
        <v>2592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730</v>
      </c>
      <c r="C1023" s="11" t="s">
        <v>2593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2594</v>
      </c>
      <c r="C1024" s="11" t="s">
        <v>2595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2596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4430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2597</v>
      </c>
      <c r="C1026" s="11" t="s">
        <v>2598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4455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2599</v>
      </c>
      <c r="C1027" s="11" t="s">
        <v>2600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2601</v>
      </c>
      <c r="C1028" s="11" t="s">
        <v>2602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4430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2603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2604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4430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2605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2606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4453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2607</v>
      </c>
      <c r="C1033" s="11" t="s">
        <v>2608</v>
      </c>
      <c r="D1033" s="11" t="s">
        <v>26</v>
      </c>
      <c r="E1033" s="11" t="s">
        <v>2116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2609</v>
      </c>
      <c r="C1034" s="11" t="s">
        <v>2610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721</v>
      </c>
      <c r="C1035" s="11" t="s">
        <v>2611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2612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4430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2613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1916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2614</v>
      </c>
      <c r="C1038" s="11" t="s">
        <v>2615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2616</v>
      </c>
      <c r="C1039" s="11" t="s">
        <v>2617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4455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2618</v>
      </c>
      <c r="C1040" s="11" t="s">
        <v>2619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2620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2621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2622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4430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2623</v>
      </c>
      <c r="C1044" s="11" t="s">
        <v>2624</v>
      </c>
      <c r="D1044" s="11" t="s">
        <v>26</v>
      </c>
      <c r="E1044" s="11" t="s">
        <v>2625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1274</v>
      </c>
      <c r="C1045" s="11" t="s">
        <v>2626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2627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1916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2628</v>
      </c>
      <c r="C1047" s="11" t="s">
        <v>2629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4430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2630</v>
      </c>
      <c r="C1048" s="11" t="s">
        <v>2631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2632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4453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2633</v>
      </c>
      <c r="D1050" s="11" t="s">
        <v>26</v>
      </c>
      <c r="E1050" s="11" t="s">
        <v>1207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2634</v>
      </c>
      <c r="C1051" s="11" t="s">
        <v>2635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2636</v>
      </c>
      <c r="C1052" s="11" t="s">
        <v>2637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2638</v>
      </c>
      <c r="C1053" s="11" t="s">
        <v>2639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719</v>
      </c>
      <c r="C1054" s="11" t="s">
        <v>2640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4430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2641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1755</v>
      </c>
      <c r="C1056" s="11" t="s">
        <v>2642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2643</v>
      </c>
      <c r="C1057" s="11" t="s">
        <v>2644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4453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2645</v>
      </c>
      <c r="C1058" s="11" t="s">
        <v>2646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2647</v>
      </c>
      <c r="C1059" s="11" t="s">
        <v>2648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4455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2649</v>
      </c>
      <c r="C1060" s="11" t="s">
        <v>2650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2651</v>
      </c>
      <c r="C1061" s="11" t="s">
        <v>2652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2653</v>
      </c>
      <c r="C1062" s="11" t="s">
        <v>2654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2655</v>
      </c>
      <c r="C1063" s="11" t="s">
        <v>2656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4453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1826</v>
      </c>
      <c r="C1064" s="11" t="s">
        <v>2657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2658</v>
      </c>
      <c r="C1065" s="11" t="s">
        <v>2659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2660</v>
      </c>
      <c r="C1066" s="11" t="s">
        <v>2661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2662</v>
      </c>
      <c r="C1067" s="11" t="s">
        <v>2663</v>
      </c>
      <c r="D1067" s="11" t="s">
        <v>26</v>
      </c>
      <c r="E1067" s="11" t="s">
        <v>1732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2664</v>
      </c>
      <c r="C1068" s="11" t="s">
        <v>2665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2666</v>
      </c>
      <c r="C1069" s="11" t="s">
        <v>2667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1916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1390</v>
      </c>
      <c r="C1070" s="11" t="s">
        <v>2668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2669</v>
      </c>
      <c r="C1071" s="11" t="s">
        <v>2670</v>
      </c>
      <c r="D1071" s="11" t="s">
        <v>26</v>
      </c>
      <c r="E1071" s="11" t="s">
        <v>2625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2671</v>
      </c>
      <c r="C1072" s="11" t="s">
        <v>2672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2673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2674</v>
      </c>
      <c r="C1074" s="11" t="s">
        <v>2675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1066</v>
      </c>
      <c r="C1075" s="11" t="s">
        <v>2676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2677</v>
      </c>
      <c r="C1076" s="11" t="s">
        <v>2678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2679</v>
      </c>
      <c r="C1077" s="11" t="s">
        <v>2680</v>
      </c>
      <c r="D1077" s="11" t="s">
        <v>26</v>
      </c>
      <c r="E1077" s="11" t="s">
        <v>2116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2681</v>
      </c>
      <c r="C1078" s="11" t="s">
        <v>2682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2683</v>
      </c>
      <c r="C1079" s="11" t="s">
        <v>2684</v>
      </c>
      <c r="D1079" s="11" t="s">
        <v>26</v>
      </c>
      <c r="E1079" s="11" t="s">
        <v>1732</v>
      </c>
      <c r="F1079" s="11" t="s">
        <v>26</v>
      </c>
      <c r="G1079" s="11">
        <v>3293</v>
      </c>
      <c r="H1079" s="12" t="s">
        <v>4455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2685</v>
      </c>
      <c r="C1080" s="11" t="s">
        <v>2686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1916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2687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2688</v>
      </c>
      <c r="C1082" s="11" t="s">
        <v>2689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2690</v>
      </c>
      <c r="D1083" s="11" t="s">
        <v>26</v>
      </c>
      <c r="E1083" s="11" t="s">
        <v>2625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2691</v>
      </c>
      <c r="C1084" s="11" t="s">
        <v>2692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2693</v>
      </c>
      <c r="C1085" s="11" t="s">
        <v>2694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1390</v>
      </c>
      <c r="C1086" s="11" t="s">
        <v>2695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2696</v>
      </c>
      <c r="C1087" s="11" t="s">
        <v>2697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2698</v>
      </c>
      <c r="C1088" s="11" t="s">
        <v>2699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2700</v>
      </c>
      <c r="C1089" s="11" t="s">
        <v>2701</v>
      </c>
      <c r="D1089" s="11" t="s">
        <v>26</v>
      </c>
      <c r="E1089" s="11" t="s">
        <v>1207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2702</v>
      </c>
      <c r="C1090" s="11" t="s">
        <v>2703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2704</v>
      </c>
      <c r="C1091" s="11" t="s">
        <v>2705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2706</v>
      </c>
      <c r="C1092" s="11" t="s">
        <v>2707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4455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687</v>
      </c>
      <c r="C1093" s="11" t="s">
        <v>2708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2709</v>
      </c>
      <c r="C1094" s="11" t="s">
        <v>2710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4455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2711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4430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2712</v>
      </c>
      <c r="C1096" s="11" t="s">
        <v>2713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2714</v>
      </c>
      <c r="C1097" s="11" t="s">
        <v>2715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1463</v>
      </c>
      <c r="C1098" s="11" t="s">
        <v>2716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2717</v>
      </c>
      <c r="C1099" s="11" t="s">
        <v>2718</v>
      </c>
      <c r="D1099" s="11" t="s">
        <v>26</v>
      </c>
      <c r="E1099" s="11" t="s">
        <v>2116</v>
      </c>
      <c r="F1099" s="11" t="s">
        <v>26</v>
      </c>
      <c r="G1099" s="11" t="s">
        <v>26</v>
      </c>
      <c r="H1099" s="12" t="s">
        <v>4429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2719</v>
      </c>
      <c r="C1100" s="11" t="s">
        <v>2720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2721</v>
      </c>
      <c r="C1101" s="11" t="s">
        <v>2722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2723</v>
      </c>
      <c r="C1102" s="11" t="s">
        <v>2724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2725</v>
      </c>
      <c r="C1103" s="11" t="s">
        <v>2726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2727</v>
      </c>
      <c r="C1104" s="11" t="s">
        <v>2728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2729</v>
      </c>
      <c r="C1105" s="11" t="s">
        <v>2730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2731</v>
      </c>
      <c r="C1106" s="11" t="s">
        <v>2732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2733</v>
      </c>
      <c r="C1107" s="11" t="s">
        <v>2734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2735</v>
      </c>
      <c r="C1108" s="11" t="s">
        <v>2736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2737</v>
      </c>
      <c r="C1109" s="11" t="s">
        <v>2738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4430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2739</v>
      </c>
      <c r="C1110" s="11" t="s">
        <v>2740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4430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2741</v>
      </c>
      <c r="C1111" s="11" t="s">
        <v>2742</v>
      </c>
      <c r="D1111" s="11" t="s">
        <v>26</v>
      </c>
      <c r="E1111" s="11" t="s">
        <v>1207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2743</v>
      </c>
      <c r="C1112" s="11" t="s">
        <v>2744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4430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2745</v>
      </c>
      <c r="C1113" s="11" t="s">
        <v>2746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1874</v>
      </c>
      <c r="C1114" s="11" t="s">
        <v>2747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2748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2750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4453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2751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4455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723</v>
      </c>
      <c r="C1119" s="11" t="s">
        <v>2752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2753</v>
      </c>
      <c r="C1120" s="11" t="s">
        <v>2754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2755</v>
      </c>
      <c r="C1121" s="11" t="s">
        <v>2756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2757</v>
      </c>
      <c r="C1122" s="11" t="s">
        <v>2758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2759</v>
      </c>
      <c r="C1123" s="11" t="s">
        <v>2760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2761</v>
      </c>
      <c r="C1124" s="11" t="s">
        <v>2762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2763</v>
      </c>
      <c r="C1125" s="11" t="s">
        <v>2764</v>
      </c>
      <c r="D1125" s="11" t="s">
        <v>26</v>
      </c>
      <c r="E1125" s="11" t="s">
        <v>1207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2765</v>
      </c>
      <c r="C1126" s="11" t="s">
        <v>2766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2767</v>
      </c>
      <c r="C1127" s="11" t="s">
        <v>2768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2769</v>
      </c>
      <c r="C1128" s="11" t="s">
        <v>2770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2771</v>
      </c>
      <c r="C1129" s="11" t="s">
        <v>2772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4453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2773</v>
      </c>
      <c r="C1130" s="11" t="s">
        <v>2774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2775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2776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2777</v>
      </c>
      <c r="C1133" s="11" t="s">
        <v>2778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2779</v>
      </c>
      <c r="C1134" s="11" t="s">
        <v>2780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2781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1671</v>
      </c>
      <c r="C1136" s="11" t="s">
        <v>2782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4430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2783</v>
      </c>
      <c r="C1137" s="11" t="s">
        <v>2784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2785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2786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2787</v>
      </c>
      <c r="D1140" s="11" t="s">
        <v>26</v>
      </c>
      <c r="E1140" s="11" t="s">
        <v>1207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2788</v>
      </c>
      <c r="C1141" s="11" t="s">
        <v>2789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2790</v>
      </c>
      <c r="C1142" s="11" t="s">
        <v>2791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2792</v>
      </c>
      <c r="C1143" s="11" t="s">
        <v>2793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674</v>
      </c>
      <c r="C1144" s="11" t="s">
        <v>2794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1916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2795</v>
      </c>
      <c r="C1145" s="11" t="s">
        <v>2796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1143</v>
      </c>
      <c r="C1146" s="11" t="s">
        <v>2797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1375</v>
      </c>
      <c r="C1147" s="11" t="s">
        <v>2798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4430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2799</v>
      </c>
      <c r="C1148" s="11" t="s">
        <v>2800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1318</v>
      </c>
      <c r="C1149" s="11" t="s">
        <v>2801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4453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2802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4431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657</v>
      </c>
    </row>
    <row r="1151" spans="1:27" x14ac:dyDescent="0.25">
      <c r="A1151" s="10">
        <v>45675</v>
      </c>
      <c r="B1151" s="11" t="s">
        <v>259</v>
      </c>
      <c r="C1151" s="11" t="s">
        <v>2803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4455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2804</v>
      </c>
      <c r="C1152" s="11" t="s">
        <v>2805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2806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2559</v>
      </c>
      <c r="C1154" s="11" t="s">
        <v>2807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1903</v>
      </c>
      <c r="C1155" s="11" t="s">
        <v>2808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2723</v>
      </c>
      <c r="C1157" s="11" t="s">
        <v>2810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2811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2812</v>
      </c>
      <c r="C1159" s="11" t="s">
        <v>2813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2814</v>
      </c>
      <c r="C1160" s="11" t="s">
        <v>2815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4431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657</v>
      </c>
    </row>
    <row r="1161" spans="1:27" x14ac:dyDescent="0.25">
      <c r="A1161" s="10">
        <v>45677</v>
      </c>
      <c r="B1161" s="11" t="s">
        <v>430</v>
      </c>
      <c r="C1161" s="11" t="s">
        <v>2816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2817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2316</v>
      </c>
      <c r="C1163" s="11" t="s">
        <v>2818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2236</v>
      </c>
      <c r="C1164" s="11" t="s">
        <v>2819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2566</v>
      </c>
      <c r="C1165" s="11" t="s">
        <v>2820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2821</v>
      </c>
      <c r="C1166" s="11" t="s">
        <v>2822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2823</v>
      </c>
      <c r="C1167" s="11" t="s">
        <v>2824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4455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1878</v>
      </c>
      <c r="C1168" s="11" t="s">
        <v>2825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2826</v>
      </c>
      <c r="C1169" s="11" t="s">
        <v>2827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2828</v>
      </c>
      <c r="C1170" s="11" t="s">
        <v>2829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665</v>
      </c>
      <c r="C1171" s="11" t="s">
        <v>2830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4453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2831</v>
      </c>
      <c r="C1172" s="11" t="s">
        <v>2832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2833</v>
      </c>
      <c r="C1173" s="11" t="s">
        <v>2834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4430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2835</v>
      </c>
      <c r="C1174" s="11" t="s">
        <v>2836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2837</v>
      </c>
      <c r="C1175" s="11" t="s">
        <v>2838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2839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2840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2841</v>
      </c>
      <c r="C1178" s="11" t="s">
        <v>2842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2843</v>
      </c>
      <c r="C1179" s="11" t="s">
        <v>2844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2845</v>
      </c>
      <c r="C1180" s="11" t="s">
        <v>2846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2847</v>
      </c>
      <c r="C1181" s="11" t="s">
        <v>2848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2849</v>
      </c>
      <c r="C1182" s="11" t="s">
        <v>2850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2851</v>
      </c>
      <c r="C1183" s="11" t="s">
        <v>2852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2853</v>
      </c>
      <c r="C1184" s="11" t="s">
        <v>2854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2855</v>
      </c>
      <c r="C1185" s="11" t="s">
        <v>2856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2857</v>
      </c>
      <c r="C1186" s="11" t="s">
        <v>2858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2859</v>
      </c>
      <c r="C1187" s="11" t="s">
        <v>2860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2861</v>
      </c>
      <c r="C1188" s="11" t="s">
        <v>2862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2863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673</v>
      </c>
      <c r="C1190" s="11" t="s">
        <v>2864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2865</v>
      </c>
      <c r="C1191" s="11" t="s">
        <v>2866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4430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2867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2868</v>
      </c>
      <c r="C1193" s="11" t="s">
        <v>2869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2870</v>
      </c>
      <c r="C1194" s="11" t="s">
        <v>2871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2872</v>
      </c>
      <c r="C1195" s="11" t="s">
        <v>2873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4455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662</v>
      </c>
      <c r="C1196" s="11" t="s">
        <v>2874</v>
      </c>
      <c r="D1196" s="11" t="s">
        <v>26</v>
      </c>
      <c r="E1196" s="11" t="s">
        <v>1207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2875</v>
      </c>
      <c r="C1197" s="11" t="s">
        <v>2876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2877</v>
      </c>
      <c r="C1198" s="11" t="s">
        <v>2878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4453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4453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733</v>
      </c>
      <c r="C1200" s="11" t="s">
        <v>2880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2881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2882</v>
      </c>
      <c r="C1202" s="11" t="s">
        <v>2883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4453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2884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2885</v>
      </c>
      <c r="C1204" s="11" t="s">
        <v>2886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2887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2888</v>
      </c>
      <c r="C1206" s="11" t="s">
        <v>2889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4455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2890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2891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4430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2892</v>
      </c>
      <c r="C1209" s="11" t="s">
        <v>2893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2894</v>
      </c>
      <c r="C1210" s="11" t="s">
        <v>2895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2896</v>
      </c>
      <c r="C1211" s="11" t="s">
        <v>2897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2898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2899</v>
      </c>
      <c r="C1213" s="11" t="s">
        <v>2900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2741</v>
      </c>
      <c r="C1214" s="11" t="s">
        <v>2901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2902</v>
      </c>
      <c r="C1215" s="11" t="s">
        <v>2903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1073</v>
      </c>
      <c r="C1216" s="11" t="s">
        <v>2904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2905</v>
      </c>
      <c r="C1217" s="11" t="s">
        <v>2906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2907</v>
      </c>
      <c r="C1218" s="11" t="s">
        <v>2908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2909</v>
      </c>
      <c r="D1219" s="11" t="s">
        <v>26</v>
      </c>
      <c r="E1219" s="11" t="s">
        <v>1207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2910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2911</v>
      </c>
      <c r="C1221" s="11" t="s">
        <v>2912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2913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2914</v>
      </c>
      <c r="C1223" s="11" t="s">
        <v>2915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2916</v>
      </c>
      <c r="C1224" s="11" t="s">
        <v>2917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2918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4454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1717</v>
      </c>
      <c r="C1226" s="11" t="s">
        <v>2919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4453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693</v>
      </c>
      <c r="C1227" s="11" t="s">
        <v>2920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2921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4430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2922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2923</v>
      </c>
      <c r="C1230" s="11" t="s">
        <v>2924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2925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2926</v>
      </c>
      <c r="C1232" s="11" t="s">
        <v>2927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2928</v>
      </c>
      <c r="C1233" s="11" t="s">
        <v>2929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4453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2930</v>
      </c>
      <c r="D1234" s="11" t="s">
        <v>26</v>
      </c>
      <c r="E1234" s="11" t="s">
        <v>1667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2931</v>
      </c>
      <c r="C1235" s="11" t="s">
        <v>2932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2933</v>
      </c>
      <c r="C1236" s="11" t="s">
        <v>2934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2935</v>
      </c>
      <c r="C1237" s="11" t="s">
        <v>2936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2937</v>
      </c>
      <c r="C1238" s="11" t="s">
        <v>2938</v>
      </c>
      <c r="D1238" s="11" t="s">
        <v>26</v>
      </c>
      <c r="E1238" s="11" t="s">
        <v>1658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1916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2940</v>
      </c>
      <c r="C1240" s="11" t="s">
        <v>2941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1916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2942</v>
      </c>
      <c r="C1241" s="11" t="s">
        <v>2943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1983</v>
      </c>
      <c r="C1242" s="11" t="s">
        <v>2944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2945</v>
      </c>
      <c r="C1243" s="11" t="s">
        <v>2946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4430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2759</v>
      </c>
      <c r="C1244" s="11" t="s">
        <v>2947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4430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2948</v>
      </c>
      <c r="C1245" s="11" t="s">
        <v>2949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729</v>
      </c>
      <c r="C1246" s="11" t="s">
        <v>2950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2951</v>
      </c>
      <c r="C1247" s="11" t="s">
        <v>2952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4430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2953</v>
      </c>
      <c r="C1248" s="11" t="s">
        <v>2954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2955</v>
      </c>
      <c r="C1249" s="11" t="s">
        <v>2956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2957</v>
      </c>
      <c r="C1250" s="11" t="s">
        <v>2958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2959</v>
      </c>
      <c r="C1251" s="11" t="s">
        <v>2960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2961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4430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2962</v>
      </c>
      <c r="C1253" s="11" t="s">
        <v>2963</v>
      </c>
      <c r="D1253" s="11" t="s">
        <v>26</v>
      </c>
      <c r="E1253" s="11" t="s">
        <v>1207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2964</v>
      </c>
      <c r="C1254" s="11" t="s">
        <v>2965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4453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2966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4453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2967</v>
      </c>
      <c r="C1256" s="11" t="s">
        <v>2968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2969</v>
      </c>
      <c r="C1257" s="11" t="s">
        <v>2970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2971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4430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2972</v>
      </c>
      <c r="C1259" s="11" t="s">
        <v>2973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2974</v>
      </c>
      <c r="C1260" s="11" t="s">
        <v>2975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2976</v>
      </c>
      <c r="C1261" s="11" t="s">
        <v>2977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2978</v>
      </c>
      <c r="C1262" s="11" t="s">
        <v>2979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4453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2980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2981</v>
      </c>
      <c r="C1264" s="11" t="s">
        <v>2982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2983</v>
      </c>
      <c r="C1265" s="11" t="s">
        <v>2984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2985</v>
      </c>
      <c r="C1266" s="11" t="s">
        <v>2986</v>
      </c>
      <c r="D1266" s="11" t="s">
        <v>26</v>
      </c>
      <c r="E1266" s="11" t="s">
        <v>2116</v>
      </c>
      <c r="F1266" s="11" t="s">
        <v>26</v>
      </c>
      <c r="G1266" s="11" t="s">
        <v>26</v>
      </c>
      <c r="H1266" s="12" t="s">
        <v>4429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2987</v>
      </c>
      <c r="C1267" s="11" t="s">
        <v>2988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2989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4430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2990</v>
      </c>
      <c r="C1269" s="11" t="s">
        <v>2991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2992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2993</v>
      </c>
      <c r="C1271" s="11" t="s">
        <v>2994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1916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2995</v>
      </c>
      <c r="C1272" s="11" t="s">
        <v>2996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1916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2997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4430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1421</v>
      </c>
      <c r="C1274" s="11" t="s">
        <v>2998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2999</v>
      </c>
      <c r="C1275" s="11" t="s">
        <v>3000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3001</v>
      </c>
      <c r="C1276" s="11" t="s">
        <v>3002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3003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1753</v>
      </c>
      <c r="C1278" s="11" t="s">
        <v>3004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4431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746</v>
      </c>
    </row>
    <row r="1279" spans="1:27" x14ac:dyDescent="0.25">
      <c r="A1279" s="10">
        <v>45678</v>
      </c>
      <c r="B1279" s="11" t="s">
        <v>3005</v>
      </c>
      <c r="C1279" s="11" t="s">
        <v>3006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3007</v>
      </c>
      <c r="C1280" s="11" t="s">
        <v>3008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3009</v>
      </c>
      <c r="C1281" s="11" t="s">
        <v>3010</v>
      </c>
      <c r="D1281" s="11" t="s">
        <v>26</v>
      </c>
      <c r="E1281" s="11" t="s">
        <v>1207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3011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3012</v>
      </c>
      <c r="C1283" s="11" t="s">
        <v>3013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4430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3014</v>
      </c>
      <c r="C1284" s="11" t="s">
        <v>3015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3016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3017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1916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3018</v>
      </c>
      <c r="C1287" s="11" t="s">
        <v>3019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3020</v>
      </c>
      <c r="C1288" s="11" t="s">
        <v>3021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1916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3022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3023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4453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3024</v>
      </c>
      <c r="C1291" s="11" t="s">
        <v>3025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3026</v>
      </c>
      <c r="C1292" s="11" t="s">
        <v>3027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706</v>
      </c>
      <c r="C1293" s="11" t="s">
        <v>3028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4453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731</v>
      </c>
      <c r="C1294" s="11" t="s">
        <v>3029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4453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737</v>
      </c>
      <c r="C1295" s="11" t="s">
        <v>3030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3031</v>
      </c>
      <c r="C1296" s="11" t="s">
        <v>3032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4431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657</v>
      </c>
    </row>
    <row r="1297" spans="1:27" x14ac:dyDescent="0.25">
      <c r="A1297" s="10">
        <v>45678</v>
      </c>
      <c r="B1297" s="11" t="s">
        <v>3033</v>
      </c>
      <c r="C1297" s="11" t="s">
        <v>3034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4455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3035</v>
      </c>
      <c r="C1298" s="11" t="s">
        <v>3036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3037</v>
      </c>
      <c r="C1299" s="11" t="s">
        <v>3038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3039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4453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3040</v>
      </c>
      <c r="C1301" s="11" t="s">
        <v>3041</v>
      </c>
      <c r="D1301" s="11" t="s">
        <v>26</v>
      </c>
      <c r="E1301" s="11" t="s">
        <v>1207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3042</v>
      </c>
      <c r="C1302" s="11" t="s">
        <v>3043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3044</v>
      </c>
      <c r="C1303" s="11" t="s">
        <v>3045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3046</v>
      </c>
      <c r="C1304" s="11" t="s">
        <v>3047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3048</v>
      </c>
      <c r="C1305" s="11" t="s">
        <v>3049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708</v>
      </c>
      <c r="C1306" s="11" t="s">
        <v>3050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3051</v>
      </c>
      <c r="C1307" s="11" t="s">
        <v>3052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3053</v>
      </c>
      <c r="C1308" s="11" t="s">
        <v>3054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3055</v>
      </c>
      <c r="C1309" s="11" t="s">
        <v>3056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1916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3057</v>
      </c>
      <c r="C1310" s="11" t="s">
        <v>3058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3059</v>
      </c>
      <c r="C1311" s="11" t="s">
        <v>3060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3061</v>
      </c>
      <c r="D1312" s="11" t="s">
        <v>26</v>
      </c>
      <c r="E1312" s="11" t="s">
        <v>2116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3062</v>
      </c>
      <c r="C1313" s="11" t="s">
        <v>3063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3064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3065</v>
      </c>
      <c r="C1315" s="11" t="s">
        <v>3066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3067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4430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3068</v>
      </c>
      <c r="C1317" s="11" t="s">
        <v>3069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3070</v>
      </c>
      <c r="C1318" s="11" t="s">
        <v>3071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3072</v>
      </c>
      <c r="C1319" s="11" t="s">
        <v>3073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3074</v>
      </c>
      <c r="C1320" s="11" t="s">
        <v>3075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3076</v>
      </c>
      <c r="C1321" s="11" t="s">
        <v>3077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3078</v>
      </c>
      <c r="C1322" s="11" t="s">
        <v>3079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4453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3080</v>
      </c>
      <c r="C1323" s="11" t="s">
        <v>3081</v>
      </c>
      <c r="D1323" s="11" t="s">
        <v>26</v>
      </c>
      <c r="E1323" s="11" t="s">
        <v>1207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3082</v>
      </c>
      <c r="C1324" s="11" t="s">
        <v>3083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4430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3084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4431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6335</v>
      </c>
      <c r="AA1325" s="12" t="s">
        <v>657</v>
      </c>
    </row>
    <row r="1326" spans="1:27" x14ac:dyDescent="0.25">
      <c r="A1326" s="10">
        <v>45679</v>
      </c>
      <c r="B1326" s="11" t="s">
        <v>3085</v>
      </c>
      <c r="C1326" s="11" t="s">
        <v>3086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3087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3088</v>
      </c>
      <c r="C1328" s="11" t="s">
        <v>3089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3090</v>
      </c>
      <c r="D1329" s="11" t="s">
        <v>26</v>
      </c>
      <c r="E1329" s="11" t="s">
        <v>1732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3091</v>
      </c>
      <c r="C1330" s="11" t="s">
        <v>3092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3093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3094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3095</v>
      </c>
      <c r="C1333" s="11" t="s">
        <v>3096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3097</v>
      </c>
      <c r="C1334" s="11" t="s">
        <v>3098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3099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3100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1916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3101</v>
      </c>
      <c r="C1337" s="11" t="s">
        <v>3102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3103</v>
      </c>
      <c r="C1338" s="11" t="s">
        <v>3104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1916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3105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3106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4430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3107</v>
      </c>
      <c r="C1341" s="11" t="s">
        <v>3108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3109</v>
      </c>
      <c r="C1342" s="11" t="s">
        <v>3110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4453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3111</v>
      </c>
      <c r="C1343" s="11" t="s">
        <v>3112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4430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3113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3114</v>
      </c>
      <c r="C1345" s="11" t="s">
        <v>3115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4456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3116</v>
      </c>
      <c r="D1346" s="11" t="s">
        <v>26</v>
      </c>
      <c r="E1346" s="11" t="s">
        <v>1732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3117</v>
      </c>
      <c r="C1347" s="11" t="s">
        <v>3118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3119</v>
      </c>
      <c r="C1348" s="11" t="s">
        <v>3120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3121</v>
      </c>
      <c r="C1349" s="11" t="s">
        <v>3122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3123</v>
      </c>
      <c r="C1350" s="11" t="s">
        <v>3124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4456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3125</v>
      </c>
      <c r="C1351" s="11" t="s">
        <v>3126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3127</v>
      </c>
      <c r="D1352" s="11" t="s">
        <v>26</v>
      </c>
      <c r="E1352" s="11" t="s">
        <v>1207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3128</v>
      </c>
      <c r="C1353" s="11" t="s">
        <v>3129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6335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3130</v>
      </c>
      <c r="C1354" s="11" t="s">
        <v>3131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4453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3132</v>
      </c>
      <c r="C1355" s="11" t="s">
        <v>3133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4430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3134</v>
      </c>
      <c r="C1356" s="11" t="s">
        <v>3135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4430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3136</v>
      </c>
      <c r="C1357" s="11" t="s">
        <v>3137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4456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3138</v>
      </c>
      <c r="C1358" s="11" t="s">
        <v>3139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3140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3141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3142</v>
      </c>
      <c r="C1361" s="11" t="s">
        <v>3143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4430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3144</v>
      </c>
      <c r="C1362" s="11" t="s">
        <v>3145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3146</v>
      </c>
      <c r="C1363" s="11" t="s">
        <v>3147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4456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3148</v>
      </c>
      <c r="C1364" s="11" t="s">
        <v>3149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3150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1916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3151</v>
      </c>
      <c r="C1366" s="11" t="s">
        <v>3152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1916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3153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3154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3155</v>
      </c>
      <c r="C1369" s="11" t="s">
        <v>3156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4431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746</v>
      </c>
    </row>
    <row r="1370" spans="1:27" x14ac:dyDescent="0.25">
      <c r="A1370" s="10">
        <v>45679</v>
      </c>
      <c r="B1370" s="11" t="s">
        <v>3157</v>
      </c>
      <c r="C1370" s="11" t="s">
        <v>3158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3159</v>
      </c>
      <c r="C1371" s="11" t="s">
        <v>3160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4456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3161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3162</v>
      </c>
      <c r="C1373" s="11" t="s">
        <v>3163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757</v>
      </c>
      <c r="C1374" s="11" t="s">
        <v>3164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4456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3165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4453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3166</v>
      </c>
      <c r="C1376" s="11" t="s">
        <v>3167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3168</v>
      </c>
      <c r="C1377" s="11" t="s">
        <v>3169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4430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3170</v>
      </c>
      <c r="C1378" s="11" t="s">
        <v>3171</v>
      </c>
      <c r="D1378" s="11" t="s">
        <v>26</v>
      </c>
      <c r="E1378" s="11" t="s">
        <v>1207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3172</v>
      </c>
      <c r="C1379" s="11" t="s">
        <v>3173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3174</v>
      </c>
      <c r="C1380" s="11" t="s">
        <v>3175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3176</v>
      </c>
      <c r="C1381" s="11" t="s">
        <v>3177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3178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4456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3179</v>
      </c>
      <c r="C1383" s="11" t="s">
        <v>3180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3181</v>
      </c>
      <c r="C1384" s="11" t="s">
        <v>3182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3183</v>
      </c>
      <c r="C1385" s="11" t="s">
        <v>3184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3185</v>
      </c>
      <c r="C1386" s="11" t="s">
        <v>3186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4430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3187</v>
      </c>
      <c r="C1387" s="11" t="s">
        <v>3188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3189</v>
      </c>
      <c r="C1388" s="11" t="s">
        <v>3190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4431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746</v>
      </c>
    </row>
    <row r="1389" spans="1:27" x14ac:dyDescent="0.25">
      <c r="A1389" s="10">
        <v>45679</v>
      </c>
      <c r="B1389" s="11" t="s">
        <v>521</v>
      </c>
      <c r="C1389" s="11" t="s">
        <v>3191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1916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3192</v>
      </c>
      <c r="C1390" s="11" t="s">
        <v>3193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3194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3195</v>
      </c>
      <c r="C1392" s="11" t="s">
        <v>3196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6335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3197</v>
      </c>
      <c r="C1393" s="11" t="s">
        <v>3198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4456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3199</v>
      </c>
      <c r="C1394" s="11" t="s">
        <v>3200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3201</v>
      </c>
      <c r="C1395" s="11" t="s">
        <v>3202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3203</v>
      </c>
      <c r="C1396" s="11" t="s">
        <v>3204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3205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3206</v>
      </c>
      <c r="C1398" s="11" t="s">
        <v>3207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3208</v>
      </c>
      <c r="C1399" s="11" t="s">
        <v>3209</v>
      </c>
      <c r="D1399" s="11" t="s">
        <v>26</v>
      </c>
      <c r="E1399" s="11" t="s">
        <v>2116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3210</v>
      </c>
      <c r="C1400" s="11" t="s">
        <v>3211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4455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3212</v>
      </c>
      <c r="C1401" s="11" t="s">
        <v>3213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3214</v>
      </c>
      <c r="C1402" s="11" t="s">
        <v>3215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3216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3217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3218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3219</v>
      </c>
      <c r="C1406" s="11" t="s">
        <v>3220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4430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3221</v>
      </c>
      <c r="C1407" s="11" t="s">
        <v>3222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659</v>
      </c>
      <c r="C1408" s="11" t="s">
        <v>3223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756</v>
      </c>
      <c r="C1409" s="11" t="s">
        <v>3224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4455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3225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4456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3226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3227</v>
      </c>
      <c r="C1412" s="11" t="s">
        <v>3228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3229</v>
      </c>
      <c r="C1413" s="11" t="s">
        <v>3230</v>
      </c>
      <c r="D1413" s="11" t="s">
        <v>26</v>
      </c>
      <c r="E1413" s="11" t="s">
        <v>1207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3231</v>
      </c>
      <c r="C1414" s="11" t="s">
        <v>3232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3233</v>
      </c>
      <c r="C1415" s="11" t="s">
        <v>3234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3235</v>
      </c>
      <c r="C1416" s="11" t="s">
        <v>3236</v>
      </c>
      <c r="D1416" s="11" t="s">
        <v>26</v>
      </c>
      <c r="E1416" s="11" t="s">
        <v>1732</v>
      </c>
      <c r="F1416" s="11" t="s">
        <v>26</v>
      </c>
      <c r="G1416" s="11">
        <v>3294</v>
      </c>
      <c r="H1416" s="12" t="s">
        <v>4455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1860</v>
      </c>
      <c r="C1417" s="11" t="s">
        <v>3237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3238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4455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3239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3240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3241</v>
      </c>
      <c r="C1421" s="11" t="s">
        <v>3242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4430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1717</v>
      </c>
      <c r="C1422" s="11" t="s">
        <v>3243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3244</v>
      </c>
      <c r="C1423" s="11" t="s">
        <v>3245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3246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4453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3247</v>
      </c>
      <c r="C1425" s="11" t="s">
        <v>3248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3249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3250</v>
      </c>
      <c r="C1427" s="11" t="s">
        <v>3251</v>
      </c>
      <c r="D1427" s="11" t="s">
        <v>26</v>
      </c>
      <c r="E1427" s="11" t="s">
        <v>2116</v>
      </c>
      <c r="F1427" s="11" t="s">
        <v>26</v>
      </c>
      <c r="G1427" s="11" t="s">
        <v>26</v>
      </c>
      <c r="H1427" s="12" t="s">
        <v>4429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3252</v>
      </c>
      <c r="C1428" s="11" t="s">
        <v>3253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3254</v>
      </c>
      <c r="C1429" s="11" t="s">
        <v>3255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3256</v>
      </c>
      <c r="C1430" s="11" t="s">
        <v>3257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3258</v>
      </c>
      <c r="C1431" s="11" t="s">
        <v>3259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3260</v>
      </c>
      <c r="D1432" s="11" t="s">
        <v>26</v>
      </c>
      <c r="E1432" s="11" t="s">
        <v>1207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3261</v>
      </c>
      <c r="C1433" s="11" t="s">
        <v>3262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3263</v>
      </c>
      <c r="C1434" s="11" t="s">
        <v>3264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4430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3265</v>
      </c>
      <c r="C1435" s="11" t="s">
        <v>3266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1232</v>
      </c>
      <c r="C1436" s="11" t="s">
        <v>3267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741</v>
      </c>
      <c r="C1437" s="11" t="s">
        <v>3268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4430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3269</v>
      </c>
      <c r="C1438" s="11" t="s">
        <v>3270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4431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746</v>
      </c>
    </row>
    <row r="1439" spans="1:27" x14ac:dyDescent="0.25">
      <c r="A1439" s="10">
        <v>45680</v>
      </c>
      <c r="B1439" s="11" t="s">
        <v>3271</v>
      </c>
      <c r="C1439" s="11" t="s">
        <v>3272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4430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3273</v>
      </c>
      <c r="C1440" s="11" t="s">
        <v>3274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4456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3275</v>
      </c>
      <c r="C1441" s="11" t="s">
        <v>3276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3277</v>
      </c>
      <c r="C1442" s="11" t="s">
        <v>3278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4430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3279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720</v>
      </c>
      <c r="C1444" s="11" t="s">
        <v>3280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3281</v>
      </c>
      <c r="C1445" s="11" t="s">
        <v>3282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4455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3283</v>
      </c>
      <c r="C1446" s="11" t="s">
        <v>3284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3285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3286</v>
      </c>
      <c r="C1448" s="11" t="s">
        <v>3287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693</v>
      </c>
      <c r="C1449" s="11" t="s">
        <v>3288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4456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742</v>
      </c>
      <c r="C1450" s="11" t="s">
        <v>3289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4456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3290</v>
      </c>
      <c r="C1451" s="11" t="s">
        <v>3291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3292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4455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2899</v>
      </c>
      <c r="C1453" s="11" t="s">
        <v>3293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4430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3294</v>
      </c>
      <c r="C1454" s="11" t="s">
        <v>3295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3296</v>
      </c>
      <c r="C1455" s="11" t="s">
        <v>3297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3298</v>
      </c>
      <c r="C1456" s="11" t="s">
        <v>3299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3300</v>
      </c>
      <c r="C1457" s="11" t="s">
        <v>3301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694</v>
      </c>
      <c r="C1458" s="11" t="s">
        <v>3302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3303</v>
      </c>
      <c r="C1459" s="11" t="s">
        <v>3304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2995</v>
      </c>
      <c r="C1460" s="11" t="s">
        <v>3305</v>
      </c>
      <c r="D1460" s="11" t="s">
        <v>26</v>
      </c>
      <c r="E1460" s="11" t="s">
        <v>1207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3306</v>
      </c>
      <c r="C1461" s="11" t="s">
        <v>3307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681</v>
      </c>
      <c r="C1462" s="11" t="s">
        <v>3308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4431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746</v>
      </c>
    </row>
    <row r="1463" spans="1:27" x14ac:dyDescent="0.25">
      <c r="A1463" s="10">
        <v>45680</v>
      </c>
      <c r="B1463" s="11" t="s">
        <v>425</v>
      </c>
      <c r="C1463" s="11" t="s">
        <v>3309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4456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3310</v>
      </c>
      <c r="C1464" s="11" t="s">
        <v>3311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4456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3312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4453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3313</v>
      </c>
      <c r="C1466" s="11" t="s">
        <v>3314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4453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3315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4430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3316</v>
      </c>
      <c r="C1468" s="11" t="s">
        <v>3317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4430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3318</v>
      </c>
      <c r="C1469" s="11" t="s">
        <v>3319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3320</v>
      </c>
      <c r="C1470" s="11" t="s">
        <v>3321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4430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3322</v>
      </c>
      <c r="C1471" s="11" t="s">
        <v>3323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3324</v>
      </c>
      <c r="C1472" s="11" t="s">
        <v>3325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4456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3326</v>
      </c>
      <c r="C1473" s="11" t="s">
        <v>3327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4456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3328</v>
      </c>
      <c r="C1474" s="11" t="s">
        <v>3329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3330</v>
      </c>
      <c r="C1475" s="11" t="s">
        <v>3331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3332</v>
      </c>
      <c r="C1476" s="11" t="s">
        <v>3333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3334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3335</v>
      </c>
      <c r="C1478" s="11" t="s">
        <v>3336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3337</v>
      </c>
      <c r="C1479" s="11" t="s">
        <v>3338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4455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3339</v>
      </c>
      <c r="C1480" s="11" t="s">
        <v>3340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3341</v>
      </c>
      <c r="C1481" s="11" t="s">
        <v>3342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3343</v>
      </c>
      <c r="C1482" s="11" t="s">
        <v>3344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1842</v>
      </c>
      <c r="C1483" s="11" t="s">
        <v>3345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4456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3346</v>
      </c>
      <c r="C1484" s="11" t="s">
        <v>3347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3348</v>
      </c>
      <c r="C1485" s="11" t="s">
        <v>3349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3350</v>
      </c>
      <c r="C1486" s="11" t="s">
        <v>3351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3352</v>
      </c>
      <c r="C1487" s="11" t="s">
        <v>3353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1790</v>
      </c>
      <c r="C1488" s="11" t="s">
        <v>3354</v>
      </c>
      <c r="D1488" s="11" t="s">
        <v>26</v>
      </c>
      <c r="E1488" s="11" t="s">
        <v>3355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3356</v>
      </c>
      <c r="C1489" s="11" t="s">
        <v>3357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1916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3358</v>
      </c>
      <c r="C1490" s="11" t="s">
        <v>3359</v>
      </c>
      <c r="D1490" s="11" t="s">
        <v>26</v>
      </c>
      <c r="E1490" s="11" t="s">
        <v>3360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3361</v>
      </c>
      <c r="C1491" s="11" t="s">
        <v>3362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4430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1738</v>
      </c>
      <c r="C1492" s="11" t="s">
        <v>3363</v>
      </c>
      <c r="D1492" s="11" t="s">
        <v>26</v>
      </c>
      <c r="E1492" s="11" t="s">
        <v>2116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3364</v>
      </c>
      <c r="C1493" s="11" t="s">
        <v>3365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696</v>
      </c>
      <c r="C1494" s="11" t="s">
        <v>3366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4430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3026</v>
      </c>
      <c r="C1495" s="11" t="s">
        <v>3367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4456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3368</v>
      </c>
      <c r="C1496" s="11" t="s">
        <v>3369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3370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4455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1058</v>
      </c>
      <c r="C1498" s="11" t="s">
        <v>3371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3372</v>
      </c>
      <c r="C1499" s="11" t="s">
        <v>3373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3374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4430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3375</v>
      </c>
      <c r="C1501" s="11" t="s">
        <v>3376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3377</v>
      </c>
      <c r="C1502" s="11" t="s">
        <v>3378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3379</v>
      </c>
      <c r="C1503" s="11" t="s">
        <v>3380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4453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3381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3356</v>
      </c>
      <c r="C1505" s="11" t="s">
        <v>3382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4455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666</v>
      </c>
      <c r="C1506" s="11" t="s">
        <v>3383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3384</v>
      </c>
      <c r="C1507" s="11" t="s">
        <v>3385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4430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3386</v>
      </c>
      <c r="C1508" s="11" t="s">
        <v>3387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3388</v>
      </c>
      <c r="C1509" s="11" t="s">
        <v>3389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1916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3390</v>
      </c>
      <c r="C1510" s="11" t="s">
        <v>3391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3392</v>
      </c>
      <c r="C1511" s="11" t="s">
        <v>3393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3394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4456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3395</v>
      </c>
      <c r="C1513" s="11" t="s">
        <v>3396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3397</v>
      </c>
      <c r="C1514" s="11" t="s">
        <v>3398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1916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3399</v>
      </c>
      <c r="C1515" s="11" t="s">
        <v>3400</v>
      </c>
      <c r="D1515" s="11" t="s">
        <v>26</v>
      </c>
      <c r="E1515" s="11" t="s">
        <v>2116</v>
      </c>
      <c r="F1515" s="11" t="s">
        <v>26</v>
      </c>
      <c r="G1515" s="11" t="s">
        <v>26</v>
      </c>
      <c r="H1515" s="12" t="s">
        <v>4429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3401</v>
      </c>
      <c r="C1516" s="11" t="s">
        <v>3402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3403</v>
      </c>
      <c r="C1517" s="11" t="s">
        <v>3404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3405</v>
      </c>
      <c r="C1518" s="11" t="s">
        <v>3406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4430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3407</v>
      </c>
      <c r="C1519" s="11" t="s">
        <v>3408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4455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3409</v>
      </c>
      <c r="C1520" s="11" t="s">
        <v>3410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3411</v>
      </c>
      <c r="C1521" s="11" t="s">
        <v>3412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3413</v>
      </c>
      <c r="C1522" s="11" t="s">
        <v>3414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4453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3415</v>
      </c>
      <c r="C1523" s="11" t="s">
        <v>3416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4430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3417</v>
      </c>
      <c r="C1524" s="11" t="s">
        <v>3418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4430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3419</v>
      </c>
      <c r="C1525" s="11" t="s">
        <v>3420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4456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3421</v>
      </c>
      <c r="C1526" s="11" t="s">
        <v>3422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3330</v>
      </c>
      <c r="C1527" s="11" t="s">
        <v>3423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4453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3424</v>
      </c>
      <c r="C1528" s="11" t="s">
        <v>3425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3426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4455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3427</v>
      </c>
      <c r="C1530" s="11" t="s">
        <v>3428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4430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3429</v>
      </c>
      <c r="C1531" s="11" t="s">
        <v>3430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4456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3431</v>
      </c>
      <c r="C1532" s="11" t="s">
        <v>3432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3055</v>
      </c>
      <c r="C1533" s="11" t="s">
        <v>3433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745</v>
      </c>
      <c r="C1534" s="11" t="s">
        <v>3434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1916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3435</v>
      </c>
      <c r="C1535" s="11" t="s">
        <v>3436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1903</v>
      </c>
      <c r="C1536" s="11" t="s">
        <v>3437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3438</v>
      </c>
      <c r="C1537" s="11" t="s">
        <v>3439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3440</v>
      </c>
      <c r="C1538" s="11" t="s">
        <v>3441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1916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3442</v>
      </c>
      <c r="C1539" s="11" t="s">
        <v>3443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3444</v>
      </c>
      <c r="C1540" s="11" t="s">
        <v>3445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4456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1094</v>
      </c>
      <c r="C1541" s="11" t="s">
        <v>3446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4456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3447</v>
      </c>
      <c r="C1542" s="11" t="s">
        <v>3448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4453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3449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3450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4430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3451</v>
      </c>
      <c r="C1545" s="11" t="s">
        <v>3452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3453</v>
      </c>
      <c r="C1546" s="11" t="s">
        <v>3454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3455</v>
      </c>
      <c r="C1547" s="11" t="s">
        <v>3456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3457</v>
      </c>
      <c r="C1548" s="11" t="s">
        <v>3458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3459</v>
      </c>
      <c r="C1549" s="11" t="s">
        <v>3460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4455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3461</v>
      </c>
      <c r="C1550" s="11" t="s">
        <v>3462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4430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739</v>
      </c>
      <c r="C1551" s="11" t="s">
        <v>3463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4430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2888</v>
      </c>
      <c r="C1552" s="11" t="s">
        <v>3464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3465</v>
      </c>
      <c r="C1553" s="11" t="s">
        <v>3466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3467</v>
      </c>
      <c r="C1554" s="11" t="s">
        <v>3468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3469</v>
      </c>
      <c r="C1555" s="11" t="s">
        <v>3470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4430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3471</v>
      </c>
      <c r="C1556" s="11" t="s">
        <v>3472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4453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3473</v>
      </c>
      <c r="C1557" s="11" t="s">
        <v>3474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4456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3475</v>
      </c>
      <c r="C1558" s="11" t="s">
        <v>3476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4430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3477</v>
      </c>
      <c r="C1559" s="11" t="s">
        <v>3478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3479</v>
      </c>
      <c r="C1560" s="11" t="s">
        <v>3480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4430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3481</v>
      </c>
      <c r="C1561" s="11" t="s">
        <v>3482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3483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4455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3484</v>
      </c>
      <c r="C1563" s="11" t="s">
        <v>3485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1916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3486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4455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3487</v>
      </c>
      <c r="C1565" s="11" t="s">
        <v>3488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3489</v>
      </c>
      <c r="C1566" s="11" t="s">
        <v>3490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3491</v>
      </c>
      <c r="C1567" s="11" t="s">
        <v>3492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1916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3493</v>
      </c>
      <c r="C1568" s="11" t="s">
        <v>3494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3495</v>
      </c>
      <c r="C1569" s="11" t="s">
        <v>3496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3497</v>
      </c>
      <c r="C1570" s="11" t="s">
        <v>3498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4455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3499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4455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3500</v>
      </c>
      <c r="C1572" s="11" t="s">
        <v>3501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4430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748</v>
      </c>
      <c r="C1573" s="11" t="s">
        <v>3502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3503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4453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3504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3505</v>
      </c>
      <c r="C1576" s="11" t="s">
        <v>3506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2649</v>
      </c>
      <c r="C1577" s="11" t="s">
        <v>3507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3508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4456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3509</v>
      </c>
      <c r="C1579" s="11" t="s">
        <v>3510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4430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3511</v>
      </c>
      <c r="C1580" s="11" t="s">
        <v>3512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3024</v>
      </c>
      <c r="C1581" s="11" t="s">
        <v>3513</v>
      </c>
      <c r="D1581" s="11" t="s">
        <v>26</v>
      </c>
      <c r="E1581" s="11" t="s">
        <v>2625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1240</v>
      </c>
      <c r="C1582" s="11" t="s">
        <v>3514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1336</v>
      </c>
      <c r="C1583" s="11" t="s">
        <v>3515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4455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3516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4455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3517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3518</v>
      </c>
      <c r="C1586" s="11" t="s">
        <v>3519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4453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3520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3521</v>
      </c>
      <c r="C1588" s="11" t="s">
        <v>3522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1353</v>
      </c>
      <c r="C1589" s="11" t="s">
        <v>3523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3524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3525</v>
      </c>
      <c r="C1591" s="11" t="s">
        <v>3526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3527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4455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3528</v>
      </c>
      <c r="C1593" s="11" t="s">
        <v>3529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4455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3530</v>
      </c>
      <c r="C1594" s="11" t="s">
        <v>3531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3497</v>
      </c>
      <c r="C1595" s="11" t="s">
        <v>3532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3533</v>
      </c>
      <c r="C1596" s="11" t="s">
        <v>3534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4430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3535</v>
      </c>
      <c r="C1597" s="11" t="s">
        <v>3536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4430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3537</v>
      </c>
      <c r="C1598" s="11" t="s">
        <v>3538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3539</v>
      </c>
      <c r="C1599" s="11" t="s">
        <v>3540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3541</v>
      </c>
      <c r="C1600" s="11" t="s">
        <v>3542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4430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3543</v>
      </c>
      <c r="C1601" s="11" t="s">
        <v>3544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4430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3545</v>
      </c>
      <c r="C1602" s="11" t="s">
        <v>3546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1916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3547</v>
      </c>
      <c r="C1603" s="11" t="s">
        <v>3548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4430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2681</v>
      </c>
      <c r="C1604" s="11" t="s">
        <v>3549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1916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3550</v>
      </c>
      <c r="C1605" s="11" t="s">
        <v>3551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3552</v>
      </c>
      <c r="C1606" s="11" t="s">
        <v>3553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3554</v>
      </c>
      <c r="C1607" s="11" t="s">
        <v>3555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3556</v>
      </c>
      <c r="C1608" s="11" t="s">
        <v>3557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3558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3560</v>
      </c>
      <c r="C1611" s="11" t="s">
        <v>3561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3562</v>
      </c>
      <c r="C1612" s="11" t="s">
        <v>3563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3564</v>
      </c>
      <c r="C1613" s="11" t="s">
        <v>3565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3566</v>
      </c>
      <c r="C1614" s="11" t="s">
        <v>3567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3568</v>
      </c>
      <c r="C1615" s="11" t="s">
        <v>3569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3570</v>
      </c>
      <c r="C1616" s="11" t="s">
        <v>3571</v>
      </c>
      <c r="D1616" s="11" t="s">
        <v>26</v>
      </c>
      <c r="E1616" s="11" t="s">
        <v>2116</v>
      </c>
      <c r="F1616" s="11" t="s">
        <v>26</v>
      </c>
      <c r="G1616" s="11" t="s">
        <v>26</v>
      </c>
      <c r="H1616" s="12" t="s">
        <v>4429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3572</v>
      </c>
      <c r="C1617" s="11" t="s">
        <v>3573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3574</v>
      </c>
      <c r="C1618" s="11" t="s">
        <v>3575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4430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3576</v>
      </c>
      <c r="C1619" s="11" t="s">
        <v>3577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690</v>
      </c>
      <c r="C1620" s="11" t="s">
        <v>3578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3579</v>
      </c>
      <c r="C1621" s="11" t="s">
        <v>3580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4430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3581</v>
      </c>
      <c r="C1622" s="11" t="s">
        <v>3582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4430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3583</v>
      </c>
      <c r="C1623" s="11" t="s">
        <v>3584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685</v>
      </c>
      <c r="C1624" s="11" t="s">
        <v>3585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4456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3586</v>
      </c>
      <c r="C1625" s="11" t="s">
        <v>3587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4453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3588</v>
      </c>
      <c r="C1626" s="11" t="s">
        <v>3589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3590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3591</v>
      </c>
      <c r="C1628" s="11" t="s">
        <v>3592</v>
      </c>
      <c r="D1628" s="11" t="s">
        <v>26</v>
      </c>
      <c r="E1628" s="11" t="s">
        <v>3593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3594</v>
      </c>
      <c r="D1629" s="11" t="s">
        <v>26</v>
      </c>
      <c r="E1629" s="11" t="s">
        <v>1207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3595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2783</v>
      </c>
      <c r="C1631" s="11" t="s">
        <v>3596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3597</v>
      </c>
      <c r="C1632" s="11" t="s">
        <v>3598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1112</v>
      </c>
      <c r="C1633" s="11" t="s">
        <v>3599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4456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3600</v>
      </c>
      <c r="C1634" s="11" t="s">
        <v>3601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4453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3602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3603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4430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3604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4455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3605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3606</v>
      </c>
      <c r="C1639" s="11" t="s">
        <v>3607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4455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3608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1916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3609</v>
      </c>
      <c r="C1641" s="11" t="s">
        <v>3610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1916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3611</v>
      </c>
      <c r="C1642" s="11" t="s">
        <v>3612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3613</v>
      </c>
      <c r="C1643" s="11" t="s">
        <v>3614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4430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3615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3616</v>
      </c>
      <c r="C1645" s="11" t="s">
        <v>3617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4430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3618</v>
      </c>
      <c r="C1646" s="11" t="s">
        <v>3619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747</v>
      </c>
      <c r="C1647" s="11" t="s">
        <v>3620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2995</v>
      </c>
      <c r="C1648" s="11" t="s">
        <v>3621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3622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3623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3624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3625</v>
      </c>
      <c r="C1652" s="11" t="s">
        <v>3626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4455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3627</v>
      </c>
      <c r="C1653" s="11" t="s">
        <v>3628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4455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1764</v>
      </c>
      <c r="C1654" s="11" t="s">
        <v>3629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3630</v>
      </c>
      <c r="C1655" s="11" t="s">
        <v>3631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3632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3633</v>
      </c>
      <c r="C1657" s="11" t="s">
        <v>3634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3635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4430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3636</v>
      </c>
      <c r="C1659" s="11" t="s">
        <v>3637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4430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706</v>
      </c>
      <c r="C1660" s="11" t="s">
        <v>3638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3639</v>
      </c>
      <c r="C1661" s="11" t="s">
        <v>3640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3641</v>
      </c>
      <c r="C1662" s="11" t="s">
        <v>3642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668</v>
      </c>
      <c r="C1663" s="11" t="s">
        <v>3643</v>
      </c>
      <c r="D1663" s="11" t="s">
        <v>26</v>
      </c>
      <c r="E1663" s="11" t="s">
        <v>3644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2799</v>
      </c>
      <c r="C1664" s="11" t="s">
        <v>3645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3646</v>
      </c>
      <c r="C1665" s="11" t="s">
        <v>3647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3648</v>
      </c>
      <c r="C1666" s="11" t="s">
        <v>3649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3650</v>
      </c>
      <c r="C1667" s="11" t="s">
        <v>3651</v>
      </c>
      <c r="D1667" s="11" t="s">
        <v>26</v>
      </c>
      <c r="E1667" s="11" t="s">
        <v>1658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1813</v>
      </c>
      <c r="C1668" s="11" t="s">
        <v>3652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3653</v>
      </c>
      <c r="D1669" s="11" t="s">
        <v>26</v>
      </c>
      <c r="E1669" s="11" t="s">
        <v>1207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680</v>
      </c>
      <c r="C1670" s="11" t="s">
        <v>3654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4430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3655</v>
      </c>
      <c r="C1671" s="11" t="s">
        <v>3656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4430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3657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3658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3660</v>
      </c>
      <c r="C1675" s="11" t="s">
        <v>3661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3662</v>
      </c>
      <c r="C1676" s="11" t="s">
        <v>3663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2455</v>
      </c>
      <c r="C1677" s="11" t="s">
        <v>3664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3665</v>
      </c>
      <c r="C1678" s="11" t="s">
        <v>3666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3667</v>
      </c>
      <c r="C1679" s="11" t="s">
        <v>3668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3372</v>
      </c>
      <c r="C1680" s="11" t="s">
        <v>3669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3670</v>
      </c>
      <c r="C1681" s="11" t="s">
        <v>3671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3672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4430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2513</v>
      </c>
      <c r="C1683" s="11" t="s">
        <v>3673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3674</v>
      </c>
      <c r="C1684" s="11" t="s">
        <v>3675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3676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4455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3677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4453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730</v>
      </c>
      <c r="C1687" s="11" t="s">
        <v>3678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3679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4455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3680</v>
      </c>
      <c r="C1689" s="11" t="s">
        <v>3681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4455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3682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3683</v>
      </c>
      <c r="C1691" s="11" t="s">
        <v>3684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4455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672</v>
      </c>
      <c r="C1692" s="11" t="s">
        <v>3685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2990</v>
      </c>
      <c r="C1693" s="11" t="s">
        <v>3686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4453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3687</v>
      </c>
      <c r="C1694" s="11" t="s">
        <v>3688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3689</v>
      </c>
      <c r="C1695" s="11" t="s">
        <v>3690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3691</v>
      </c>
      <c r="C1696" s="11" t="s">
        <v>3692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4455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3693</v>
      </c>
      <c r="C1697" s="11" t="s">
        <v>3694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2634</v>
      </c>
      <c r="C1698" s="11" t="s">
        <v>3695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3696</v>
      </c>
      <c r="C1699" s="11" t="s">
        <v>3697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4430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3698</v>
      </c>
      <c r="C1700" s="11" t="s">
        <v>3699</v>
      </c>
      <c r="D1700" s="11" t="s">
        <v>26</v>
      </c>
      <c r="E1700" s="11" t="s">
        <v>2116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3700</v>
      </c>
      <c r="C1701" s="11" t="s">
        <v>3701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3702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3703</v>
      </c>
      <c r="C1703" s="11" t="s">
        <v>3704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3705</v>
      </c>
      <c r="C1704" s="11" t="s">
        <v>3706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3707</v>
      </c>
      <c r="C1705" s="11" t="s">
        <v>3708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4455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2326</v>
      </c>
      <c r="C1706" s="11" t="s">
        <v>3709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3710</v>
      </c>
      <c r="C1707" s="11" t="s">
        <v>3711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3712</v>
      </c>
      <c r="C1708" s="11" t="s">
        <v>3713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3714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4455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3715</v>
      </c>
      <c r="C1710" s="11" t="s">
        <v>3716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3717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3718</v>
      </c>
      <c r="C1712" s="11" t="s">
        <v>3719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3720</v>
      </c>
      <c r="C1713" s="11" t="s">
        <v>3721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3722</v>
      </c>
      <c r="C1714" s="11" t="s">
        <v>3723</v>
      </c>
      <c r="D1714" s="11" t="s">
        <v>26</v>
      </c>
      <c r="E1714" s="11" t="s">
        <v>1207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3724</v>
      </c>
      <c r="C1715" s="11" t="s">
        <v>3725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4453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3726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3727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3728</v>
      </c>
      <c r="C1718" s="11" t="s">
        <v>3729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4430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3730</v>
      </c>
      <c r="C1719" s="11" t="s">
        <v>3731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3732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3733</v>
      </c>
      <c r="C1721" s="11" t="s">
        <v>3734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3667</v>
      </c>
      <c r="C1722" s="11" t="s">
        <v>3735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4456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3736</v>
      </c>
      <c r="C1723" s="11" t="s">
        <v>3737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3738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3739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4453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3740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3741</v>
      </c>
      <c r="C1727" s="11" t="s">
        <v>3742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4430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3509</v>
      </c>
      <c r="C1728" s="11" t="s">
        <v>3743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4456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3744</v>
      </c>
      <c r="C1729" s="11" t="s">
        <v>3745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4430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3746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3747</v>
      </c>
      <c r="C1731" s="11" t="s">
        <v>3748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3749</v>
      </c>
      <c r="C1732" s="11" t="s">
        <v>3750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3751</v>
      </c>
      <c r="C1733" s="11" t="s">
        <v>3752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3753</v>
      </c>
      <c r="C1734" s="11" t="s">
        <v>3754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3755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3756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3757</v>
      </c>
      <c r="C1737" s="11" t="s">
        <v>3758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3759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1106</v>
      </c>
      <c r="C1739" s="11" t="s">
        <v>3760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2233</v>
      </c>
      <c r="C1740" s="11" t="s">
        <v>3761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3762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3763</v>
      </c>
      <c r="C1742" s="11" t="s">
        <v>3764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3765</v>
      </c>
      <c r="C1743" s="11" t="s">
        <v>3766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3767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4455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3768</v>
      </c>
      <c r="C1745" s="11" t="s">
        <v>3769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3770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3771</v>
      </c>
      <c r="C1747" s="11" t="s">
        <v>3772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4430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3773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3774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4456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3775</v>
      </c>
      <c r="C1750" s="11" t="s">
        <v>3776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4453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3591</v>
      </c>
      <c r="C1751" s="11" t="s">
        <v>3777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3778</v>
      </c>
      <c r="D1752" s="11" t="s">
        <v>26</v>
      </c>
      <c r="E1752" s="11" t="s">
        <v>1207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3779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4453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3780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3781</v>
      </c>
      <c r="C1755" s="11" t="s">
        <v>3782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4455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3783</v>
      </c>
      <c r="C1756" s="11" t="s">
        <v>3784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4455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3785</v>
      </c>
      <c r="C1757" s="11" t="s">
        <v>3786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734</v>
      </c>
      <c r="C1758" s="11" t="s">
        <v>3787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4456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3788</v>
      </c>
      <c r="C1759" s="11" t="s">
        <v>3789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4430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3790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4455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1586</v>
      </c>
      <c r="C1761" s="11" t="s">
        <v>3791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708</v>
      </c>
      <c r="C1762" s="11" t="s">
        <v>3792</v>
      </c>
      <c r="D1762" s="11" t="s">
        <v>26</v>
      </c>
      <c r="E1762" s="11" t="s">
        <v>3793</v>
      </c>
      <c r="F1762" s="11" t="s">
        <v>26</v>
      </c>
      <c r="G1762" s="11">
        <v>24325</v>
      </c>
      <c r="H1762" s="12" t="s">
        <v>4455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3794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1262</v>
      </c>
      <c r="C1764" s="11" t="s">
        <v>3795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4455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3796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679</v>
      </c>
      <c r="C1766" s="11" t="s">
        <v>3797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3798</v>
      </c>
      <c r="C1767" s="11" t="s">
        <v>3799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3800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660</v>
      </c>
      <c r="C1769" s="11" t="s">
        <v>3801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3802</v>
      </c>
      <c r="C1770" s="11" t="s">
        <v>3803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4430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3804</v>
      </c>
      <c r="D1771" s="11" t="s">
        <v>26</v>
      </c>
      <c r="E1771" s="11" t="s">
        <v>3644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684</v>
      </c>
      <c r="C1772" s="11" t="s">
        <v>3805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4430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3806</v>
      </c>
      <c r="C1773" s="11" t="s">
        <v>3807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3808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2771</v>
      </c>
      <c r="C1775" s="11" t="s">
        <v>3809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1226</v>
      </c>
      <c r="C1776" s="11" t="s">
        <v>3810</v>
      </c>
      <c r="D1776" s="11" t="s">
        <v>26</v>
      </c>
      <c r="E1776" s="11" t="s">
        <v>2116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3811</v>
      </c>
      <c r="C1777" s="11" t="s">
        <v>3812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1060</v>
      </c>
      <c r="C1778" s="11" t="s">
        <v>3813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3814</v>
      </c>
      <c r="C1779" s="11" t="s">
        <v>3815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3816</v>
      </c>
      <c r="C1780" s="11" t="s">
        <v>3817</v>
      </c>
      <c r="D1780" s="11" t="s">
        <v>26</v>
      </c>
      <c r="E1780" s="11" t="s">
        <v>1207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3818</v>
      </c>
      <c r="C1781" s="11" t="s">
        <v>3819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3440</v>
      </c>
      <c r="C1782" s="11" t="s">
        <v>3820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3821</v>
      </c>
      <c r="C1783" s="11" t="s">
        <v>3822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3823</v>
      </c>
      <c r="C1784" s="11" t="s">
        <v>3824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3825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4453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3826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1058</v>
      </c>
      <c r="C1787" s="11" t="s">
        <v>3827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4430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3828</v>
      </c>
      <c r="C1788" s="11" t="s">
        <v>3829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3830</v>
      </c>
      <c r="C1789" s="11" t="s">
        <v>3831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1320</v>
      </c>
      <c r="C1790" s="11" t="s">
        <v>3832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1127</v>
      </c>
      <c r="C1791" s="11" t="s">
        <v>3833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3834</v>
      </c>
      <c r="C1792" s="11" t="s">
        <v>3835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3836</v>
      </c>
      <c r="C1793" s="11" t="s">
        <v>3837</v>
      </c>
      <c r="D1793" s="11" t="s">
        <v>26</v>
      </c>
      <c r="E1793" s="11" t="s">
        <v>2116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2983</v>
      </c>
      <c r="C1794" s="11" t="s">
        <v>3838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3839</v>
      </c>
      <c r="C1795" s="11" t="s">
        <v>3840</v>
      </c>
      <c r="D1795" s="11" t="s">
        <v>26</v>
      </c>
      <c r="E1795" s="11" t="s">
        <v>3841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731</v>
      </c>
      <c r="C1796" s="11" t="s">
        <v>3842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691</v>
      </c>
      <c r="C1797" s="11" t="s">
        <v>3843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3844</v>
      </c>
      <c r="C1798" s="11" t="s">
        <v>3845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731</v>
      </c>
      <c r="C1799" s="11" t="s">
        <v>3846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4453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3847</v>
      </c>
      <c r="C1800" s="11" t="s">
        <v>3848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3403</v>
      </c>
      <c r="C1801" s="11" t="s">
        <v>3849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1390</v>
      </c>
      <c r="C1802" s="11" t="s">
        <v>3850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3851</v>
      </c>
      <c r="C1803" s="11" t="s">
        <v>3852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3853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1671</v>
      </c>
      <c r="C1805" s="11" t="s">
        <v>3854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3855</v>
      </c>
      <c r="C1806" s="11" t="s">
        <v>3856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4454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3328</v>
      </c>
      <c r="C1807" s="11" t="s">
        <v>3857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3858</v>
      </c>
      <c r="C1808" s="11" t="s">
        <v>3859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3860</v>
      </c>
      <c r="C1809" s="11" t="s">
        <v>3861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4430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3862</v>
      </c>
      <c r="C1810" s="11" t="s">
        <v>3863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3864</v>
      </c>
      <c r="C1811" s="11" t="s">
        <v>3865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3866</v>
      </c>
      <c r="C1812" s="11" t="s">
        <v>3867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4430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3868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1907</v>
      </c>
      <c r="C1814" s="11" t="s">
        <v>3869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1365</v>
      </c>
      <c r="C1815" s="11" t="s">
        <v>3870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4430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3871</v>
      </c>
      <c r="C1816" s="11" t="s">
        <v>3872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4453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3873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3874</v>
      </c>
      <c r="C1818" s="11" t="s">
        <v>3875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4455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668</v>
      </c>
      <c r="C1819" s="11" t="s">
        <v>3876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3877</v>
      </c>
      <c r="C1820" s="11" t="s">
        <v>3878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3879</v>
      </c>
      <c r="C1821" s="11" t="s">
        <v>3880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3881</v>
      </c>
      <c r="C1822" s="11" t="s">
        <v>3882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4431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3883</v>
      </c>
    </row>
    <row r="1823" spans="1:27" x14ac:dyDescent="0.25">
      <c r="A1823" s="10">
        <v>45685</v>
      </c>
      <c r="B1823" s="11" t="s">
        <v>637</v>
      </c>
      <c r="C1823" s="11" t="s">
        <v>3884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3885</v>
      </c>
      <c r="C1824" s="11" t="s">
        <v>3886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4456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3887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669</v>
      </c>
      <c r="C1826" s="11" t="s">
        <v>3888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710</v>
      </c>
      <c r="C1827" s="11" t="s">
        <v>3889</v>
      </c>
      <c r="D1827" s="11" t="s">
        <v>26</v>
      </c>
      <c r="E1827" s="11" t="s">
        <v>3841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3890</v>
      </c>
      <c r="C1828" s="11" t="s">
        <v>3891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3892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3893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4456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3894</v>
      </c>
      <c r="C1831" s="11" t="s">
        <v>3895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3896</v>
      </c>
      <c r="C1832" s="11" t="s">
        <v>3897</v>
      </c>
      <c r="D1832" s="11" t="s">
        <v>26</v>
      </c>
      <c r="E1832" s="11" t="s">
        <v>1207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3898</v>
      </c>
      <c r="C1833" s="11" t="s">
        <v>3899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3900</v>
      </c>
      <c r="C1834" s="11" t="s">
        <v>3901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3902</v>
      </c>
      <c r="C1835" s="11" t="s">
        <v>3903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3904</v>
      </c>
      <c r="C1836" s="11" t="s">
        <v>3905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4456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3906</v>
      </c>
      <c r="C1837" s="11" t="s">
        <v>3907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3908</v>
      </c>
      <c r="C1838" s="11" t="s">
        <v>3909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3910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4453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3911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4456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3912</v>
      </c>
      <c r="C1841" s="11" t="s">
        <v>3913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4454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3914</v>
      </c>
      <c r="C1842" s="11" t="s">
        <v>3915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4453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3916</v>
      </c>
      <c r="C1843" s="11" t="s">
        <v>3917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1916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3918</v>
      </c>
      <c r="C1844" s="11" t="s">
        <v>3919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1916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3920</v>
      </c>
      <c r="C1845" s="11" t="s">
        <v>3921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3922</v>
      </c>
      <c r="C1846" s="11" t="s">
        <v>3923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1349</v>
      </c>
      <c r="C1847" s="11" t="s">
        <v>3924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707</v>
      </c>
      <c r="C1848" s="11" t="s">
        <v>3925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3926</v>
      </c>
      <c r="C1849" s="11" t="s">
        <v>3927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4430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4430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3929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3930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3931</v>
      </c>
      <c r="C1853" s="11" t="s">
        <v>3932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3933</v>
      </c>
      <c r="C1854" s="11" t="s">
        <v>3934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3935</v>
      </c>
      <c r="D1855" s="11" t="s">
        <v>26</v>
      </c>
      <c r="E1855" s="11" t="s">
        <v>1207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3936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4453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3937</v>
      </c>
      <c r="C1857" s="11" t="s">
        <v>3938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4453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3939</v>
      </c>
      <c r="C1858" s="11" t="s">
        <v>3940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3941</v>
      </c>
      <c r="C1859" s="11" t="s">
        <v>3942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4456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3943</v>
      </c>
      <c r="C1860" s="11" t="s">
        <v>3944</v>
      </c>
      <c r="D1860" s="11" t="s">
        <v>26</v>
      </c>
      <c r="E1860" s="11" t="s">
        <v>3945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3946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4456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3947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3948</v>
      </c>
      <c r="C1863" s="11" t="s">
        <v>3949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3950</v>
      </c>
      <c r="C1864" s="11" t="s">
        <v>3951</v>
      </c>
      <c r="D1864" s="11" t="s">
        <v>26</v>
      </c>
      <c r="E1864" s="11" t="s">
        <v>2133</v>
      </c>
      <c r="F1864" s="11" t="s">
        <v>26</v>
      </c>
      <c r="G1864" s="11">
        <v>112379</v>
      </c>
      <c r="H1864" s="12" t="s">
        <v>4453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3952</v>
      </c>
      <c r="C1865" s="11" t="s">
        <v>3953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4430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3954</v>
      </c>
      <c r="C1866" s="11" t="s">
        <v>3955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3956</v>
      </c>
      <c r="C1867" s="11" t="s">
        <v>3957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3958</v>
      </c>
      <c r="C1868" s="11" t="s">
        <v>3959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3960</v>
      </c>
      <c r="C1869" s="11" t="s">
        <v>3961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3388</v>
      </c>
      <c r="C1870" s="11" t="s">
        <v>3962</v>
      </c>
      <c r="D1870" s="11" t="s">
        <v>26</v>
      </c>
      <c r="E1870" s="11" t="s">
        <v>3945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3963</v>
      </c>
      <c r="C1871" s="11" t="s">
        <v>3964</v>
      </c>
      <c r="D1871" s="11" t="s">
        <v>26</v>
      </c>
      <c r="E1871" s="11" t="s">
        <v>1658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3965</v>
      </c>
      <c r="C1872" s="11" t="s">
        <v>3966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4453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3967</v>
      </c>
      <c r="C1873" s="11" t="s">
        <v>3968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4453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3969</v>
      </c>
      <c r="C1874" s="11" t="s">
        <v>3970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3971</v>
      </c>
      <c r="C1875" s="11" t="s">
        <v>3972</v>
      </c>
      <c r="D1875" s="11" t="s">
        <v>26</v>
      </c>
      <c r="E1875" s="11" t="s">
        <v>1667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3973</v>
      </c>
      <c r="C1876" s="11" t="s">
        <v>3974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4430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3975</v>
      </c>
      <c r="C1877" s="11" t="s">
        <v>3976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3977</v>
      </c>
      <c r="C1878" s="11" t="s">
        <v>3978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3979</v>
      </c>
      <c r="C1879" s="11" t="s">
        <v>3980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660</v>
      </c>
      <c r="C1880" s="11" t="s">
        <v>3981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4430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3982</v>
      </c>
      <c r="C1881" s="11" t="s">
        <v>3983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4455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3982</v>
      </c>
      <c r="C1882" s="11" t="s">
        <v>3984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4455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1164</v>
      </c>
      <c r="C1883" s="11" t="s">
        <v>3985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4430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3986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3987</v>
      </c>
      <c r="C1885" s="11" t="s">
        <v>3988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3990</v>
      </c>
      <c r="C1887" s="11" t="s">
        <v>3991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3992</v>
      </c>
      <c r="C1888" s="11" t="s">
        <v>3993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3906</v>
      </c>
      <c r="C1889" s="11" t="s">
        <v>3994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3995</v>
      </c>
      <c r="C1890" s="11" t="s">
        <v>3996</v>
      </c>
      <c r="D1890" s="11" t="s">
        <v>26</v>
      </c>
      <c r="E1890" s="11" t="s">
        <v>2116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3997</v>
      </c>
      <c r="C1891" s="11" t="s">
        <v>3998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3999</v>
      </c>
      <c r="C1892" s="11" t="s">
        <v>4000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4001</v>
      </c>
      <c r="C1893" s="11" t="s">
        <v>4002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4003</v>
      </c>
      <c r="C1894" s="11" t="s">
        <v>4004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4005</v>
      </c>
      <c r="C1895" s="11" t="s">
        <v>4006</v>
      </c>
      <c r="D1895" s="11" t="s">
        <v>26</v>
      </c>
      <c r="E1895" s="11" t="s">
        <v>1207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1205</v>
      </c>
      <c r="C1896" s="11" t="s">
        <v>4007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1916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4008</v>
      </c>
      <c r="C1897" s="11" t="s">
        <v>4009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2745</v>
      </c>
      <c r="C1898" s="11" t="s">
        <v>4010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4456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4011</v>
      </c>
      <c r="C1899" s="11" t="s">
        <v>4012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1916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4013</v>
      </c>
      <c r="C1900" s="11" t="s">
        <v>4014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4015</v>
      </c>
      <c r="C1901" s="11" t="s">
        <v>4016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4430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4017</v>
      </c>
      <c r="C1902" s="11" t="s">
        <v>4018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4019</v>
      </c>
      <c r="C1903" s="11" t="s">
        <v>4020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4455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4021</v>
      </c>
      <c r="C1904" s="11" t="s">
        <v>4022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4023</v>
      </c>
      <c r="C1905" s="11" t="s">
        <v>4024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4025</v>
      </c>
      <c r="C1906" s="11" t="s">
        <v>4026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678</v>
      </c>
      <c r="C1907" s="11" t="s">
        <v>4027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4028</v>
      </c>
      <c r="C1908" s="11" t="s">
        <v>4029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4430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4030</v>
      </c>
      <c r="C1909" s="11" t="s">
        <v>4031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4032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4033</v>
      </c>
      <c r="C1911" s="11" t="s">
        <v>4034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4453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4035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4456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726</v>
      </c>
      <c r="C1913" s="11" t="s">
        <v>4036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4430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4037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4456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4038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4039</v>
      </c>
      <c r="C1916" s="11" t="s">
        <v>4040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4430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4041</v>
      </c>
      <c r="D1917" s="11" t="s">
        <v>26</v>
      </c>
      <c r="E1917" s="11" t="s">
        <v>1658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4042</v>
      </c>
      <c r="C1918" s="11" t="s">
        <v>4043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4044</v>
      </c>
      <c r="C1919" s="11" t="s">
        <v>4045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4455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4046</v>
      </c>
      <c r="C1920" s="11" t="s">
        <v>4047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4048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4049</v>
      </c>
      <c r="C1922" s="11" t="s">
        <v>4050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4051</v>
      </c>
      <c r="D1923" s="11" t="s">
        <v>26</v>
      </c>
      <c r="E1923" s="11" t="s">
        <v>3945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4052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4053</v>
      </c>
      <c r="C1925" s="11" t="s">
        <v>4054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4455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4055</v>
      </c>
      <c r="C1926" s="11" t="s">
        <v>4056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4057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4059</v>
      </c>
      <c r="C1929" s="11" t="s">
        <v>4060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4456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4061</v>
      </c>
      <c r="C1930" s="11" t="s">
        <v>4062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4430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2457</v>
      </c>
      <c r="C1931" s="11" t="s">
        <v>4063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1916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3070</v>
      </c>
      <c r="C1932" s="11" t="s">
        <v>4064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4065</v>
      </c>
      <c r="C1933" s="11" t="s">
        <v>4066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4456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1240</v>
      </c>
      <c r="C1934" s="11" t="s">
        <v>4067</v>
      </c>
      <c r="D1934" s="11" t="s">
        <v>26</v>
      </c>
      <c r="E1934" s="11" t="s">
        <v>3945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4068</v>
      </c>
      <c r="C1935" s="11" t="s">
        <v>4069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4070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4455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4071</v>
      </c>
      <c r="C1937" s="11" t="s">
        <v>4072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4453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4073</v>
      </c>
      <c r="C1938" s="11" t="s">
        <v>4074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4454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4075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4076</v>
      </c>
      <c r="C1940" s="11" t="s">
        <v>4077</v>
      </c>
      <c r="D1940" s="11" t="s">
        <v>26</v>
      </c>
      <c r="E1940" s="11" t="s">
        <v>1667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4078</v>
      </c>
      <c r="C1941" s="11" t="s">
        <v>4079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4080</v>
      </c>
      <c r="C1942" s="11" t="s">
        <v>4081</v>
      </c>
      <c r="D1942" s="11" t="s">
        <v>26</v>
      </c>
      <c r="E1942" s="11" t="s">
        <v>1207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4082</v>
      </c>
      <c r="C1943" s="11" t="s">
        <v>4083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2823</v>
      </c>
      <c r="C1944" s="11" t="s">
        <v>4084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4085</v>
      </c>
      <c r="C1945" s="11" t="s">
        <v>4086</v>
      </c>
      <c r="D1945" s="11" t="s">
        <v>26</v>
      </c>
      <c r="E1945" s="11" t="s">
        <v>3945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4039</v>
      </c>
      <c r="C1946" s="11" t="s">
        <v>4087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4088</v>
      </c>
      <c r="C1947" s="11" t="s">
        <v>4089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4090</v>
      </c>
      <c r="C1948" s="11" t="s">
        <v>4091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4092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4430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3296</v>
      </c>
      <c r="C1950" s="11" t="s">
        <v>4093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4094</v>
      </c>
      <c r="C1951" s="11" t="s">
        <v>4095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4453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723</v>
      </c>
      <c r="C1952" s="11" t="s">
        <v>4096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4097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4456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4098</v>
      </c>
      <c r="D1954" s="11" t="s">
        <v>26</v>
      </c>
      <c r="E1954" s="11" t="s">
        <v>3945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4099</v>
      </c>
      <c r="C1955" s="11" t="s">
        <v>4100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4101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4102</v>
      </c>
      <c r="C1957" s="11" t="s">
        <v>4103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4456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4104</v>
      </c>
      <c r="C1958" s="11" t="s">
        <v>4105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1671</v>
      </c>
      <c r="C1959" s="11" t="s">
        <v>4106</v>
      </c>
      <c r="D1959" s="11" t="s">
        <v>26</v>
      </c>
      <c r="E1959" s="11" t="s">
        <v>3945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4107</v>
      </c>
      <c r="C1960" s="11" t="s">
        <v>4108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4109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4455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4110</v>
      </c>
      <c r="C1962" s="11" t="s">
        <v>4111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4430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4112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4113</v>
      </c>
      <c r="C1964" s="11" t="s">
        <v>4114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1916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4115</v>
      </c>
      <c r="D1965" s="11" t="s">
        <v>26</v>
      </c>
      <c r="E1965" s="11" t="s">
        <v>1207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4116</v>
      </c>
      <c r="C1966" s="11" t="s">
        <v>4117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4118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1916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4119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4456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4120</v>
      </c>
      <c r="C1969" s="11" t="s">
        <v>4121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4430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3733</v>
      </c>
      <c r="C1970" s="11" t="s">
        <v>4122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4456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4123</v>
      </c>
      <c r="D1971" s="11" t="s">
        <v>26</v>
      </c>
      <c r="E1971" s="11" t="s">
        <v>3945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4124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4125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4126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4127</v>
      </c>
      <c r="C1975" s="11" t="s">
        <v>4128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4129</v>
      </c>
      <c r="D1976" s="11" t="s">
        <v>26</v>
      </c>
      <c r="E1976" s="11" t="s">
        <v>3945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2477</v>
      </c>
      <c r="C1977" s="11" t="s">
        <v>4130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4131</v>
      </c>
      <c r="C1978" s="11" t="s">
        <v>4132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4133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4456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3505</v>
      </c>
      <c r="C1980" s="11" t="s">
        <v>4134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4135</v>
      </c>
      <c r="C1981" s="11" t="s">
        <v>4136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4137</v>
      </c>
      <c r="C1982" s="11" t="s">
        <v>4138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4139</v>
      </c>
      <c r="C1983" s="11" t="s">
        <v>4140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4141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4453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4142</v>
      </c>
      <c r="C1985" s="11" t="s">
        <v>4143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2899</v>
      </c>
      <c r="C1986" s="11" t="s">
        <v>4144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4430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4145</v>
      </c>
      <c r="C1987" s="11" t="s">
        <v>4146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4455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4147</v>
      </c>
      <c r="C1988" s="11" t="s">
        <v>4148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4455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678</v>
      </c>
      <c r="C1989" s="11" t="s">
        <v>4149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3662</v>
      </c>
      <c r="C1990" s="11" t="s">
        <v>4150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4142</v>
      </c>
      <c r="C1991" s="11" t="s">
        <v>4151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4152</v>
      </c>
      <c r="C1992" s="11" t="s">
        <v>4153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4154</v>
      </c>
      <c r="C1993" s="11" t="s">
        <v>4155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4156</v>
      </c>
      <c r="C1994" s="11" t="s">
        <v>4157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4158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4455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4160</v>
      </c>
      <c r="C1997" s="11" t="s">
        <v>4161</v>
      </c>
      <c r="D1997" s="11" t="s">
        <v>26</v>
      </c>
      <c r="E1997" s="11" t="s">
        <v>3793</v>
      </c>
      <c r="F1997" s="11" t="s">
        <v>26</v>
      </c>
      <c r="G1997" s="11">
        <v>24326</v>
      </c>
      <c r="H1997" s="12" t="s">
        <v>4455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4162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4163</v>
      </c>
      <c r="C1999" s="11" t="s">
        <v>4164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4455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691</v>
      </c>
      <c r="C2000" s="11" t="s">
        <v>4165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4430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4166</v>
      </c>
      <c r="C2001" s="11" t="s">
        <v>4167</v>
      </c>
      <c r="D2001" s="11" t="s">
        <v>26</v>
      </c>
      <c r="E2001" s="11" t="s">
        <v>4168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1720</v>
      </c>
      <c r="C2002" s="11" t="s">
        <v>4169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1367</v>
      </c>
      <c r="C2003" s="11" t="s">
        <v>4170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4171</v>
      </c>
      <c r="D2004" s="11" t="s">
        <v>26</v>
      </c>
      <c r="E2004" s="11" t="s">
        <v>3841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661</v>
      </c>
      <c r="C2005" s="11" t="s">
        <v>4172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744</v>
      </c>
      <c r="C2006" s="11" t="s">
        <v>4173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4174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1916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4175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4176</v>
      </c>
      <c r="C2009" s="11" t="s">
        <v>4177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4178</v>
      </c>
      <c r="C2010" s="11" t="s">
        <v>4179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4453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4180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689</v>
      </c>
      <c r="C2012" s="11" t="s">
        <v>4181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4453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1230</v>
      </c>
      <c r="C2013" s="11" t="s">
        <v>4182</v>
      </c>
      <c r="D2013" s="11" t="s">
        <v>26</v>
      </c>
      <c r="E2013" s="11" t="s">
        <v>1207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4183</v>
      </c>
      <c r="C2014" s="11" t="s">
        <v>4184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669</v>
      </c>
      <c r="C2015" s="11" t="s">
        <v>4185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4186</v>
      </c>
      <c r="C2016" s="11" t="s">
        <v>4187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4188</v>
      </c>
      <c r="C2017" s="11" t="s">
        <v>4189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4190</v>
      </c>
      <c r="C2018" s="11" t="s">
        <v>4191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4192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4193</v>
      </c>
      <c r="C2020" s="11" t="s">
        <v>4194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2771</v>
      </c>
      <c r="C2021" s="11" t="s">
        <v>4195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4196</v>
      </c>
      <c r="C2022" s="11" t="s">
        <v>4197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4198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3509</v>
      </c>
      <c r="C2024" s="11" t="s">
        <v>4199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4200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4455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4201</v>
      </c>
      <c r="C2026" s="11" t="s">
        <v>4202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4203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4204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4430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4205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4455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733</v>
      </c>
      <c r="C2030" s="11" t="s">
        <v>4206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4207</v>
      </c>
      <c r="C2031" s="11" t="s">
        <v>4208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4430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1671</v>
      </c>
      <c r="C2032" s="11" t="s">
        <v>4209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4210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1916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4211</v>
      </c>
      <c r="C2034" s="11" t="s">
        <v>4212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4213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1367</v>
      </c>
      <c r="C2036" s="11" t="s">
        <v>4214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1916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4215</v>
      </c>
      <c r="C2037" s="11" t="s">
        <v>4216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1860</v>
      </c>
      <c r="C2038" s="11" t="s">
        <v>4217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4218</v>
      </c>
      <c r="C2039" s="11" t="s">
        <v>4219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4220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4221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4430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4222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4223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4430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4224</v>
      </c>
      <c r="C2044" s="11" t="s">
        <v>4225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4430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4226</v>
      </c>
      <c r="C2045" s="11" t="s">
        <v>4227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3586</v>
      </c>
      <c r="C2046" s="11" t="s">
        <v>4228</v>
      </c>
      <c r="D2046" s="11" t="s">
        <v>26</v>
      </c>
      <c r="E2046" s="11" t="s">
        <v>3945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4229</v>
      </c>
      <c r="C2047" s="11" t="s">
        <v>4230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4231</v>
      </c>
      <c r="C2048" s="11" t="s">
        <v>4232</v>
      </c>
      <c r="D2048" s="11" t="s">
        <v>26</v>
      </c>
      <c r="E2048" s="11" t="s">
        <v>1207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4233</v>
      </c>
      <c r="C2049" s="11" t="s">
        <v>4234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4235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4236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2542</v>
      </c>
      <c r="C2052" s="11" t="s">
        <v>4237</v>
      </c>
      <c r="D2052" s="11" t="s">
        <v>26</v>
      </c>
      <c r="E2052" s="11" t="s">
        <v>3945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4238</v>
      </c>
      <c r="C2053" s="11" t="s">
        <v>4239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1963</v>
      </c>
      <c r="C2054" s="11" t="s">
        <v>4240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4241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4242</v>
      </c>
      <c r="C2056" s="11" t="s">
        <v>4243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3035</v>
      </c>
      <c r="C2057" s="11" t="s">
        <v>4244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1916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4245</v>
      </c>
      <c r="C2058" s="11" t="s">
        <v>4246</v>
      </c>
      <c r="D2058" s="11" t="s">
        <v>26</v>
      </c>
      <c r="E2058" s="11" t="s">
        <v>3945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4247</v>
      </c>
      <c r="C2059" s="11" t="s">
        <v>4248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4249</v>
      </c>
      <c r="C2060" s="11" t="s">
        <v>4250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4251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4252</v>
      </c>
      <c r="C2062" s="11" t="s">
        <v>4253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4254</v>
      </c>
      <c r="C2063" s="11" t="s">
        <v>4255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4256</v>
      </c>
      <c r="D2064" s="11" t="s">
        <v>26</v>
      </c>
      <c r="E2064" s="11" t="s">
        <v>3945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4257</v>
      </c>
      <c r="C2065" s="11" t="s">
        <v>4258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1916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4259</v>
      </c>
      <c r="C2066" s="11" t="s">
        <v>4260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4430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4261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4262</v>
      </c>
      <c r="C2068" s="11" t="s">
        <v>4263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4264</v>
      </c>
      <c r="C2069" s="11" t="s">
        <v>4265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4266</v>
      </c>
      <c r="C2070" s="11" t="s">
        <v>4267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4430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4268</v>
      </c>
      <c r="C2071" s="11" t="s">
        <v>4269</v>
      </c>
      <c r="D2071" s="11" t="s">
        <v>26</v>
      </c>
      <c r="E2071" s="11" t="s">
        <v>3644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4270</v>
      </c>
      <c r="C2072" s="11" t="s">
        <v>4271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4272</v>
      </c>
      <c r="D2073" s="11" t="s">
        <v>26</v>
      </c>
      <c r="E2073" s="11" t="s">
        <v>3945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4273</v>
      </c>
      <c r="C2074" s="11" t="s">
        <v>4274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3783</v>
      </c>
      <c r="C2075" s="11" t="s">
        <v>4275</v>
      </c>
      <c r="D2075" s="11" t="s">
        <v>26</v>
      </c>
      <c r="E2075" s="11" t="s">
        <v>1207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3781</v>
      </c>
      <c r="C2076" s="11" t="s">
        <v>4276</v>
      </c>
      <c r="D2076" s="11" t="s">
        <v>26</v>
      </c>
      <c r="E2076" s="11" t="s">
        <v>3945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4277</v>
      </c>
      <c r="C2077" s="11" t="s">
        <v>4278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4455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1230</v>
      </c>
      <c r="C2078" s="11" t="s">
        <v>4279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4455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1129</v>
      </c>
      <c r="C2079" s="11" t="s">
        <v>4280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4430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4281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4282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4430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4283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679</v>
      </c>
      <c r="C2083" s="11" t="s">
        <v>4284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4430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4285</v>
      </c>
      <c r="C2084" s="11" t="s">
        <v>4286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2547</v>
      </c>
      <c r="C2085" s="11" t="s">
        <v>4287</v>
      </c>
      <c r="D2085" s="11" t="s">
        <v>26</v>
      </c>
      <c r="E2085" s="11" t="s">
        <v>2116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4288</v>
      </c>
      <c r="C2086" s="11" t="s">
        <v>4289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675</v>
      </c>
      <c r="C2087" s="11" t="s">
        <v>4290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4190</v>
      </c>
      <c r="C2088" s="11" t="s">
        <v>4291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4455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4292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4293</v>
      </c>
      <c r="C2090" s="11" t="s">
        <v>4294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4295</v>
      </c>
      <c r="C2091" s="11" t="s">
        <v>4296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4297</v>
      </c>
      <c r="C2092" s="11" t="s">
        <v>4298</v>
      </c>
      <c r="D2092" s="11" t="s">
        <v>26</v>
      </c>
      <c r="E2092" s="11" t="s">
        <v>1732</v>
      </c>
      <c r="F2092" s="11" t="s">
        <v>26</v>
      </c>
      <c r="G2092" s="11">
        <v>3295</v>
      </c>
      <c r="H2092" s="12" t="s">
        <v>4455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4299</v>
      </c>
      <c r="C2093" s="11" t="s">
        <v>4300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4301</v>
      </c>
      <c r="C2094" s="11" t="s">
        <v>4302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4303</v>
      </c>
      <c r="C2095" s="11" t="s">
        <v>4304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4305</v>
      </c>
      <c r="C2096" s="11" t="s">
        <v>4306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1157</v>
      </c>
      <c r="C2097" s="11" t="s">
        <v>4307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4308</v>
      </c>
      <c r="C2098" s="11" t="s">
        <v>4309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4430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4310</v>
      </c>
      <c r="C2099" s="11" t="s">
        <v>4311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4312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4430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4313</v>
      </c>
      <c r="C2101" s="11" t="s">
        <v>4314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1916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4315</v>
      </c>
      <c r="C2102" s="11" t="s">
        <v>4316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4430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4317</v>
      </c>
      <c r="C2103" s="11" t="s">
        <v>4318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1916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4320</v>
      </c>
      <c r="C2105" s="11" t="s">
        <v>4321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4455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4322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4323</v>
      </c>
      <c r="C2107" s="11" t="s">
        <v>4324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4325</v>
      </c>
      <c r="C2108" s="11" t="s">
        <v>4326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4327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4455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722</v>
      </c>
      <c r="C2110" s="11" t="s">
        <v>4328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4329</v>
      </c>
      <c r="D2111" s="11" t="s">
        <v>26</v>
      </c>
      <c r="E2111" s="11" t="s">
        <v>4330</v>
      </c>
      <c r="F2111" s="11" t="s">
        <v>26</v>
      </c>
      <c r="G2111" s="11">
        <v>2955</v>
      </c>
      <c r="H2111" s="12" t="s">
        <v>4449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4331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4332</v>
      </c>
      <c r="C2113" s="11" t="s">
        <v>4333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4334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4335</v>
      </c>
      <c r="C2115" s="11" t="s">
        <v>4336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4430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4337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4430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1872</v>
      </c>
      <c r="C2117" s="11" t="s">
        <v>4338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2717</v>
      </c>
      <c r="C2118" s="11" t="s">
        <v>4339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4088</v>
      </c>
      <c r="C2119" s="11" t="s">
        <v>4340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4341</v>
      </c>
      <c r="C2120" s="11" t="s">
        <v>4342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4343</v>
      </c>
      <c r="C2121" s="11" t="s">
        <v>4344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4430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4345</v>
      </c>
      <c r="C2122" s="11" t="s">
        <v>4346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1712</v>
      </c>
      <c r="C2123" s="11" t="s">
        <v>4347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724</v>
      </c>
      <c r="C2124" s="11" t="s">
        <v>4348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1916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4349</v>
      </c>
      <c r="C2125" s="11" t="s">
        <v>4350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4351</v>
      </c>
      <c r="C2126" s="11" t="s">
        <v>4352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4430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4353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1916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4354</v>
      </c>
      <c r="C2128" s="11" t="s">
        <v>4355</v>
      </c>
      <c r="D2128" s="11" t="s">
        <v>26</v>
      </c>
      <c r="E2128" s="11" t="s">
        <v>1207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4356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4357</v>
      </c>
      <c r="C2130" s="11" t="s">
        <v>4358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4357</v>
      </c>
      <c r="C2131" s="11" t="s">
        <v>4359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1770</v>
      </c>
      <c r="C2132" s="11" t="s">
        <v>4360</v>
      </c>
      <c r="D2132" s="11" t="s">
        <v>26</v>
      </c>
      <c r="E2132" s="11" t="s">
        <v>4168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4361</v>
      </c>
      <c r="C2133" s="11" t="s">
        <v>4362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4363</v>
      </c>
      <c r="C2134" s="11" t="s">
        <v>4364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4365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4366</v>
      </c>
      <c r="C2136" s="11" t="s">
        <v>4367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4369</v>
      </c>
      <c r="C2138" s="11" t="s">
        <v>4370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4430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688</v>
      </c>
      <c r="C2139" s="11" t="s">
        <v>4371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4372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4373</v>
      </c>
      <c r="C2141" s="11" t="s">
        <v>4374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4375</v>
      </c>
      <c r="C2142" s="11" t="s">
        <v>4376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1469</v>
      </c>
      <c r="C2143" s="11" t="s">
        <v>4377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4378</v>
      </c>
      <c r="C2144" s="11" t="s">
        <v>4379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4380</v>
      </c>
      <c r="C2145" s="11" t="s">
        <v>4381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4382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4383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3625</v>
      </c>
      <c r="C2148" s="11" t="s">
        <v>4384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4385</v>
      </c>
      <c r="D2149" s="11" t="s">
        <v>26</v>
      </c>
      <c r="E2149" s="11" t="s">
        <v>4330</v>
      </c>
      <c r="F2149" s="11" t="s">
        <v>26</v>
      </c>
      <c r="G2149" s="11">
        <v>2956</v>
      </c>
      <c r="H2149" s="12" t="s">
        <v>4449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4386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4387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4430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4389</v>
      </c>
      <c r="C2153" s="11" t="s">
        <v>4390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4391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1916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4392</v>
      </c>
      <c r="C2155" s="11" t="s">
        <v>4393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1916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3419</v>
      </c>
      <c r="C2156" s="11" t="s">
        <v>4394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4395</v>
      </c>
      <c r="C2157" s="11" t="s">
        <v>4396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4430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2899</v>
      </c>
      <c r="C2158" s="11" t="s">
        <v>4397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3975</v>
      </c>
      <c r="C2159" s="11" t="s">
        <v>4398</v>
      </c>
      <c r="D2159" s="11" t="s">
        <v>26</v>
      </c>
      <c r="E2159" s="11" t="s">
        <v>1207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727</v>
      </c>
      <c r="C2160" s="11" t="s">
        <v>4399</v>
      </c>
      <c r="D2160" s="11" t="s">
        <v>26</v>
      </c>
      <c r="E2160" s="11" t="s">
        <v>4168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4400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4401</v>
      </c>
      <c r="C2162" s="11" t="s">
        <v>4402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4403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4404</v>
      </c>
      <c r="C2164" s="11" t="s">
        <v>4405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4535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4455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4536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4537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4453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4538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4455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4539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4540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4430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4541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4542</v>
      </c>
      <c r="D2172" s="11" t="s">
        <v>26</v>
      </c>
      <c r="E2172" s="11" t="s">
        <v>4168</v>
      </c>
      <c r="F2172" s="11" t="s">
        <v>26</v>
      </c>
      <c r="G2172" s="11" t="s">
        <v>26</v>
      </c>
      <c r="H2172" s="12" t="s">
        <v>4431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12" t="s">
        <v>41</v>
      </c>
      <c r="AA2172" s="12" t="s">
        <v>746</v>
      </c>
    </row>
    <row r="2173" spans="1:27" x14ac:dyDescent="0.25">
      <c r="A2173" s="10">
        <v>45689</v>
      </c>
      <c r="B2173" s="71">
        <v>2.5902777777777775E-2</v>
      </c>
      <c r="C2173" s="11" t="s">
        <v>4543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4544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4430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4545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4546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4547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4548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4430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4549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4550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4430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4551</v>
      </c>
      <c r="D2181" s="11" t="s">
        <v>26</v>
      </c>
      <c r="E2181" s="11" t="s">
        <v>4552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4553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4455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4554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4555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4556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4430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4557</v>
      </c>
      <c r="D2186" s="11" t="s">
        <v>26</v>
      </c>
      <c r="E2186" s="11" t="s">
        <v>1732</v>
      </c>
      <c r="F2186" s="11" t="s">
        <v>26</v>
      </c>
      <c r="G2186" s="11">
        <v>3296</v>
      </c>
      <c r="H2186" s="12" t="s">
        <v>4455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4558</v>
      </c>
      <c r="D2187" s="11" t="s">
        <v>26</v>
      </c>
      <c r="E2187" s="11" t="s">
        <v>1207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4559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1916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4560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1916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4561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4562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4563</v>
      </c>
      <c r="D2192" s="11" t="s">
        <v>26</v>
      </c>
      <c r="E2192" s="11" t="s">
        <v>3945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4564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4565</v>
      </c>
      <c r="D2194" s="11" t="s">
        <v>26</v>
      </c>
      <c r="E2194" s="11" t="s">
        <v>4566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4567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4568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4569</v>
      </c>
      <c r="D2197" s="11" t="s">
        <v>26</v>
      </c>
      <c r="E2197" s="11" t="s">
        <v>4168</v>
      </c>
      <c r="F2197" s="11" t="s">
        <v>26</v>
      </c>
      <c r="G2197" s="11" t="s">
        <v>26</v>
      </c>
      <c r="H2197" s="12" t="s">
        <v>4431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12" t="s">
        <v>41</v>
      </c>
      <c r="AA2197" s="12" t="s">
        <v>746</v>
      </c>
    </row>
    <row r="2198" spans="1:27" x14ac:dyDescent="0.25">
      <c r="A2198" s="10">
        <v>45689</v>
      </c>
      <c r="B2198" s="71">
        <v>7.9513888888889106E-3</v>
      </c>
      <c r="C2198" s="11" t="s">
        <v>4570</v>
      </c>
      <c r="D2198" s="11" t="s">
        <v>26</v>
      </c>
      <c r="E2198" s="11" t="s">
        <v>4330</v>
      </c>
      <c r="F2198" s="11" t="s">
        <v>26</v>
      </c>
      <c r="G2198" s="11">
        <v>2958</v>
      </c>
      <c r="H2198" s="12" t="s">
        <v>4449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4571</v>
      </c>
      <c r="D2199" s="11" t="s">
        <v>26</v>
      </c>
      <c r="E2199" s="11" t="s">
        <v>2116</v>
      </c>
      <c r="F2199" s="11" t="s">
        <v>26</v>
      </c>
      <c r="G2199" s="11" t="s">
        <v>26</v>
      </c>
      <c r="H2199" s="12" t="s">
        <v>4429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4572</v>
      </c>
      <c r="D2200" s="11" t="s">
        <v>26</v>
      </c>
      <c r="E2200" s="11" t="s">
        <v>3945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4573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4455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4574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4575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4576</v>
      </c>
      <c r="D2204" s="11" t="s">
        <v>26</v>
      </c>
      <c r="E2204" s="11" t="s">
        <v>3945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4577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4578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4456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4579</v>
      </c>
      <c r="D2207" s="11" t="s">
        <v>26</v>
      </c>
      <c r="E2207" s="11" t="s">
        <v>3945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4580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4581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1916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4582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4583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4430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4584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4585</v>
      </c>
      <c r="D2213" s="11" t="s">
        <v>26</v>
      </c>
      <c r="E2213" s="11" t="s">
        <v>4168</v>
      </c>
      <c r="F2213" s="11" t="s">
        <v>26</v>
      </c>
      <c r="G2213" s="11" t="s">
        <v>26</v>
      </c>
      <c r="H2213" s="12" t="s">
        <v>4431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12" t="s">
        <v>41</v>
      </c>
      <c r="AA2213" s="12" t="s">
        <v>746</v>
      </c>
    </row>
    <row r="2214" spans="1:27" x14ac:dyDescent="0.25">
      <c r="A2214" s="10">
        <v>45689</v>
      </c>
      <c r="B2214" s="71">
        <v>9.7685185185184542E-3</v>
      </c>
      <c r="C2214" s="11" t="s">
        <v>4586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4587</v>
      </c>
      <c r="D2215" s="11" t="s">
        <v>26</v>
      </c>
      <c r="E2215" s="11" t="s">
        <v>3945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4588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4589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4590</v>
      </c>
      <c r="D2218" s="11" t="s">
        <v>26</v>
      </c>
      <c r="E2218" s="11" t="s">
        <v>1207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4591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4592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1916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4593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4455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4594</v>
      </c>
      <c r="D2222" s="11" t="s">
        <v>26</v>
      </c>
      <c r="E2222" s="11" t="s">
        <v>3945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4595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4455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4596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4455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4597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4598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4599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4600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4601</v>
      </c>
      <c r="D2229" s="11" t="s">
        <v>26</v>
      </c>
      <c r="E2229" s="11" t="s">
        <v>4602</v>
      </c>
      <c r="F2229" s="11" t="s">
        <v>26</v>
      </c>
      <c r="G2229" s="11">
        <v>74549</v>
      </c>
      <c r="H2229" s="12" t="s">
        <v>4455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4603</v>
      </c>
      <c r="D2230" s="11" t="s">
        <v>26</v>
      </c>
      <c r="E2230" s="11" t="s">
        <v>3945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4604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4605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4606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4607</v>
      </c>
      <c r="D2234" s="11" t="s">
        <v>26</v>
      </c>
      <c r="E2234" s="11" t="s">
        <v>4330</v>
      </c>
      <c r="F2234" s="11" t="s">
        <v>26</v>
      </c>
      <c r="G2234" s="11">
        <v>2957</v>
      </c>
      <c r="H2234" s="12" t="s">
        <v>4449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4608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4609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4610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4455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4611</v>
      </c>
      <c r="D2238" s="11" t="s">
        <v>26</v>
      </c>
      <c r="E2238" s="11" t="s">
        <v>4168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4612</v>
      </c>
      <c r="D2239" s="11" t="s">
        <v>26</v>
      </c>
      <c r="E2239" s="11" t="s">
        <v>3793</v>
      </c>
      <c r="F2239" s="11" t="s">
        <v>26</v>
      </c>
      <c r="G2239" s="11">
        <v>24329</v>
      </c>
      <c r="H2239" s="12" t="s">
        <v>4455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4613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4614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4615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1916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4616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4455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4617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4618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4619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4620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4621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4622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4623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4624</v>
      </c>
      <c r="D2251" s="11" t="s">
        <v>26</v>
      </c>
      <c r="E2251" s="11" t="s">
        <v>1207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4625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4626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4627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4628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4629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4630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4631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4455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4632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4455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4633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4634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4430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4635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4636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4455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4637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4638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4455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4639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4430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4640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4641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4642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4453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4643</v>
      </c>
      <c r="D2270" s="11">
        <v>16800</v>
      </c>
      <c r="E2270" s="11" t="s">
        <v>1207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4644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4645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4646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4647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4455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4648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4649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4650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4455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4651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4454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4652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4653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4430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4654</v>
      </c>
      <c r="D2281" s="11">
        <v>16811</v>
      </c>
      <c r="E2281" s="11" t="s">
        <v>3945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4655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4455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4656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4430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4657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4455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4658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2">
        <f>+L2285*O2285</f>
        <v>1416.8</v>
      </c>
      <c r="S2285" s="72">
        <v>0</v>
      </c>
      <c r="T2285" s="72">
        <f>+L2285*S2285</f>
        <v>0</v>
      </c>
      <c r="U2285" s="72">
        <f>+R2285-T2285</f>
        <v>1416.8</v>
      </c>
      <c r="V2285" s="72">
        <f>+U2285*0</f>
        <v>0</v>
      </c>
      <c r="W2285" s="72">
        <f>+U2285-V2285</f>
        <v>1416.8</v>
      </c>
      <c r="X2285" s="72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4659</v>
      </c>
      <c r="D2286" s="11">
        <v>16816</v>
      </c>
      <c r="E2286" s="11" t="s">
        <v>3945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4660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4661</v>
      </c>
      <c r="D2288" s="11">
        <v>16818</v>
      </c>
      <c r="E2288" s="11" t="s">
        <v>1207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4662</v>
      </c>
      <c r="D2289" s="11">
        <v>16819</v>
      </c>
      <c r="E2289" s="11" t="s">
        <v>1732</v>
      </c>
      <c r="F2289" s="11" t="s">
        <v>26</v>
      </c>
      <c r="G2289" s="11">
        <v>3298</v>
      </c>
      <c r="H2289" s="12" t="s">
        <v>4455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4663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4455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4664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4665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4455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4666</v>
      </c>
      <c r="D2293" s="11">
        <v>16823</v>
      </c>
      <c r="E2293" s="11" t="s">
        <v>1658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4667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2">
        <f>+L2294*O2294</f>
        <v>1501.5</v>
      </c>
      <c r="S2294" s="72">
        <v>0</v>
      </c>
      <c r="T2294" s="72">
        <f>+L2294*S2294</f>
        <v>0</v>
      </c>
      <c r="U2294" s="72">
        <f>+R2294-T2294</f>
        <v>1501.5</v>
      </c>
      <c r="V2294" s="72">
        <f>+U2294*0</f>
        <v>0</v>
      </c>
      <c r="W2294" s="72">
        <f>+U2294-V2294</f>
        <v>1501.5</v>
      </c>
      <c r="X2294" s="72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4668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4669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4454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4670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4430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4671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4672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4673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4674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4430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4675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4676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4453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4677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4678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4679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4680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4430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4681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4453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4682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4430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4683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4430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4684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4685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4686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4687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2">
        <f>+L2314*O2314</f>
        <v>1407</v>
      </c>
      <c r="S2314" s="72">
        <v>0</v>
      </c>
      <c r="T2314" s="72">
        <f>+L2314*S2314</f>
        <v>0</v>
      </c>
      <c r="U2314" s="72">
        <f>+R2314-T2314</f>
        <v>1407</v>
      </c>
      <c r="V2314" s="72">
        <f>+U2314*0</f>
        <v>0</v>
      </c>
      <c r="W2314" s="72">
        <f>+U2314-V2314</f>
        <v>1407</v>
      </c>
      <c r="X2314" s="72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4688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4689</v>
      </c>
      <c r="D2316" s="11">
        <v>16846</v>
      </c>
      <c r="E2316" s="11" t="s">
        <v>3945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4690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4691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4692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4693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4694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4456</v>
      </c>
      <c r="I2321" s="12" t="s">
        <v>37</v>
      </c>
      <c r="J2321" s="12" t="s">
        <v>4695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4696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2">
        <f>+L2322*O2322</f>
        <v>1441.3</v>
      </c>
      <c r="S2322" s="72">
        <v>0</v>
      </c>
      <c r="T2322" s="72">
        <f>+L2322*S2322</f>
        <v>0</v>
      </c>
      <c r="U2322" s="72">
        <f>+R2322-T2322</f>
        <v>1441.3</v>
      </c>
      <c r="V2322" s="72">
        <f>+U2322*0</f>
        <v>0</v>
      </c>
      <c r="W2322" s="72">
        <f>+U2322-V2322</f>
        <v>1441.3</v>
      </c>
      <c r="X2322" s="72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4697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4698</v>
      </c>
      <c r="D2324" s="11">
        <v>16854</v>
      </c>
      <c r="E2324" s="11" t="s">
        <v>3945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4699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4700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4430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4701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4702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4703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4454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4704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4430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4705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4706</v>
      </c>
      <c r="D2332" s="11">
        <v>16862</v>
      </c>
      <c r="E2332" s="11" t="s">
        <v>3945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4707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4708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4709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2">
        <f>+L2335*O2335</f>
        <v>1426.6</v>
      </c>
      <c r="S2335" s="72">
        <v>0</v>
      </c>
      <c r="T2335" s="72">
        <f>+L2335*S2335</f>
        <v>0</v>
      </c>
      <c r="U2335" s="72">
        <f>+R2335-T2335</f>
        <v>1426.6</v>
      </c>
      <c r="V2335" s="72">
        <f t="shared" si="168"/>
        <v>0</v>
      </c>
      <c r="W2335" s="72">
        <f>+U2335-V2335</f>
        <v>1426.6</v>
      </c>
      <c r="X2335" s="72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4710</v>
      </c>
      <c r="D2336" s="11">
        <v>16866</v>
      </c>
      <c r="E2336" s="11" t="s">
        <v>2116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2">
        <f>+L2336*O2336</f>
        <v>1434.3</v>
      </c>
      <c r="S2336" s="72">
        <v>0</v>
      </c>
      <c r="T2336" s="72">
        <f>+L2336*S2336</f>
        <v>0</v>
      </c>
      <c r="U2336" s="72">
        <f>+R2336-T2336</f>
        <v>1434.3</v>
      </c>
      <c r="V2336" s="72">
        <f t="shared" si="168"/>
        <v>0</v>
      </c>
      <c r="W2336" s="72">
        <f>+U2336-V2336</f>
        <v>1434.3</v>
      </c>
      <c r="X2336" s="72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4711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4712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4453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4713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4455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4714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4430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4715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4455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4716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4430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4717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4453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4718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4719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4430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4720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4721</v>
      </c>
      <c r="D2347" s="11">
        <v>16877</v>
      </c>
      <c r="E2347" s="11" t="s">
        <v>2133</v>
      </c>
      <c r="F2347" s="11" t="s">
        <v>26</v>
      </c>
      <c r="G2347" s="11">
        <v>112414</v>
      </c>
      <c r="H2347" s="12" t="s">
        <v>4453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4722</v>
      </c>
      <c r="D2348" s="11">
        <v>16878</v>
      </c>
      <c r="E2348" s="11" t="s">
        <v>1732</v>
      </c>
      <c r="F2348" s="11" t="s">
        <v>26</v>
      </c>
      <c r="G2348" s="11">
        <v>3299</v>
      </c>
      <c r="H2348" s="12" t="s">
        <v>4455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4723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4455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4724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4725</v>
      </c>
      <c r="D2351" s="11">
        <v>16881</v>
      </c>
      <c r="E2351" s="11" t="s">
        <v>2116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4726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4727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2">
        <f>+L2353*O2353</f>
        <v>1442.7</v>
      </c>
      <c r="S2353" s="72">
        <v>0</v>
      </c>
      <c r="T2353" s="72">
        <f>+L2353*S2353</f>
        <v>0</v>
      </c>
      <c r="U2353" s="72">
        <f>+R2353-T2353</f>
        <v>1442.7</v>
      </c>
      <c r="V2353" s="72">
        <f t="shared" ref="V2353" si="192">+U2353*0</f>
        <v>0</v>
      </c>
      <c r="W2353" s="72">
        <f>+U2353-V2353</f>
        <v>1442.7</v>
      </c>
      <c r="X2353" s="72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4728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4430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4729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4455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4730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4731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2">
        <f>+L2357*O2357</f>
        <v>1435.7</v>
      </c>
      <c r="S2357" s="72">
        <v>0</v>
      </c>
      <c r="T2357" s="72">
        <f>+L2357*S2357</f>
        <v>0</v>
      </c>
      <c r="U2357" s="72">
        <f>+R2357-T2357</f>
        <v>1435.7</v>
      </c>
      <c r="V2357" s="72">
        <f t="shared" ref="V2357:V2358" si="198">+U2357*0</f>
        <v>0</v>
      </c>
      <c r="W2357" s="72">
        <f>+U2357-V2357</f>
        <v>1435.7</v>
      </c>
      <c r="X2357" s="72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4732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4733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4734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4455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4735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4455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4736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4455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4737</v>
      </c>
      <c r="D2363" s="11">
        <v>16893</v>
      </c>
      <c r="E2363" s="11" t="s">
        <v>3945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4738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4430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4739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4430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4740</v>
      </c>
      <c r="D2366" s="11">
        <v>16896</v>
      </c>
      <c r="E2366" s="11" t="s">
        <v>3945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4741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4456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4742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4455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4743</v>
      </c>
      <c r="D2369" s="11">
        <v>16899</v>
      </c>
      <c r="E2369" s="11" t="s">
        <v>1207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4744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4745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4746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4747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4748</v>
      </c>
      <c r="D2374" s="11">
        <v>16904</v>
      </c>
      <c r="E2374" s="11" t="s">
        <v>3945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4749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4455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4750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4751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2">
        <f>+L2377*O2377</f>
        <v>1380.3999999999999</v>
      </c>
      <c r="S2377" s="72">
        <v>0</v>
      </c>
      <c r="T2377" s="72">
        <f>+L2377*S2377</f>
        <v>0</v>
      </c>
      <c r="U2377" s="72">
        <f>+R2377-T2377</f>
        <v>1380.3999999999999</v>
      </c>
      <c r="V2377" s="72">
        <f t="shared" ref="V2377:V2380" si="216">+U2377*0</f>
        <v>0</v>
      </c>
      <c r="W2377" s="72">
        <f>+U2377-V2377</f>
        <v>1380.3999999999999</v>
      </c>
      <c r="X2377" s="72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4752</v>
      </c>
      <c r="D2378" s="11">
        <v>16908</v>
      </c>
      <c r="E2378" s="11" t="s">
        <v>2116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2">
        <f>+L2378*O2378</f>
        <v>1422.4</v>
      </c>
      <c r="S2378" s="72">
        <v>0</v>
      </c>
      <c r="T2378" s="72">
        <f>+L2378*S2378</f>
        <v>0</v>
      </c>
      <c r="U2378" s="72">
        <f>+R2378-T2378</f>
        <v>1422.4</v>
      </c>
      <c r="V2378" s="72">
        <f t="shared" si="216"/>
        <v>0</v>
      </c>
      <c r="W2378" s="72">
        <f>+U2378-V2378</f>
        <v>1422.4</v>
      </c>
      <c r="X2378" s="72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4753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2">
        <f>+L2379*O2379</f>
        <v>1402.1000000000001</v>
      </c>
      <c r="S2379" s="72">
        <v>0</v>
      </c>
      <c r="T2379" s="72">
        <f>+L2379*S2379</f>
        <v>0</v>
      </c>
      <c r="U2379" s="72">
        <f>+R2379-T2379</f>
        <v>1402.1000000000001</v>
      </c>
      <c r="V2379" s="72">
        <f t="shared" si="216"/>
        <v>0</v>
      </c>
      <c r="W2379" s="72">
        <f>+U2379-V2379</f>
        <v>1402.1000000000001</v>
      </c>
      <c r="X2379" s="72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4754</v>
      </c>
      <c r="D2380" s="11">
        <v>16910</v>
      </c>
      <c r="E2380" s="11" t="s">
        <v>3945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4755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4756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4757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4758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4455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4759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2">
        <f>+L2385*O2385</f>
        <v>1432.8999999999999</v>
      </c>
      <c r="S2385" s="72">
        <v>0</v>
      </c>
      <c r="T2385" s="72">
        <f>+L2385*S2385</f>
        <v>0</v>
      </c>
      <c r="U2385" s="72">
        <f>+R2385-T2385</f>
        <v>1432.8999999999999</v>
      </c>
      <c r="V2385" s="72">
        <f t="shared" ref="V2385" si="223">+U2385*0</f>
        <v>0</v>
      </c>
      <c r="W2385" s="72">
        <f>+U2385-V2385</f>
        <v>1432.8999999999999</v>
      </c>
      <c r="X2385" s="72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4760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4456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4761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2">
        <f>+L2387*O2387</f>
        <v>1389.5</v>
      </c>
      <c r="S2387" s="72">
        <v>0</v>
      </c>
      <c r="T2387" s="72">
        <f>+L2387*S2387</f>
        <v>0</v>
      </c>
      <c r="U2387" s="72">
        <f>+R2387-T2387</f>
        <v>1389.5</v>
      </c>
      <c r="V2387" s="72">
        <f t="shared" ref="V2387" si="224">+U2387*0</f>
        <v>0</v>
      </c>
      <c r="W2387" s="72">
        <f>+U2387-V2387</f>
        <v>1389.5</v>
      </c>
      <c r="X2387" s="72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4762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4763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2">
        <f>+L2389*O2389</f>
        <v>1460.2</v>
      </c>
      <c r="S2389" s="72">
        <v>0</v>
      </c>
      <c r="T2389" s="72">
        <f>+L2389*S2389</f>
        <v>0</v>
      </c>
      <c r="U2389" s="72">
        <f>+R2389-T2389</f>
        <v>1460.2</v>
      </c>
      <c r="V2389" s="72">
        <f t="shared" ref="V2389" si="225">+U2389*0</f>
        <v>0</v>
      </c>
      <c r="W2389" s="72">
        <f>+U2389-V2389</f>
        <v>1460.2</v>
      </c>
      <c r="X2389" s="72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4764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4765</v>
      </c>
      <c r="D2391" s="11">
        <v>16921</v>
      </c>
      <c r="E2391" s="11" t="s">
        <v>1658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4766</v>
      </c>
      <c r="D2392" s="11">
        <v>16922</v>
      </c>
      <c r="E2392" s="11" t="s">
        <v>3945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4767</v>
      </c>
      <c r="D2393" s="11">
        <v>16923</v>
      </c>
      <c r="E2393" s="11" t="s">
        <v>1667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4768</v>
      </c>
      <c r="D2394" s="11">
        <v>16924</v>
      </c>
      <c r="E2394" s="11" t="s">
        <v>4769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4770</v>
      </c>
      <c r="D2395" s="11">
        <v>16925</v>
      </c>
      <c r="E2395" s="11" t="s">
        <v>4771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4772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4455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4773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4774</v>
      </c>
      <c r="D2398" s="11">
        <v>16928</v>
      </c>
      <c r="E2398" s="11" t="s">
        <v>3945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4775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4776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4430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4777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4430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4778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4779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4780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4456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4781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4782</v>
      </c>
      <c r="D2406" s="11">
        <v>16936</v>
      </c>
      <c r="E2406" s="11" t="s">
        <v>4783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4784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4785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4786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4787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2">
        <f>+L2410*O2410</f>
        <v>1379</v>
      </c>
      <c r="S2410" s="72">
        <v>0</v>
      </c>
      <c r="T2410" s="72">
        <f>+L2410*S2410</f>
        <v>0</v>
      </c>
      <c r="U2410" s="72">
        <f>+R2410-T2410</f>
        <v>1379</v>
      </c>
      <c r="V2410" s="72">
        <f t="shared" ref="V2410" si="248">+U2410*0</f>
        <v>0</v>
      </c>
      <c r="W2410" s="72">
        <f>+U2410-V2410</f>
        <v>1379</v>
      </c>
      <c r="X2410" s="72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4788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4789</v>
      </c>
      <c r="D2412" s="11">
        <v>16942</v>
      </c>
      <c r="E2412" s="11" t="s">
        <v>4769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4790</v>
      </c>
      <c r="D2413" s="11">
        <v>16943</v>
      </c>
      <c r="E2413" s="11" t="s">
        <v>4771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4791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4455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4792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4455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4793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4430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4794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4455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4795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4796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4797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4455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4798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4799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4800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4455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4801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4802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4803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4455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4804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4805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4806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4807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4808</v>
      </c>
      <c r="D2431" s="11">
        <v>16961</v>
      </c>
      <c r="E2431" s="11" t="s">
        <v>1207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4809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4810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4811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4812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4813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4814</v>
      </c>
      <c r="D2437" s="11">
        <v>16967</v>
      </c>
      <c r="E2437" s="11" t="s">
        <v>4783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4815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4816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4430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4817</v>
      </c>
      <c r="D2440" s="11">
        <v>16970</v>
      </c>
      <c r="E2440" s="11" t="s">
        <v>4818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4819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4453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4820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4455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4821</v>
      </c>
      <c r="D2443" s="11">
        <v>16973</v>
      </c>
      <c r="E2443" s="11" t="s">
        <v>4783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4822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4430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4823</v>
      </c>
      <c r="D2445" s="11">
        <v>16976</v>
      </c>
      <c r="E2445" s="11" t="s">
        <v>4824</v>
      </c>
      <c r="F2445" s="11" t="s">
        <v>26</v>
      </c>
      <c r="G2445" s="11">
        <v>72352</v>
      </c>
      <c r="H2445" s="12" t="s">
        <v>4455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4825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4430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4826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4455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4827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4828</v>
      </c>
      <c r="D2449" s="11">
        <v>16980</v>
      </c>
      <c r="E2449" s="11" t="s">
        <v>4783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4829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4453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4830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4831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4832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4833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4834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4835</v>
      </c>
      <c r="D2456" s="11">
        <v>16988</v>
      </c>
      <c r="E2456" s="11" t="s">
        <v>4783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4836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4837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4838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4839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4430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4840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4455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4841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4842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4430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4843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4844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4845</v>
      </c>
      <c r="D2466" s="11">
        <v>16999</v>
      </c>
      <c r="E2466" s="11" t="s">
        <v>4824</v>
      </c>
      <c r="F2466" s="11" t="s">
        <v>26</v>
      </c>
      <c r="G2466" s="11">
        <v>72353</v>
      </c>
      <c r="H2466" s="12" t="s">
        <v>4455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4846</v>
      </c>
      <c r="D2467" s="11">
        <v>17000</v>
      </c>
      <c r="E2467" s="11" t="s">
        <v>3793</v>
      </c>
      <c r="F2467" s="11" t="s">
        <v>26</v>
      </c>
      <c r="G2467" s="11">
        <v>24333</v>
      </c>
      <c r="H2467" s="12" t="s">
        <v>4455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4847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4848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4849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4850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4851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4430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4852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4454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4853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4854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4855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4856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4430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4857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4858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4859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4860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4861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4862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4863</v>
      </c>
      <c r="D2484" s="11">
        <v>17018</v>
      </c>
      <c r="E2484" s="11" t="s">
        <v>2116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4864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4865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4453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4866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4867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4455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4868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4430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4869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4455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4870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4430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4871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4872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4455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4873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4455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4874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4875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4455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4876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4455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4877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4878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4879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4455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4880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4455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4881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4882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4883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4884</v>
      </c>
      <c r="D2505" s="11">
        <v>17039</v>
      </c>
      <c r="E2505" s="11" t="s">
        <v>4885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4886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4887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4888</v>
      </c>
      <c r="D2508" s="11">
        <v>17042</v>
      </c>
      <c r="E2508" s="11" t="s">
        <v>2133</v>
      </c>
      <c r="F2508" s="11" t="s">
        <v>26</v>
      </c>
      <c r="G2508" s="11">
        <v>112429</v>
      </c>
      <c r="H2508" s="12" t="s">
        <v>4453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4889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4430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4890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4891</v>
      </c>
      <c r="D2511" s="11">
        <v>17045</v>
      </c>
      <c r="E2511" s="11" t="s">
        <v>2116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2">
        <f>+L2511*O2511</f>
        <v>1357.3</v>
      </c>
      <c r="S2511" s="72">
        <v>0</v>
      </c>
      <c r="T2511" s="72">
        <f>+L2511*S2511</f>
        <v>0</v>
      </c>
      <c r="U2511" s="72">
        <f>+R2511-T2511</f>
        <v>1357.3</v>
      </c>
      <c r="V2511" s="72">
        <f t="shared" ref="V2511" si="355">+U2511*0</f>
        <v>0</v>
      </c>
      <c r="W2511" s="72">
        <f>+U2511-V2511</f>
        <v>1357.3</v>
      </c>
      <c r="X2511" s="72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4892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4455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4893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4453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4894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4895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4896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4453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4897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4898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4899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2">
        <f>+L2519*O2519</f>
        <v>1479.8</v>
      </c>
      <c r="S2519" s="72">
        <v>0</v>
      </c>
      <c r="T2519" s="72">
        <f>+L2519*S2519</f>
        <v>0</v>
      </c>
      <c r="U2519" s="72">
        <f>+R2519-T2519</f>
        <v>1479.8</v>
      </c>
      <c r="V2519" s="72">
        <f t="shared" ref="V2519:V2520" si="365">+U2519*0</f>
        <v>0</v>
      </c>
      <c r="W2519" s="72">
        <f>+U2519-V2519</f>
        <v>1479.8</v>
      </c>
      <c r="X2519" s="72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4900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4901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4453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4902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4903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4430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4904</v>
      </c>
      <c r="D2524" s="11">
        <v>17058</v>
      </c>
      <c r="E2524" s="11" t="s">
        <v>1207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4905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4906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4907</v>
      </c>
      <c r="D2527" s="11">
        <v>17061</v>
      </c>
      <c r="E2527" s="11" t="s">
        <v>4783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4908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2">
        <f>+L2528*O2528</f>
        <v>1540</v>
      </c>
      <c r="S2528" s="72">
        <v>0</v>
      </c>
      <c r="T2528" s="72">
        <f>+L2528*S2528</f>
        <v>0</v>
      </c>
      <c r="U2528" s="72">
        <f>+R2528-T2528</f>
        <v>1540</v>
      </c>
      <c r="V2528" s="72">
        <f t="shared" ref="V2528" si="377">+U2528*0</f>
        <v>0</v>
      </c>
      <c r="W2528" s="72">
        <f>+U2528-V2528</f>
        <v>1540</v>
      </c>
      <c r="X2528" s="72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4909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4910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4455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4911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4455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4912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4913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4914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4431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12" t="s">
        <v>41</v>
      </c>
      <c r="AA2534" s="12" t="s">
        <v>746</v>
      </c>
    </row>
    <row r="2535" spans="1:27" x14ac:dyDescent="0.25">
      <c r="A2535" s="10">
        <v>45694</v>
      </c>
      <c r="B2535" s="71">
        <v>1.6157407407407398E-2</v>
      </c>
      <c r="C2535" s="11" t="s">
        <v>4915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4455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4916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4917</v>
      </c>
      <c r="D2537" s="11">
        <v>17072</v>
      </c>
      <c r="E2537" s="11" t="s">
        <v>4783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4918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4919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2">
        <f>+L2539*O2539</f>
        <v>1528.1</v>
      </c>
      <c r="S2539" s="72">
        <v>0</v>
      </c>
      <c r="T2539" s="72">
        <f>+L2539*S2539</f>
        <v>0</v>
      </c>
      <c r="U2539" s="72">
        <f>+R2539-T2539</f>
        <v>1528.1</v>
      </c>
      <c r="V2539" s="72">
        <f t="shared" ref="V2539" si="393">+U2539*0</f>
        <v>0</v>
      </c>
      <c r="W2539" s="72">
        <f>+U2539-V2539</f>
        <v>1528.1</v>
      </c>
      <c r="X2539" s="72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4920</v>
      </c>
      <c r="D2540" s="11">
        <v>17075</v>
      </c>
      <c r="E2540" s="11" t="s">
        <v>2133</v>
      </c>
      <c r="F2540" s="11" t="s">
        <v>26</v>
      </c>
      <c r="G2540" s="11">
        <v>112432</v>
      </c>
      <c r="H2540" s="12" t="s">
        <v>4453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4921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4922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4923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4924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4453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4925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4453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4926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4927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4928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4929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4930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4931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4932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4933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4934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4935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4453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4936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4430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4937</v>
      </c>
      <c r="D2557" s="11">
        <v>17093</v>
      </c>
      <c r="E2557" s="11" t="s">
        <v>4824</v>
      </c>
      <c r="F2557" s="11" t="s">
        <v>26</v>
      </c>
      <c r="G2557" s="11">
        <v>72354</v>
      </c>
      <c r="H2557" s="12" t="s">
        <v>4455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4938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4939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4940</v>
      </c>
      <c r="D2560" s="11">
        <v>17096</v>
      </c>
      <c r="E2560" s="11" t="s">
        <v>1207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4941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4942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2">
        <f>+L2562*O2562</f>
        <v>1515.5</v>
      </c>
      <c r="S2562" s="72">
        <v>0</v>
      </c>
      <c r="T2562" s="72">
        <f>+L2562*S2562</f>
        <v>0</v>
      </c>
      <c r="U2562" s="72">
        <f>+R2562-T2562</f>
        <v>1515.5</v>
      </c>
      <c r="V2562" s="72">
        <f t="shared" ref="V2562" si="412">+U2562*0</f>
        <v>0</v>
      </c>
      <c r="W2562" s="72">
        <f>+U2562-V2562</f>
        <v>1515.5</v>
      </c>
      <c r="X2562" s="72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4943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4944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4945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4946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4947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4948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4430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4949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4950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2">
        <f>+L2570*O2570</f>
        <v>1534.4</v>
      </c>
      <c r="S2570" s="72">
        <v>0</v>
      </c>
      <c r="T2570" s="72">
        <f>+L2570*S2570</f>
        <v>0</v>
      </c>
      <c r="U2570" s="72">
        <f>+R2570-T2570</f>
        <v>1534.4</v>
      </c>
      <c r="V2570" s="72">
        <f t="shared" ref="V2570" si="417">+U2570*0</f>
        <v>0</v>
      </c>
      <c r="W2570" s="72">
        <f>+U2570-V2570</f>
        <v>1534.4</v>
      </c>
      <c r="X2570" s="72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4951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4952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4953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4954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4955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2">
        <f>+L2575*O2575</f>
        <v>1437.8</v>
      </c>
      <c r="S2575" s="72">
        <v>0</v>
      </c>
      <c r="T2575" s="72">
        <f>+L2575*S2575</f>
        <v>0</v>
      </c>
      <c r="U2575" s="72">
        <f>+R2575-T2575</f>
        <v>1437.8</v>
      </c>
      <c r="V2575" s="72">
        <f t="shared" ref="V2575" si="421">+U2575*0</f>
        <v>0</v>
      </c>
      <c r="W2575" s="72">
        <f>+U2575-V2575</f>
        <v>1437.8</v>
      </c>
      <c r="X2575" s="72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4956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4957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4453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4958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4959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4455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4960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4961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4962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4430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4963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4964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4965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4966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4967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4968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4969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4970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4430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4971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2">
        <f>+L2591*O2591</f>
        <v>1558.2</v>
      </c>
      <c r="S2591" s="72">
        <v>0</v>
      </c>
      <c r="T2591" s="72">
        <f>+L2591*S2591</f>
        <v>0</v>
      </c>
      <c r="U2591" s="72">
        <f>+R2591-T2591</f>
        <v>1558.2</v>
      </c>
      <c r="V2591" s="72">
        <f t="shared" ref="V2591:V2592" si="432">+U2591*0</f>
        <v>0</v>
      </c>
      <c r="W2591" s="72">
        <f>+U2591-V2591</f>
        <v>1558.2</v>
      </c>
      <c r="X2591" s="72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4972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4973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4974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4975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4455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4976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4455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4977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4455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4978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4979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4455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4980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4981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4455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4982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4983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4984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4453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4985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4986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4430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4987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4455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4988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4430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4989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4990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4991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4992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4993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4994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4995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4996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4997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4998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4455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4999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5000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4455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5001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5002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4453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5003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4431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12" t="s">
        <v>6335</v>
      </c>
      <c r="AA2623" s="12" t="s">
        <v>746</v>
      </c>
    </row>
    <row r="2624" spans="1:27" x14ac:dyDescent="0.25">
      <c r="A2624" s="10">
        <v>45695</v>
      </c>
      <c r="B2624" s="71">
        <v>2.9050925925925952E-2</v>
      </c>
      <c r="C2624" s="11" t="s">
        <v>5004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5005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4430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5006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4453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5007</v>
      </c>
      <c r="D2627" s="11">
        <v>17163</v>
      </c>
      <c r="E2627" s="11" t="s">
        <v>1207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5008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5009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5010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4453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5011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2">
        <f>+L2631*O2631</f>
        <v>1515.5</v>
      </c>
      <c r="S2631" s="72">
        <v>0</v>
      </c>
      <c r="T2631" s="72">
        <f>+L2631*S2631</f>
        <v>0</v>
      </c>
      <c r="U2631" s="72">
        <f>+R2631-T2631</f>
        <v>1515.5</v>
      </c>
      <c r="V2631" s="72">
        <f t="shared" ref="V2631:V2632" si="467">+U2631*0</f>
        <v>0</v>
      </c>
      <c r="W2631" s="72">
        <f>+U2631-V2631</f>
        <v>1515.5</v>
      </c>
      <c r="X2631" s="72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5012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2">
        <f>+L2632*O2632</f>
        <v>1484</v>
      </c>
      <c r="S2632" s="72">
        <v>0</v>
      </c>
      <c r="T2632" s="72">
        <f>+L2632*S2632</f>
        <v>0</v>
      </c>
      <c r="U2632" s="72">
        <f>+R2632-T2632</f>
        <v>1484</v>
      </c>
      <c r="V2632" s="72">
        <f t="shared" si="467"/>
        <v>0</v>
      </c>
      <c r="W2632" s="72">
        <f>+U2632-V2632</f>
        <v>1484</v>
      </c>
      <c r="X2632" s="72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5013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5014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5015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5016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5017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5018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2">
        <f>+L2638*O2638</f>
        <v>1451.8</v>
      </c>
      <c r="S2638" s="72">
        <v>0</v>
      </c>
      <c r="T2638" s="72">
        <f>+L2638*S2638</f>
        <v>0</v>
      </c>
      <c r="U2638" s="72">
        <f>+R2638-T2638</f>
        <v>1451.8</v>
      </c>
      <c r="V2638" s="72">
        <f t="shared" ref="V2638" si="471">+U2638*0</f>
        <v>0</v>
      </c>
      <c r="W2638" s="72">
        <f>+U2638-V2638</f>
        <v>1451.8</v>
      </c>
      <c r="X2638" s="72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5019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5020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4430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5021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5022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4430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5023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5024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5025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1916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5026</v>
      </c>
      <c r="D2646" s="11">
        <v>17182</v>
      </c>
      <c r="E2646" s="11" t="s">
        <v>1207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5027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4431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12" t="s">
        <v>6335</v>
      </c>
      <c r="AA2647" s="12" t="s">
        <v>746</v>
      </c>
    </row>
    <row r="2648" spans="1:27" x14ac:dyDescent="0.25">
      <c r="A2648" s="10">
        <v>45695</v>
      </c>
      <c r="B2648" s="71">
        <v>1.142361111111112E-2</v>
      </c>
      <c r="C2648" s="11" t="s">
        <v>5028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5029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4453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5030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5031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4455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5032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5033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2">
        <f>+L2653*O2653</f>
        <v>1414</v>
      </c>
      <c r="S2653" s="72">
        <v>0</v>
      </c>
      <c r="T2653" s="72">
        <f t="shared" si="488"/>
        <v>0</v>
      </c>
      <c r="U2653" s="72">
        <f t="shared" si="486"/>
        <v>1414</v>
      </c>
      <c r="V2653" s="72">
        <f t="shared" si="489"/>
        <v>0</v>
      </c>
      <c r="W2653" s="72">
        <f t="shared" si="487"/>
        <v>1414</v>
      </c>
      <c r="X2653" s="72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5034</v>
      </c>
      <c r="D2654" s="11">
        <v>17190</v>
      </c>
      <c r="E2654" s="11" t="s">
        <v>2133</v>
      </c>
      <c r="F2654" s="11" t="s">
        <v>26</v>
      </c>
      <c r="G2654" s="11">
        <v>112238</v>
      </c>
      <c r="H2654" s="12" t="s">
        <v>4453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5035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2">
        <f>+L2655*O2655</f>
        <v>1435</v>
      </c>
      <c r="S2655" s="72">
        <v>0</v>
      </c>
      <c r="T2655" s="72">
        <f t="shared" si="488"/>
        <v>0</v>
      </c>
      <c r="U2655" s="72">
        <f t="shared" si="486"/>
        <v>1435</v>
      </c>
      <c r="V2655" s="72">
        <f t="shared" ref="V2655" si="491">+U2655*0</f>
        <v>0</v>
      </c>
      <c r="W2655" s="72">
        <f t="shared" si="487"/>
        <v>1435</v>
      </c>
      <c r="X2655" s="72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5036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4455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5037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4453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5038</v>
      </c>
      <c r="D2658" s="11">
        <v>17194</v>
      </c>
      <c r="E2658" s="11" t="s">
        <v>5039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2">
        <f>+L2658*O2658</f>
        <v>1451.8</v>
      </c>
      <c r="S2658" s="72">
        <v>0</v>
      </c>
      <c r="T2658" s="72">
        <f t="shared" si="488"/>
        <v>0</v>
      </c>
      <c r="U2658" s="72">
        <f t="shared" si="486"/>
        <v>1451.8</v>
      </c>
      <c r="V2658" s="72">
        <f t="shared" ref="V2658:V2659" si="493">+U2658*0</f>
        <v>0</v>
      </c>
      <c r="W2658" s="72">
        <f t="shared" si="487"/>
        <v>1451.8</v>
      </c>
      <c r="X2658" s="72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5040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5041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4430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5042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5043</v>
      </c>
      <c r="D2662" s="11">
        <v>17198</v>
      </c>
      <c r="E2662" s="11" t="s">
        <v>3793</v>
      </c>
      <c r="F2662" s="11" t="s">
        <v>26</v>
      </c>
      <c r="G2662" s="11">
        <v>24337</v>
      </c>
      <c r="H2662" s="12" t="s">
        <v>4455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5044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5045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5046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5047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2">
        <f>+L2666*O2666</f>
        <v>1459.5</v>
      </c>
      <c r="S2666" s="72">
        <v>0</v>
      </c>
      <c r="T2666" s="72">
        <f>+L2666*S2666</f>
        <v>0</v>
      </c>
      <c r="U2666" s="72">
        <f>+R2666-T2666</f>
        <v>1459.5</v>
      </c>
      <c r="V2666" s="72">
        <f t="shared" ref="V2666" si="502">+U2666*0</f>
        <v>0</v>
      </c>
      <c r="W2666" s="72">
        <f>+U2666-V2666</f>
        <v>1459.5</v>
      </c>
      <c r="X2666" s="72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5048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5049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1916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5050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5051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5052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4455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5053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4430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5054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4431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12" t="s">
        <v>6335</v>
      </c>
      <c r="AA2673" s="12" t="s">
        <v>746</v>
      </c>
    </row>
    <row r="2674" spans="1:27" x14ac:dyDescent="0.25">
      <c r="A2674" s="10">
        <v>45695</v>
      </c>
      <c r="B2674" s="71">
        <v>1.7141203703703756E-2</v>
      </c>
      <c r="C2674" s="11" t="s">
        <v>5055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5056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5057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5058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5059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4453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5060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5061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5062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5063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12" t="s">
        <v>6335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5064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4455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5065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4455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5066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5067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4455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5068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5069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5070</v>
      </c>
      <c r="D2689" s="11">
        <v>17225</v>
      </c>
      <c r="E2689" s="11" t="s">
        <v>1207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5071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4455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5072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5073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5074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4455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5075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5076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4455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5077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1916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5078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5079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5080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4453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5081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2">
        <f>+L2700*O2700</f>
        <v>1444.8</v>
      </c>
      <c r="S2700" s="72">
        <v>0</v>
      </c>
      <c r="T2700" s="72">
        <f>+L2700*S2700</f>
        <v>0</v>
      </c>
      <c r="U2700" s="72">
        <f>+R2700-T2700</f>
        <v>1444.8</v>
      </c>
      <c r="V2700" s="72">
        <f t="shared" ref="V2700" si="532">+U2700*0</f>
        <v>0</v>
      </c>
      <c r="W2700" s="72">
        <f>+U2700-V2700</f>
        <v>1444.8</v>
      </c>
      <c r="X2700" s="72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5082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5083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5084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4455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5085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4455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5086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4453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5087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5088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12" t="s">
        <v>6335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5089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5090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5091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5092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5093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5094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1916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5095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5096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5097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5098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5099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5100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5101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5102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5103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5104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5105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5106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5107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4430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5108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4455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5109</v>
      </c>
      <c r="D2728" s="11">
        <v>17264</v>
      </c>
      <c r="E2728" s="11" t="s">
        <v>5110</v>
      </c>
      <c r="F2728" s="11" t="s">
        <v>26</v>
      </c>
      <c r="G2728" s="11">
        <v>21952</v>
      </c>
      <c r="H2728" s="12" t="s">
        <v>4455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5111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4455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5112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4455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5113</v>
      </c>
      <c r="D2731" s="11">
        <v>17267</v>
      </c>
      <c r="E2731" s="11" t="s">
        <v>2116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5114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5115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5116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5117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5118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5119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5120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2">
        <f>+L2738*O2738</f>
        <v>1534.4</v>
      </c>
      <c r="S2738" s="72">
        <v>0</v>
      </c>
      <c r="T2738" s="72">
        <f>+L2738*S2738</f>
        <v>0</v>
      </c>
      <c r="U2738" s="72">
        <f>+R2738-T2738</f>
        <v>1534.4</v>
      </c>
      <c r="V2738" s="72">
        <f t="shared" ref="V2738:V2741" si="563">+U2738*0</f>
        <v>0</v>
      </c>
      <c r="W2738" s="72">
        <f>+U2738-V2738</f>
        <v>1534.4</v>
      </c>
      <c r="X2738" s="72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5121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2">
        <f>+L2739*O2739</f>
        <v>1516.2</v>
      </c>
      <c r="S2739" s="72">
        <v>0</v>
      </c>
      <c r="T2739" s="72">
        <f>+L2739*S2739</f>
        <v>0</v>
      </c>
      <c r="U2739" s="72">
        <f>+R2739-T2739</f>
        <v>1516.2</v>
      </c>
      <c r="V2739" s="72">
        <f t="shared" si="563"/>
        <v>0</v>
      </c>
      <c r="W2739" s="72">
        <f>+U2739-V2739</f>
        <v>1516.2</v>
      </c>
      <c r="X2739" s="72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5122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2">
        <f>+L2740*O2740</f>
        <v>1575</v>
      </c>
      <c r="S2740" s="72">
        <v>0</v>
      </c>
      <c r="T2740" s="72">
        <f>+L2740*S2740</f>
        <v>0</v>
      </c>
      <c r="U2740" s="72">
        <f>+R2740-T2740</f>
        <v>1575</v>
      </c>
      <c r="V2740" s="72">
        <f t="shared" si="563"/>
        <v>0</v>
      </c>
      <c r="W2740" s="72">
        <f>+U2740-V2740</f>
        <v>1575</v>
      </c>
      <c r="X2740" s="72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5123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5124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1916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5125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5126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5127</v>
      </c>
      <c r="D2745" s="11">
        <v>17281</v>
      </c>
      <c r="E2745" s="11" t="s">
        <v>1207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5128</v>
      </c>
      <c r="D2746" s="11">
        <v>17282</v>
      </c>
      <c r="E2746" s="11" t="s">
        <v>5129</v>
      </c>
      <c r="F2746" s="11" t="s">
        <v>26</v>
      </c>
      <c r="G2746" s="11">
        <v>78853</v>
      </c>
      <c r="H2746" s="12" t="s">
        <v>4455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5130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5131</v>
      </c>
      <c r="D2748" s="11">
        <v>17284</v>
      </c>
      <c r="E2748" s="11" t="s">
        <v>4783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5132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5133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4453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5134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4454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5135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5136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5137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4431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12" t="s">
        <v>6335</v>
      </c>
      <c r="AA2754" s="12" t="s">
        <v>746</v>
      </c>
    </row>
    <row r="2755" spans="1:27" x14ac:dyDescent="0.25">
      <c r="A2755" s="10">
        <v>45698</v>
      </c>
      <c r="B2755" s="71">
        <v>1.0057870370370314E-2</v>
      </c>
      <c r="C2755" s="11" t="s">
        <v>5138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1916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5139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5140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4453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5141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4453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5142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4430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5143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6335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5144</v>
      </c>
      <c r="D2761" s="11">
        <v>17297</v>
      </c>
      <c r="E2761" s="11" t="s">
        <v>3945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5145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2">
        <f>+L2762*O2762</f>
        <v>1532.3</v>
      </c>
      <c r="S2762" s="72">
        <v>0</v>
      </c>
      <c r="T2762" s="72">
        <f>+L2762*S2762</f>
        <v>0</v>
      </c>
      <c r="U2762" s="72">
        <f>+R2762-T2762</f>
        <v>1532.3</v>
      </c>
      <c r="V2762" s="72">
        <f t="shared" si="592"/>
        <v>0</v>
      </c>
      <c r="W2762" s="72">
        <f>+U2762-V2762</f>
        <v>1532.3</v>
      </c>
      <c r="X2762" s="72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5146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4453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5147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5148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5149</v>
      </c>
      <c r="D2766" s="11">
        <v>17302</v>
      </c>
      <c r="E2766" s="11" t="s">
        <v>3945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5150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5151</v>
      </c>
      <c r="D2768" s="11">
        <v>17304</v>
      </c>
      <c r="E2768" s="11" t="s">
        <v>1207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5152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5153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2">
        <f>+L2770*O2770</f>
        <v>1510.6</v>
      </c>
      <c r="S2770" s="72">
        <v>0</v>
      </c>
      <c r="T2770" s="72">
        <f>+L2770*S2770</f>
        <v>0</v>
      </c>
      <c r="U2770" s="72">
        <f>+R2770-T2770</f>
        <v>1510.6</v>
      </c>
      <c r="V2770" s="72">
        <f t="shared" si="606"/>
        <v>0</v>
      </c>
      <c r="W2770" s="72">
        <f>+U2770-V2770</f>
        <v>1510.6</v>
      </c>
      <c r="X2770" s="72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5154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5155</v>
      </c>
      <c r="D2772" s="11">
        <v>17308</v>
      </c>
      <c r="E2772" s="11" t="s">
        <v>3945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5156</v>
      </c>
      <c r="D2773" s="11">
        <v>17309</v>
      </c>
      <c r="E2773" s="11" t="s">
        <v>2116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5157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1916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5158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4431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12" t="s">
        <v>6335</v>
      </c>
      <c r="AA2775" s="12" t="s">
        <v>746</v>
      </c>
    </row>
    <row r="2776" spans="1:27" x14ac:dyDescent="0.25">
      <c r="A2776" s="10">
        <v>45698</v>
      </c>
      <c r="B2776" s="71">
        <v>0.14287037037037031</v>
      </c>
      <c r="C2776" s="11" t="s">
        <v>5159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4454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5160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5161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4430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5162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5163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4453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5164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5165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5166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5167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5168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5169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4453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5170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5171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5172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4430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5173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4455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5174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6335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5175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4453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5176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5177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4430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5178</v>
      </c>
      <c r="D2795" s="11">
        <v>17331</v>
      </c>
      <c r="E2795" s="11" t="s">
        <v>2116</v>
      </c>
      <c r="F2795" s="11" t="s">
        <v>26</v>
      </c>
      <c r="G2795" s="11" t="s">
        <v>26</v>
      </c>
      <c r="H2795" s="12" t="s">
        <v>4429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5179</v>
      </c>
      <c r="D2796" s="11">
        <v>17332</v>
      </c>
      <c r="E2796" s="11" t="s">
        <v>5180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5181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5182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5183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5184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5185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5186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5187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5188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5189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2">
        <f>+L2805*O2805</f>
        <v>1551.9</v>
      </c>
      <c r="S2805" s="72">
        <v>0</v>
      </c>
      <c r="T2805" s="72">
        <f>+L2805*S2805</f>
        <v>0</v>
      </c>
      <c r="U2805" s="72">
        <f>+R2805-T2805</f>
        <v>1551.9</v>
      </c>
      <c r="V2805" s="72">
        <f t="shared" ref="V2805" si="653">+U2805*0</f>
        <v>0</v>
      </c>
      <c r="W2805" s="72">
        <f>+U2805-V2805</f>
        <v>1551.9</v>
      </c>
      <c r="X2805" s="72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5190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5191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4453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5192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5193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5194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5195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5196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5197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4455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5198</v>
      </c>
      <c r="D2814" s="11">
        <v>17350</v>
      </c>
      <c r="E2814" s="11" t="s">
        <v>1207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5199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5200</v>
      </c>
      <c r="D2816" s="11">
        <v>17352</v>
      </c>
      <c r="E2816" s="11" t="s">
        <v>5201</v>
      </c>
      <c r="F2816" s="11" t="s">
        <v>26</v>
      </c>
      <c r="G2816" s="11">
        <v>78001</v>
      </c>
      <c r="H2816" s="12" t="s">
        <v>4455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5202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6335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5203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4455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5204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5205</v>
      </c>
      <c r="D2820" s="11">
        <v>17356</v>
      </c>
      <c r="E2820" s="11" t="s">
        <v>5180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5206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4453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5207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5208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5209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5210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5211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12" t="s">
        <v>6335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5212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5213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5214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5215</v>
      </c>
      <c r="D2830" s="11">
        <v>17367</v>
      </c>
      <c r="E2830" s="11" t="s">
        <v>5216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5217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5218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5219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1916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5220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5221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5222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5223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5224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5225</v>
      </c>
      <c r="D2839" s="11">
        <v>17379</v>
      </c>
      <c r="E2839" s="11" t="s">
        <v>5226</v>
      </c>
      <c r="F2839" s="11" t="s">
        <v>26</v>
      </c>
      <c r="G2839" s="11">
        <v>56916</v>
      </c>
      <c r="H2839" s="12" t="s">
        <v>4430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5227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5228</v>
      </c>
      <c r="D2841" s="11">
        <v>17380</v>
      </c>
      <c r="E2841" s="11" t="s">
        <v>1207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5229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6335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5230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4430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5231</v>
      </c>
      <c r="D2844" s="11">
        <v>17383</v>
      </c>
      <c r="E2844" s="11" t="s">
        <v>5180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5232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5233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6335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5234</v>
      </c>
      <c r="D2847" s="11">
        <v>17386</v>
      </c>
      <c r="E2847" s="11" t="s">
        <v>5216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5235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5236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5237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5238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5239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5240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5241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2">
        <f>+L2854*O2854</f>
        <v>1556.1000000000001</v>
      </c>
      <c r="S2854" s="72">
        <v>0</v>
      </c>
      <c r="T2854" s="72">
        <f>+L2854*S2854</f>
        <v>0</v>
      </c>
      <c r="U2854" s="72">
        <f>+R2854-T2854</f>
        <v>1556.1000000000001</v>
      </c>
      <c r="V2854" s="72">
        <f t="shared" si="712"/>
        <v>0</v>
      </c>
      <c r="W2854" s="72">
        <f>+U2854-V2854</f>
        <v>1556.1000000000001</v>
      </c>
      <c r="X2854" s="72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5242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5243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5244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5245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5246</v>
      </c>
      <c r="D2859" s="11">
        <v>17398</v>
      </c>
      <c r="E2859" s="11" t="s">
        <v>5247</v>
      </c>
      <c r="F2859" s="11" t="s">
        <v>26</v>
      </c>
      <c r="G2859" s="11">
        <v>112785</v>
      </c>
      <c r="H2859" s="12" t="s">
        <v>4453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5248</v>
      </c>
      <c r="D2860" s="11">
        <v>17399</v>
      </c>
      <c r="E2860" s="11" t="s">
        <v>5249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5250</v>
      </c>
      <c r="D2861" s="11">
        <v>17400</v>
      </c>
      <c r="E2861" s="11" t="s">
        <v>5251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5252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5253</v>
      </c>
      <c r="D2863" s="11">
        <v>17402</v>
      </c>
      <c r="E2863" s="11" t="s">
        <v>2071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5254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5255</v>
      </c>
      <c r="D2865" s="11">
        <v>17404</v>
      </c>
      <c r="E2865" s="11" t="s">
        <v>2073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5256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5257</v>
      </c>
      <c r="C2867" s="11" t="s">
        <v>5258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3997</v>
      </c>
      <c r="C2868" s="11" t="s">
        <v>5259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5260</v>
      </c>
      <c r="C2869" s="11" t="s">
        <v>5261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5262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5263</v>
      </c>
      <c r="C2871" s="11" t="s">
        <v>5264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5265</v>
      </c>
      <c r="C2872" s="11" t="s">
        <v>5266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5267</v>
      </c>
      <c r="C2873" s="11" t="s">
        <v>5268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4453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5269</v>
      </c>
      <c r="C2874" s="11" t="s">
        <v>5270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5271</v>
      </c>
      <c r="D2875" s="11">
        <v>17414</v>
      </c>
      <c r="E2875" s="11" t="s">
        <v>2116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2">
        <f>+L2875*O2875</f>
        <v>1530.2</v>
      </c>
      <c r="S2875" s="72">
        <v>0</v>
      </c>
      <c r="T2875" s="72">
        <f>+L2875*S2875</f>
        <v>0</v>
      </c>
      <c r="U2875" s="72">
        <f>+R2875-T2875</f>
        <v>1530.2</v>
      </c>
      <c r="V2875" s="72">
        <f t="shared" ref="V2875" si="735">+U2875*0</f>
        <v>0</v>
      </c>
      <c r="W2875" s="72">
        <f>+U2875-V2875</f>
        <v>1530.2</v>
      </c>
      <c r="X2875" s="72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5272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4193</v>
      </c>
      <c r="C2877" s="11" t="s">
        <v>5273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5274</v>
      </c>
      <c r="C2878" s="11" t="s">
        <v>5275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5276</v>
      </c>
      <c r="C2879" s="11" t="s">
        <v>5277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5278</v>
      </c>
      <c r="C2880" s="11" t="s">
        <v>5279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4455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5280</v>
      </c>
      <c r="C2881" s="11" t="s">
        <v>5281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5282</v>
      </c>
      <c r="C2882" s="11" t="s">
        <v>5283</v>
      </c>
      <c r="D2882" s="11">
        <v>17421</v>
      </c>
      <c r="E2882" s="11" t="s">
        <v>1207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5284</v>
      </c>
      <c r="C2883" s="11" t="s">
        <v>5285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2">
        <f>+L2883*O2883</f>
        <v>1451.1000000000001</v>
      </c>
      <c r="S2883" s="72">
        <v>0</v>
      </c>
      <c r="T2883" s="72">
        <f>+L2883*S2883</f>
        <v>0</v>
      </c>
      <c r="U2883" s="72">
        <f>+R2883-T2883</f>
        <v>1451.1000000000001</v>
      </c>
      <c r="V2883" s="72">
        <f t="shared" ref="V2883" si="748">+U2883*0</f>
        <v>0</v>
      </c>
      <c r="W2883" s="72">
        <f>+U2883-V2883</f>
        <v>1451.1000000000001</v>
      </c>
      <c r="X2883" s="72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5286</v>
      </c>
      <c r="C2884" s="11" t="s">
        <v>5287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5288</v>
      </c>
      <c r="C2885" s="11" t="s">
        <v>5289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1108</v>
      </c>
      <c r="C2886" s="11" t="s">
        <v>5290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4451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5291</v>
      </c>
      <c r="C2887" s="11" t="s">
        <v>5292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4455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660</v>
      </c>
      <c r="C2888" s="11" t="s">
        <v>5293</v>
      </c>
      <c r="D2888" s="11">
        <v>17427</v>
      </c>
      <c r="E2888" s="11" t="s">
        <v>4602</v>
      </c>
      <c r="F2888" s="11" t="s">
        <v>26</v>
      </c>
      <c r="G2888" s="11">
        <v>78351</v>
      </c>
      <c r="H2888" s="12" t="s">
        <v>4455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5294</v>
      </c>
      <c r="C2889" s="11" t="s">
        <v>5295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5296</v>
      </c>
      <c r="C2890" s="11" t="s">
        <v>5297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5298</v>
      </c>
      <c r="C2891" s="11" t="s">
        <v>5299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4453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1143</v>
      </c>
      <c r="C2892" s="11" t="s">
        <v>5300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5301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5302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5303</v>
      </c>
      <c r="C2895" s="11" t="s">
        <v>5304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4453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5305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5306</v>
      </c>
      <c r="C2897" s="11" t="s">
        <v>5307</v>
      </c>
      <c r="D2897" s="11">
        <v>17436</v>
      </c>
      <c r="E2897" s="11" t="s">
        <v>2116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2">
        <f>+L2897*O2897</f>
        <v>1463</v>
      </c>
      <c r="S2897" s="72">
        <v>0</v>
      </c>
      <c r="T2897" s="72">
        <f>+L2897*S2897</f>
        <v>0</v>
      </c>
      <c r="U2897" s="72">
        <f>+R2897-T2897</f>
        <v>1463</v>
      </c>
      <c r="V2897" s="72">
        <f t="shared" ref="V2897" si="759">+U2897*0</f>
        <v>0</v>
      </c>
      <c r="W2897" s="72">
        <f>+U2897-V2897</f>
        <v>1463</v>
      </c>
      <c r="X2897" s="72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5308</v>
      </c>
      <c r="C2898" s="11" t="s">
        <v>5309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5310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693</v>
      </c>
      <c r="C2900" s="11" t="s">
        <v>5311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4451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5312</v>
      </c>
      <c r="C2901" s="11" t="s">
        <v>5313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4455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2916</v>
      </c>
      <c r="C2902" s="11" t="s">
        <v>5314</v>
      </c>
      <c r="D2902" s="11">
        <v>17441</v>
      </c>
      <c r="E2902" s="11" t="s">
        <v>5039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2">
        <f>+L2902*O2902</f>
        <v>1505</v>
      </c>
      <c r="S2902" s="72">
        <v>0</v>
      </c>
      <c r="T2902" s="72">
        <f>+L2902*S2902</f>
        <v>0</v>
      </c>
      <c r="U2902" s="72">
        <f>+R2902-T2902</f>
        <v>1505</v>
      </c>
      <c r="V2902" s="72">
        <f t="shared" ref="V2902" si="764">+U2902*0</f>
        <v>0</v>
      </c>
      <c r="W2902" s="72">
        <f>+U2902-V2902</f>
        <v>1505</v>
      </c>
      <c r="X2902" s="72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5315</v>
      </c>
      <c r="C2903" s="11" t="s">
        <v>5316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1916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5317</v>
      </c>
      <c r="C2904" s="11" t="s">
        <v>5318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733</v>
      </c>
      <c r="C2905" s="11" t="s">
        <v>5319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5320</v>
      </c>
      <c r="C2906" s="11" t="s">
        <v>5321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5280</v>
      </c>
      <c r="C2907" s="11" t="s">
        <v>5322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5323</v>
      </c>
      <c r="C2908" s="11" t="s">
        <v>5324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4430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5325</v>
      </c>
      <c r="C2909" s="11" t="s">
        <v>5326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5327</v>
      </c>
      <c r="C2910" s="11" t="s">
        <v>5328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2">
        <f>+L2910*O2910</f>
        <v>1542.8</v>
      </c>
      <c r="S2910" s="72">
        <v>0</v>
      </c>
      <c r="T2910" s="72">
        <f>+L2910*S2910</f>
        <v>0</v>
      </c>
      <c r="U2910" s="72">
        <f>+R2910-T2910</f>
        <v>1542.8</v>
      </c>
      <c r="V2910" s="72">
        <f t="shared" ref="V2910" si="773">+U2910*0</f>
        <v>0</v>
      </c>
      <c r="W2910" s="72">
        <f>+U2910-V2910</f>
        <v>1542.8</v>
      </c>
      <c r="X2910" s="72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5280</v>
      </c>
      <c r="C2911" s="11" t="s">
        <v>5329</v>
      </c>
      <c r="D2911" s="11">
        <v>17450</v>
      </c>
      <c r="E2911" s="11" t="s">
        <v>4602</v>
      </c>
      <c r="F2911" s="11" t="s">
        <v>26</v>
      </c>
      <c r="G2911" s="11">
        <v>78352</v>
      </c>
      <c r="H2911" s="12" t="s">
        <v>4455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5330</v>
      </c>
      <c r="C2912" s="11" t="s">
        <v>5331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5332</v>
      </c>
      <c r="C2913" s="11" t="s">
        <v>5333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4430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1375</v>
      </c>
      <c r="C2914" s="11" t="s">
        <v>5334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4455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5335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5336</v>
      </c>
      <c r="C2916" s="11" t="s">
        <v>5337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5338</v>
      </c>
      <c r="C2917" s="11" t="s">
        <v>5339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5340</v>
      </c>
      <c r="C2918" s="11" t="s">
        <v>5341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5342</v>
      </c>
      <c r="C2919" s="11" t="s">
        <v>5343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5344</v>
      </c>
      <c r="C2920" s="11" t="s">
        <v>5345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5346</v>
      </c>
      <c r="C2921" s="11" t="s">
        <v>5347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5348</v>
      </c>
      <c r="C2922" s="11" t="s">
        <v>5349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5350</v>
      </c>
      <c r="C2923" s="11" t="s">
        <v>5351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5352</v>
      </c>
      <c r="C2924" s="11" t="s">
        <v>5353</v>
      </c>
      <c r="D2924" s="11">
        <v>17463</v>
      </c>
      <c r="E2924" s="11" t="s">
        <v>2116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2">
        <f>+L2924*O2924</f>
        <v>1502.2</v>
      </c>
      <c r="S2924" s="72">
        <v>0</v>
      </c>
      <c r="T2924" s="72">
        <f>+L2924*S2924</f>
        <v>0</v>
      </c>
      <c r="U2924" s="72">
        <f>+R2924-T2924</f>
        <v>1502.2</v>
      </c>
      <c r="V2924" s="72">
        <f t="shared" ref="V2924:V2926" si="790">+U2924*0</f>
        <v>0</v>
      </c>
      <c r="W2924" s="72">
        <f>+U2924-V2924</f>
        <v>1502.2</v>
      </c>
      <c r="X2924" s="72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5354</v>
      </c>
      <c r="C2925" s="11" t="s">
        <v>5355</v>
      </c>
      <c r="D2925" s="11">
        <v>17464</v>
      </c>
      <c r="E2925" s="11" t="s">
        <v>5356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5357</v>
      </c>
      <c r="C2926" s="11" t="s">
        <v>5358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5359</v>
      </c>
      <c r="C2927" s="11" t="s">
        <v>5360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5361</v>
      </c>
      <c r="C2928" s="11" t="s">
        <v>5362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5363</v>
      </c>
      <c r="C2929" s="11" t="s">
        <v>5364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5365</v>
      </c>
      <c r="C2930" s="11" t="s">
        <v>5366</v>
      </c>
      <c r="D2930" s="11">
        <v>17469</v>
      </c>
      <c r="E2930" s="11" t="s">
        <v>4330</v>
      </c>
      <c r="F2930" s="11" t="s">
        <v>26</v>
      </c>
      <c r="G2930" s="11">
        <v>2959</v>
      </c>
      <c r="H2930" s="12" t="s">
        <v>4449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4341</v>
      </c>
      <c r="C2931" s="11" t="s">
        <v>5367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5368</v>
      </c>
      <c r="C2932" s="11" t="s">
        <v>5369</v>
      </c>
      <c r="D2932" s="11">
        <v>17471</v>
      </c>
      <c r="E2932" s="11" t="s">
        <v>3644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5370</v>
      </c>
      <c r="C2933" s="11" t="s">
        <v>5371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5372</v>
      </c>
      <c r="C2934" s="11" t="s">
        <v>5373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5374</v>
      </c>
      <c r="D2935" s="11">
        <v>17474</v>
      </c>
      <c r="E2935" s="11" t="s">
        <v>5039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2">
        <f>+L2935*O2935</f>
        <v>1451.1000000000001</v>
      </c>
      <c r="S2935" s="72">
        <v>0</v>
      </c>
      <c r="T2935" s="72">
        <f>+L2935*S2935</f>
        <v>0</v>
      </c>
      <c r="U2935" s="72">
        <f>+R2935-T2935</f>
        <v>1451.1000000000001</v>
      </c>
      <c r="V2935" s="72">
        <f t="shared" ref="V2935:V2936" si="805">+U2935*0</f>
        <v>0</v>
      </c>
      <c r="W2935" s="72">
        <f>+U2935-V2935</f>
        <v>1451.1000000000001</v>
      </c>
      <c r="X2935" s="72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2712</v>
      </c>
      <c r="C2936" s="11" t="s">
        <v>5375</v>
      </c>
      <c r="D2936" s="11">
        <v>17475</v>
      </c>
      <c r="E2936" s="11" t="s">
        <v>5376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2">
        <f>+L2936*O2936</f>
        <v>1501.5</v>
      </c>
      <c r="S2936" s="72">
        <v>0</v>
      </c>
      <c r="T2936" s="72">
        <f>+L2936*S2936</f>
        <v>0</v>
      </c>
      <c r="U2936" s="72">
        <f>+R2936-T2936</f>
        <v>1501.5</v>
      </c>
      <c r="V2936" s="72">
        <f t="shared" si="805"/>
        <v>0</v>
      </c>
      <c r="W2936" s="72">
        <f>+U2936-V2936</f>
        <v>1501.5</v>
      </c>
      <c r="X2936" s="72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5377</v>
      </c>
      <c r="C2937" s="11" t="s">
        <v>5378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4021</v>
      </c>
      <c r="C2938" s="11" t="s">
        <v>5379</v>
      </c>
      <c r="D2938" s="11">
        <v>17477</v>
      </c>
      <c r="E2938" s="11" t="s">
        <v>5380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5381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3020</v>
      </c>
      <c r="C2940" s="11" t="s">
        <v>5382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12" t="s">
        <v>6335</v>
      </c>
      <c r="AA2940" s="12" t="s">
        <v>78</v>
      </c>
    </row>
    <row r="2941" spans="1:27" x14ac:dyDescent="0.25">
      <c r="A2941" s="10">
        <v>45701</v>
      </c>
      <c r="B2941" s="11" t="s">
        <v>5383</v>
      </c>
      <c r="C2941" s="11" t="s">
        <v>5384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5385</v>
      </c>
      <c r="C2942" s="11" t="s">
        <v>5386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5387</v>
      </c>
      <c r="C2943" s="11" t="s">
        <v>5388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4430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4147</v>
      </c>
      <c r="C2944" s="11" t="s">
        <v>5389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5390</v>
      </c>
      <c r="C2945" s="11" t="s">
        <v>5391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4455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5392</v>
      </c>
      <c r="C2946" s="11" t="s">
        <v>5393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1276</v>
      </c>
      <c r="C2947" s="11" t="s">
        <v>5394</v>
      </c>
      <c r="D2947" s="11">
        <v>17486</v>
      </c>
      <c r="E2947" s="11" t="s">
        <v>4602</v>
      </c>
      <c r="F2947" s="11" t="s">
        <v>26</v>
      </c>
      <c r="G2947" s="11">
        <v>78353</v>
      </c>
      <c r="H2947" s="12" t="s">
        <v>4455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5395</v>
      </c>
      <c r="C2948" s="11" t="s">
        <v>5396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5397</v>
      </c>
      <c r="C2949" s="11" t="s">
        <v>5398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4455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5399</v>
      </c>
      <c r="C2950" s="11" t="s">
        <v>5400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5401</v>
      </c>
      <c r="C2951" s="11" t="s">
        <v>5402</v>
      </c>
      <c r="D2951" s="11">
        <v>17490</v>
      </c>
      <c r="E2951" s="11" t="s">
        <v>1207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1371</v>
      </c>
      <c r="C2952" s="11" t="s">
        <v>5403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5404</v>
      </c>
      <c r="C2953" s="11" t="s">
        <v>5405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5406</v>
      </c>
      <c r="C2954" s="11" t="s">
        <v>5407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5408</v>
      </c>
      <c r="C2955" s="11" t="s">
        <v>5409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1106</v>
      </c>
      <c r="C2956" s="11" t="s">
        <v>5410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4455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5411</v>
      </c>
      <c r="C2957" s="11" t="s">
        <v>5412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1377</v>
      </c>
      <c r="C2958" s="11" t="s">
        <v>5413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5414</v>
      </c>
      <c r="C2959" s="11" t="s">
        <v>5415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4430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5416</v>
      </c>
      <c r="C2960" s="11" t="s">
        <v>5417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694</v>
      </c>
      <c r="C2961" s="11" t="s">
        <v>5418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1916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5419</v>
      </c>
      <c r="C2962" s="11" t="s">
        <v>5420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5421</v>
      </c>
      <c r="C2963" s="11" t="s">
        <v>5422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4455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5423</v>
      </c>
      <c r="C2964" s="11" t="s">
        <v>5424</v>
      </c>
      <c r="D2964" s="11">
        <v>17503</v>
      </c>
      <c r="E2964" s="11" t="s">
        <v>5425</v>
      </c>
      <c r="F2964" s="11" t="s">
        <v>26</v>
      </c>
      <c r="G2964" s="11">
        <v>44332</v>
      </c>
      <c r="H2964" s="12" t="s">
        <v>4430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5426</v>
      </c>
      <c r="C2965" s="11" t="s">
        <v>5427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4453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5428</v>
      </c>
      <c r="C2966" s="11" t="s">
        <v>5429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5430</v>
      </c>
      <c r="C2967" s="11" t="s">
        <v>5431</v>
      </c>
      <c r="D2967" s="11">
        <v>17506</v>
      </c>
      <c r="E2967" s="11" t="s">
        <v>5216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5432</v>
      </c>
      <c r="C2968" s="11" t="s">
        <v>5433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5434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2">
        <f>+L2969*O2969</f>
        <v>1516.9</v>
      </c>
      <c r="S2969" s="72">
        <v>0</v>
      </c>
      <c r="T2969" s="72">
        <f>+L2969*S2969</f>
        <v>0</v>
      </c>
      <c r="U2969" s="72">
        <f>+R2969-T2969</f>
        <v>1516.9</v>
      </c>
      <c r="V2969" s="72">
        <f t="shared" si="843"/>
        <v>0</v>
      </c>
      <c r="W2969" s="72">
        <f>+U2969-V2969</f>
        <v>1516.9</v>
      </c>
      <c r="X2969" s="72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5435</v>
      </c>
      <c r="C2970" s="11" t="s">
        <v>5436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4455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5437</v>
      </c>
      <c r="C2971" s="11" t="s">
        <v>5438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6335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2509</v>
      </c>
      <c r="C2972" s="11" t="s">
        <v>5439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4455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5440</v>
      </c>
      <c r="C2973" s="11" t="s">
        <v>5441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12" t="s">
        <v>6335</v>
      </c>
      <c r="AA2973" s="12" t="s">
        <v>78</v>
      </c>
    </row>
    <row r="2974" spans="1:27" x14ac:dyDescent="0.25">
      <c r="A2974" s="10">
        <v>45701</v>
      </c>
      <c r="B2974" s="11" t="s">
        <v>5442</v>
      </c>
      <c r="C2974" s="11" t="s">
        <v>5443</v>
      </c>
      <c r="D2974" s="11">
        <v>17513</v>
      </c>
      <c r="E2974" s="11" t="s">
        <v>1207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5444</v>
      </c>
      <c r="C2975" s="11" t="s">
        <v>5445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5446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2712</v>
      </c>
      <c r="C2977" s="11" t="s">
        <v>5447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5448</v>
      </c>
      <c r="C2978" s="11" t="s">
        <v>5449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5450</v>
      </c>
      <c r="D2979" s="11">
        <v>17519</v>
      </c>
      <c r="E2979" s="11" t="s">
        <v>4330</v>
      </c>
      <c r="F2979" s="11" t="s">
        <v>26</v>
      </c>
      <c r="G2979" s="11">
        <v>2961</v>
      </c>
      <c r="H2979" s="12" t="s">
        <v>4449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5451</v>
      </c>
      <c r="C2980" s="11" t="s">
        <v>5452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1434</v>
      </c>
      <c r="C2981" s="11" t="s">
        <v>5453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1916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749</v>
      </c>
      <c r="C2982" s="11" t="s">
        <v>5454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4430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722</v>
      </c>
      <c r="C2983" s="11" t="s">
        <v>5455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5456</v>
      </c>
      <c r="C2984" s="11" t="s">
        <v>5457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1815</v>
      </c>
      <c r="C2985" s="11" t="s">
        <v>5458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5459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4430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5460</v>
      </c>
      <c r="C2987" s="11" t="s">
        <v>5461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5462</v>
      </c>
      <c r="C2988" s="11" t="s">
        <v>5463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5464</v>
      </c>
      <c r="C2989" s="11" t="s">
        <v>5465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5466</v>
      </c>
      <c r="C2990" s="11" t="s">
        <v>5467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5468</v>
      </c>
      <c r="D2991" s="11">
        <v>17531</v>
      </c>
      <c r="E2991" s="11" t="s">
        <v>5216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5469</v>
      </c>
      <c r="C2992" s="11" t="s">
        <v>5470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4430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5471</v>
      </c>
      <c r="D2993" s="11">
        <v>17533</v>
      </c>
      <c r="E2993" s="11" t="s">
        <v>3793</v>
      </c>
      <c r="F2993" s="11" t="s">
        <v>26</v>
      </c>
      <c r="G2993" s="11">
        <v>24341</v>
      </c>
      <c r="H2993" s="12" t="s">
        <v>4455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5472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6335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5473</v>
      </c>
      <c r="C2995" s="11" t="s">
        <v>5474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5475</v>
      </c>
      <c r="C2996" s="11" t="s">
        <v>5476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5477</v>
      </c>
      <c r="C2997" s="11" t="s">
        <v>5478</v>
      </c>
      <c r="D2997" s="11">
        <v>17537</v>
      </c>
      <c r="E2997" s="11" t="s">
        <v>5479</v>
      </c>
      <c r="F2997" s="11" t="s">
        <v>26</v>
      </c>
      <c r="G2997" s="11">
        <v>112858</v>
      </c>
      <c r="H2997" s="12" t="s">
        <v>4453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5480</v>
      </c>
      <c r="C2998" s="11" t="s">
        <v>5481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4454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1390</v>
      </c>
      <c r="C2999" s="11" t="s">
        <v>5482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5483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6335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5484</v>
      </c>
      <c r="C3001" s="11" t="s">
        <v>5485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5486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5487</v>
      </c>
      <c r="C3003" s="11" t="s">
        <v>5488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4430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707</v>
      </c>
      <c r="C3004" s="11" t="s">
        <v>5489</v>
      </c>
      <c r="D3004" s="11">
        <v>17545</v>
      </c>
      <c r="E3004" s="11" t="s">
        <v>5216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5490</v>
      </c>
      <c r="C3005" s="11" t="s">
        <v>5491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4453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5492</v>
      </c>
      <c r="C3006" s="11" t="s">
        <v>5493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5494</v>
      </c>
      <c r="C3007" s="11" t="s">
        <v>5495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5496</v>
      </c>
      <c r="C3008" s="11" t="s">
        <v>5497</v>
      </c>
      <c r="D3008" s="11">
        <v>17549</v>
      </c>
      <c r="E3008" s="11" t="s">
        <v>2071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5498</v>
      </c>
      <c r="C3009" s="11" t="s">
        <v>5499</v>
      </c>
      <c r="D3009" s="11">
        <v>17550</v>
      </c>
      <c r="E3009" s="11" t="s">
        <v>2060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5500</v>
      </c>
      <c r="C3010" s="11" t="s">
        <v>5501</v>
      </c>
      <c r="D3010" s="11">
        <v>17551</v>
      </c>
      <c r="E3010" s="11" t="s">
        <v>5502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5503</v>
      </c>
      <c r="C3011" s="11" t="s">
        <v>5504</v>
      </c>
      <c r="D3011" s="11">
        <v>17552</v>
      </c>
      <c r="E3011" s="11" t="s">
        <v>5226</v>
      </c>
      <c r="F3011" s="11" t="s">
        <v>26</v>
      </c>
      <c r="G3011" s="11">
        <v>56920</v>
      </c>
      <c r="H3011" s="12" t="s">
        <v>4430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5505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4293</v>
      </c>
      <c r="C3013" s="11" t="s">
        <v>5506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5507</v>
      </c>
      <c r="C3014" s="11" t="s">
        <v>5508</v>
      </c>
      <c r="D3014" s="11">
        <v>17555</v>
      </c>
      <c r="E3014" s="11" t="s">
        <v>1288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5509</v>
      </c>
      <c r="C3015" s="11" t="s">
        <v>5510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2669</v>
      </c>
      <c r="C3016" s="11" t="s">
        <v>5511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5512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4455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5513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5392</v>
      </c>
      <c r="C3019" s="11" t="s">
        <v>5514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4455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2931</v>
      </c>
      <c r="C3020" s="11" t="s">
        <v>5515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5516</v>
      </c>
      <c r="C3021" s="11" t="s">
        <v>5517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4430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5518</v>
      </c>
      <c r="C3022" s="11" t="s">
        <v>5519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6335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X3022" s="72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5520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5521</v>
      </c>
      <c r="C3024" s="11" t="s">
        <v>5522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5523</v>
      </c>
      <c r="C3025" s="11" t="s">
        <v>5524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5525</v>
      </c>
      <c r="C3026" s="11" t="s">
        <v>5526</v>
      </c>
      <c r="D3026" s="11">
        <v>17567</v>
      </c>
      <c r="E3026" s="11" t="s">
        <v>4168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5527</v>
      </c>
      <c r="C3027" s="11" t="s">
        <v>5528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5529</v>
      </c>
      <c r="C3028" s="11" t="s">
        <v>5530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5531</v>
      </c>
      <c r="C3029" s="11" t="s">
        <v>5532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5533</v>
      </c>
      <c r="C3030" s="11" t="s">
        <v>5534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5535</v>
      </c>
      <c r="C3031" s="11" t="s">
        <v>5536</v>
      </c>
      <c r="D3031" s="11">
        <v>17572</v>
      </c>
      <c r="E3031" s="11" t="s">
        <v>5110</v>
      </c>
      <c r="F3031" s="11" t="s">
        <v>26</v>
      </c>
      <c r="G3031" s="11">
        <v>78102</v>
      </c>
      <c r="H3031" s="12" t="s">
        <v>4455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5537</v>
      </c>
      <c r="C3032" s="11" t="s">
        <v>5538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5539</v>
      </c>
      <c r="C3033" s="11" t="s">
        <v>5540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2">
        <f>+L3033*O3033</f>
        <v>1563.8</v>
      </c>
      <c r="S3033" s="72">
        <v>0</v>
      </c>
      <c r="T3033" s="72">
        <f>+L3033*S3033</f>
        <v>0</v>
      </c>
      <c r="U3033" s="72">
        <f>+R3033-T3033</f>
        <v>1563.8</v>
      </c>
      <c r="V3033" s="72">
        <f t="shared" ref="V3033" si="915">+U3033*0</f>
        <v>0</v>
      </c>
      <c r="W3033" s="72">
        <f>+U3033-V3033</f>
        <v>1563.8</v>
      </c>
      <c r="X3033" s="72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5541</v>
      </c>
      <c r="C3034" s="11" t="s">
        <v>5542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5543</v>
      </c>
      <c r="C3035" s="11" t="s">
        <v>5544</v>
      </c>
      <c r="D3035" s="11">
        <v>17576</v>
      </c>
      <c r="E3035" s="11" t="s">
        <v>1207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5545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4430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5546</v>
      </c>
      <c r="C3037" s="11" t="s">
        <v>5547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1932</v>
      </c>
      <c r="C3038" s="11" t="s">
        <v>5548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5549</v>
      </c>
      <c r="C3039" s="11" t="s">
        <v>5550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2">
        <f>+L3039*O3039</f>
        <v>1555.3999999999999</v>
      </c>
      <c r="S3039" s="72">
        <v>0</v>
      </c>
      <c r="T3039" s="72">
        <f>+L3039*S3039</f>
        <v>0</v>
      </c>
      <c r="U3039" s="72">
        <f>+R3039-T3039</f>
        <v>1555.3999999999999</v>
      </c>
      <c r="V3039" s="72">
        <f t="shared" si="925"/>
        <v>0</v>
      </c>
      <c r="W3039" s="72">
        <f>+U3039-V3039</f>
        <v>1555.3999999999999</v>
      </c>
      <c r="X3039" s="72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663</v>
      </c>
      <c r="C3040" s="11" t="s">
        <v>5551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5552</v>
      </c>
      <c r="C3041" s="11" t="s">
        <v>5553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4430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5554</v>
      </c>
      <c r="C3042" s="11" t="s">
        <v>5555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5556</v>
      </c>
      <c r="C3043" s="11" t="s">
        <v>5557</v>
      </c>
      <c r="D3043" s="11">
        <v>17584</v>
      </c>
      <c r="E3043" s="11" t="s">
        <v>2116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2">
        <f>+L3043*O3043</f>
        <v>1614.9</v>
      </c>
      <c r="S3043" s="72">
        <v>0</v>
      </c>
      <c r="T3043" s="72">
        <f>+L3043*S3043</f>
        <v>0</v>
      </c>
      <c r="U3043" s="72">
        <f>+R3043-T3043</f>
        <v>1614.9</v>
      </c>
      <c r="V3043" s="72">
        <f t="shared" ref="V3043" si="932">+U3043*0</f>
        <v>0</v>
      </c>
      <c r="W3043" s="72">
        <f>+U3043-V3043</f>
        <v>1614.9</v>
      </c>
      <c r="X3043" s="72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5558</v>
      </c>
      <c r="C3044" s="11" t="s">
        <v>5559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4453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5560</v>
      </c>
      <c r="C3045" s="11" t="s">
        <v>5561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5562</v>
      </c>
      <c r="C3046" s="11" t="s">
        <v>5563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4455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4113</v>
      </c>
      <c r="C3047" s="11" t="s">
        <v>5564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5565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5566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5567</v>
      </c>
      <c r="C3050" s="11" t="s">
        <v>5568</v>
      </c>
      <c r="D3050" s="11">
        <v>17591</v>
      </c>
      <c r="E3050" s="11" t="s">
        <v>5216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1755</v>
      </c>
      <c r="C3051" s="11" t="s">
        <v>5569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4455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2556</v>
      </c>
      <c r="C3052" s="11" t="s">
        <v>5570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4455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1797</v>
      </c>
      <c r="C3053" s="11" t="s">
        <v>5571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4430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709</v>
      </c>
      <c r="C3054" s="11" t="s">
        <v>5572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6335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X3054" s="72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5573</v>
      </c>
      <c r="C3055" s="11" t="s">
        <v>5574</v>
      </c>
      <c r="D3055" s="11">
        <v>17596</v>
      </c>
      <c r="E3055" s="11" t="s">
        <v>2133</v>
      </c>
      <c r="F3055" s="11" t="s">
        <v>26</v>
      </c>
      <c r="G3055" s="11">
        <v>112861</v>
      </c>
      <c r="H3055" s="12" t="s">
        <v>4453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5575</v>
      </c>
      <c r="C3056" s="11" t="s">
        <v>5576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4196</v>
      </c>
      <c r="C3057" s="11" t="s">
        <v>5577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4395</v>
      </c>
      <c r="C3058" s="11" t="s">
        <v>5578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2">
        <f>+L3058*O3058</f>
        <v>1538.6000000000001</v>
      </c>
      <c r="S3058" s="72">
        <v>0</v>
      </c>
      <c r="T3058" s="72">
        <f>+L3058*S3058</f>
        <v>0</v>
      </c>
      <c r="U3058" s="72">
        <f>+R3058-T3058</f>
        <v>1538.6000000000001</v>
      </c>
      <c r="V3058" s="72">
        <f t="shared" si="948"/>
        <v>0</v>
      </c>
      <c r="W3058" s="72">
        <f>+U3058-V3058</f>
        <v>1538.6000000000001</v>
      </c>
      <c r="X3058" s="72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2012</v>
      </c>
      <c r="C3059" s="11" t="s">
        <v>5579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5580</v>
      </c>
      <c r="C3060" s="11" t="s">
        <v>5581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5582</v>
      </c>
      <c r="C3061" s="11" t="s">
        <v>5583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1863</v>
      </c>
      <c r="C3062" s="11" t="s">
        <v>5584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5585</v>
      </c>
      <c r="C3063" s="11" t="s">
        <v>5586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4430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2743</v>
      </c>
      <c r="C3064" s="11" t="s">
        <v>5587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5588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5589</v>
      </c>
      <c r="C3066" s="11" t="s">
        <v>5590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4430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2821</v>
      </c>
      <c r="C3067" s="11" t="s">
        <v>5591</v>
      </c>
      <c r="D3067" s="11">
        <v>17608</v>
      </c>
      <c r="E3067" s="11" t="s">
        <v>5216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5592</v>
      </c>
      <c r="C3068" s="11" t="s">
        <v>5593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5594</v>
      </c>
      <c r="C3069" s="11" t="s">
        <v>5595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4453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5596</v>
      </c>
      <c r="C3070" s="11" t="s">
        <v>5597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5598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5599</v>
      </c>
      <c r="C3072" s="11" t="s">
        <v>5600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5601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3979</v>
      </c>
      <c r="C3074" s="11" t="s">
        <v>5602</v>
      </c>
      <c r="D3074" s="11">
        <v>17615</v>
      </c>
      <c r="E3074" s="11" t="s">
        <v>1207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1801</v>
      </c>
      <c r="C3075" s="11" t="s">
        <v>5603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6335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X3075" s="72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5604</v>
      </c>
      <c r="C3076" s="11" t="s">
        <v>5605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4453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5606</v>
      </c>
      <c r="C3077" s="11" t="s">
        <v>5607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5608</v>
      </c>
      <c r="C3078" s="11" t="s">
        <v>5609</v>
      </c>
      <c r="D3078" s="11">
        <v>17619</v>
      </c>
      <c r="E3078" s="11" t="s">
        <v>2133</v>
      </c>
      <c r="F3078" s="11" t="s">
        <v>26</v>
      </c>
      <c r="G3078" s="11">
        <v>112868</v>
      </c>
      <c r="H3078" s="12" t="s">
        <v>4453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3332</v>
      </c>
      <c r="C3079" s="11" t="s">
        <v>5610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4453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5611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5612</v>
      </c>
      <c r="C3081" s="11" t="s">
        <v>5613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2">
        <f>+L3081*O3081</f>
        <v>1476.3</v>
      </c>
      <c r="S3081" s="72">
        <v>0</v>
      </c>
      <c r="T3081" s="72">
        <f>+L3081*S3081</f>
        <v>0</v>
      </c>
      <c r="U3081" s="72">
        <f>+R3081-T3081</f>
        <v>1476.3</v>
      </c>
      <c r="V3081" s="72">
        <f t="shared" si="976"/>
        <v>0</v>
      </c>
      <c r="W3081" s="72">
        <f>+U3081-V3081</f>
        <v>1476.3</v>
      </c>
      <c r="X3081" s="72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5614</v>
      </c>
      <c r="C3082" s="11" t="s">
        <v>5615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5616</v>
      </c>
      <c r="D3083" s="11">
        <v>17624</v>
      </c>
      <c r="E3083" s="11" t="s">
        <v>5216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736</v>
      </c>
      <c r="C3084" s="11" t="s">
        <v>5617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4455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5618</v>
      </c>
      <c r="C3085" s="11" t="s">
        <v>5619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5620</v>
      </c>
      <c r="C3086" s="11" t="s">
        <v>5621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5622</v>
      </c>
      <c r="C3087" s="11" t="s">
        <v>5623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5624</v>
      </c>
      <c r="C3088" s="11" t="s">
        <v>5625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5282</v>
      </c>
      <c r="C3089" s="11" t="s">
        <v>5626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5627</v>
      </c>
      <c r="C3090" s="11" t="s">
        <v>5628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2">
        <f>+L3090*O3090</f>
        <v>1577.1000000000001</v>
      </c>
      <c r="S3090" s="72">
        <v>0</v>
      </c>
      <c r="T3090" s="72">
        <f>+L3090*S3090</f>
        <v>0</v>
      </c>
      <c r="U3090" s="72">
        <f>+R3090-T3090</f>
        <v>1577.1000000000001</v>
      </c>
      <c r="V3090" s="72">
        <f t="shared" ref="V3090" si="989">+U3090*0</f>
        <v>0</v>
      </c>
      <c r="W3090" s="72">
        <f>+U3090-V3090</f>
        <v>1577.1000000000001</v>
      </c>
      <c r="X3090" s="72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5629</v>
      </c>
      <c r="C3091" s="11" t="s">
        <v>5630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5631</v>
      </c>
      <c r="C3092" s="11" t="s">
        <v>5632</v>
      </c>
      <c r="D3092" s="11">
        <v>17633</v>
      </c>
      <c r="E3092" s="11" t="s">
        <v>2116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5633</v>
      </c>
      <c r="C3093" s="11" t="s">
        <v>5634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4430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5635</v>
      </c>
      <c r="C3094" s="11" t="s">
        <v>5636</v>
      </c>
      <c r="D3094" s="11">
        <v>17635</v>
      </c>
      <c r="E3094" s="11" t="s">
        <v>5039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2">
        <f>+L3094*O3094</f>
        <v>1511.3</v>
      </c>
      <c r="S3094" s="72">
        <v>0</v>
      </c>
      <c r="T3094" s="72">
        <f>+L3094*S3094</f>
        <v>0</v>
      </c>
      <c r="U3094" s="72">
        <f>+R3094-T3094</f>
        <v>1511.3</v>
      </c>
      <c r="V3094" s="72">
        <f t="shared" ref="V3094" si="993">+U3094*0</f>
        <v>0</v>
      </c>
      <c r="W3094" s="72">
        <f>+U3094-V3094</f>
        <v>1511.3</v>
      </c>
      <c r="X3094" s="72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5637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3341</v>
      </c>
      <c r="C3096" s="11" t="s">
        <v>5638</v>
      </c>
      <c r="D3096" s="11">
        <v>17637</v>
      </c>
      <c r="E3096" s="11" t="s">
        <v>5639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5640</v>
      </c>
      <c r="C3097" s="11" t="s">
        <v>5641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4453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5642</v>
      </c>
      <c r="C3098" s="11" t="s">
        <v>5643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4455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1230</v>
      </c>
      <c r="C3099" s="11" t="s">
        <v>5644</v>
      </c>
      <c r="D3099" s="11">
        <v>17640</v>
      </c>
      <c r="E3099" s="11" t="s">
        <v>1207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5645</v>
      </c>
      <c r="C3100" s="11" t="s">
        <v>5646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4453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3655</v>
      </c>
      <c r="C3101" s="11" t="s">
        <v>5647</v>
      </c>
      <c r="D3101" s="11">
        <v>17642</v>
      </c>
      <c r="E3101" s="11" t="s">
        <v>5479</v>
      </c>
      <c r="F3101" s="11" t="s">
        <v>26</v>
      </c>
      <c r="G3101" s="11">
        <v>112871</v>
      </c>
      <c r="H3101" s="12" t="s">
        <v>4453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5648</v>
      </c>
      <c r="C3102" s="11" t="s">
        <v>5649</v>
      </c>
      <c r="D3102" s="11">
        <v>17643</v>
      </c>
      <c r="E3102" s="11" t="s">
        <v>1288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5650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4455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5651</v>
      </c>
      <c r="C3104" s="11" t="s">
        <v>5652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4455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2238</v>
      </c>
      <c r="C3105" s="11" t="s">
        <v>5653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4455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5654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3689</v>
      </c>
      <c r="C3107" s="11" t="s">
        <v>5655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6335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X3107" s="72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5656</v>
      </c>
      <c r="C3108" s="11" t="s">
        <v>5657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5658</v>
      </c>
      <c r="C3109" s="11" t="s">
        <v>5659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5660</v>
      </c>
      <c r="C3110" s="11" t="s">
        <v>5661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5662</v>
      </c>
      <c r="C3111" s="11" t="s">
        <v>5663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5664</v>
      </c>
      <c r="C3112" s="11" t="s">
        <v>5665</v>
      </c>
      <c r="D3112" s="11">
        <v>17653</v>
      </c>
      <c r="E3112" s="11" t="s">
        <v>5110</v>
      </c>
      <c r="F3112" s="11" t="s">
        <v>26</v>
      </c>
      <c r="G3112" s="11">
        <v>78104</v>
      </c>
      <c r="H3112" s="12" t="s">
        <v>4455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5666</v>
      </c>
      <c r="C3113" s="11" t="s">
        <v>5667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5668</v>
      </c>
      <c r="C3114" s="11" t="s">
        <v>5669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692</v>
      </c>
      <c r="C3115" s="11" t="s">
        <v>5670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5671</v>
      </c>
      <c r="C3116" s="11" t="s">
        <v>5672</v>
      </c>
      <c r="D3116" s="11">
        <v>17657</v>
      </c>
      <c r="E3116" s="11" t="s">
        <v>1207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3324</v>
      </c>
      <c r="C3117" s="11" t="s">
        <v>5673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4268</v>
      </c>
      <c r="C3118" s="11" t="s">
        <v>5674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5675</v>
      </c>
      <c r="C3119" s="11" t="s">
        <v>5676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5677</v>
      </c>
      <c r="C3120" s="11" t="s">
        <v>5678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5679</v>
      </c>
      <c r="C3121" s="11" t="s">
        <v>5680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5280</v>
      </c>
      <c r="C3122" s="11" t="s">
        <v>5681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5682</v>
      </c>
      <c r="C3123" s="11" t="s">
        <v>5683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5684</v>
      </c>
      <c r="C3124" s="11" t="s">
        <v>5685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4453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5686</v>
      </c>
      <c r="C3125" s="11" t="s">
        <v>5687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4453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5688</v>
      </c>
      <c r="C3126" s="11" t="s">
        <v>5689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1112</v>
      </c>
      <c r="C3127" s="11" t="s">
        <v>5690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2">
        <f>+L3127*O3127</f>
        <v>1526</v>
      </c>
      <c r="S3127" s="72">
        <v>0</v>
      </c>
      <c r="T3127" s="72">
        <f>+L3127*S3127</f>
        <v>0</v>
      </c>
      <c r="U3127" s="72">
        <f>+R3127-T3127</f>
        <v>1526</v>
      </c>
      <c r="V3127" s="72">
        <f t="shared" ref="V3127" si="1029">+U3127*0</f>
        <v>0</v>
      </c>
      <c r="W3127" s="72">
        <f>+U3127-V3127</f>
        <v>1526</v>
      </c>
      <c r="X3127" s="72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5691</v>
      </c>
      <c r="C3128" s="11" t="s">
        <v>5692</v>
      </c>
      <c r="D3128" s="11">
        <v>17669</v>
      </c>
      <c r="E3128" s="11" t="s">
        <v>5216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5693</v>
      </c>
      <c r="C3129" s="11" t="s">
        <v>5694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4430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5695</v>
      </c>
      <c r="C3130" s="11" t="s">
        <v>5696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5697</v>
      </c>
      <c r="C3131" s="11" t="s">
        <v>5698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4430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2556</v>
      </c>
      <c r="C3132" s="11" t="s">
        <v>5699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5700</v>
      </c>
      <c r="C3133" s="11" t="s">
        <v>5701</v>
      </c>
      <c r="D3133" s="11">
        <v>17674</v>
      </c>
      <c r="E3133" s="11" t="s">
        <v>5216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5702</v>
      </c>
      <c r="C3134" s="11" t="s">
        <v>5703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5704</v>
      </c>
      <c r="C3135" s="11" t="s">
        <v>5705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4430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5706</v>
      </c>
      <c r="C3136" s="11" t="s">
        <v>5707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6335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X3136" s="72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5708</v>
      </c>
      <c r="C3137" s="11" t="s">
        <v>5709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1916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5710</v>
      </c>
      <c r="C3138" s="11" t="s">
        <v>5711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3922</v>
      </c>
      <c r="C3139" s="11" t="s">
        <v>5712</v>
      </c>
      <c r="D3139" s="11">
        <v>17680</v>
      </c>
      <c r="E3139" s="11" t="s">
        <v>5201</v>
      </c>
      <c r="F3139" s="11" t="s">
        <v>26</v>
      </c>
      <c r="G3139" s="11">
        <v>78005</v>
      </c>
      <c r="H3139" s="12" t="s">
        <v>4455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5713</v>
      </c>
      <c r="C3140" s="11" t="s">
        <v>5714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5715</v>
      </c>
      <c r="C3141" s="11" t="s">
        <v>5716</v>
      </c>
      <c r="D3141" s="11">
        <v>17682</v>
      </c>
      <c r="E3141" s="11" t="s">
        <v>5216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2285</v>
      </c>
      <c r="C3142" s="11" t="s">
        <v>5717</v>
      </c>
      <c r="D3142" s="11">
        <v>17683</v>
      </c>
      <c r="E3142" s="11" t="s">
        <v>4566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5719</v>
      </c>
      <c r="C3143" s="11" t="s">
        <v>5720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5721</v>
      </c>
      <c r="C3144" s="11" t="s">
        <v>5722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4453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5567</v>
      </c>
      <c r="C3145" s="11" t="s">
        <v>5723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5456</v>
      </c>
      <c r="C3146" s="11" t="s">
        <v>5724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5725</v>
      </c>
      <c r="C3147" s="11" t="s">
        <v>5726</v>
      </c>
      <c r="D3147" s="11">
        <v>17688</v>
      </c>
      <c r="E3147" s="11" t="s">
        <v>1207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5727</v>
      </c>
      <c r="C3148" s="11" t="s">
        <v>5728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5729</v>
      </c>
      <c r="C3149" s="11" t="s">
        <v>5730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5731</v>
      </c>
      <c r="C3150" s="11" t="s">
        <v>5732</v>
      </c>
      <c r="D3150" s="11">
        <v>17691</v>
      </c>
      <c r="E3150" s="11" t="s">
        <v>5733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5734</v>
      </c>
      <c r="C3151" s="11" t="s">
        <v>5735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4454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5736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2745</v>
      </c>
      <c r="C3153" s="11" t="s">
        <v>5737</v>
      </c>
      <c r="D3153" s="11">
        <v>17694</v>
      </c>
      <c r="E3153" s="11" t="s">
        <v>5216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5738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5739</v>
      </c>
      <c r="C3155" s="11" t="s">
        <v>5740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5741</v>
      </c>
      <c r="C3156" s="11" t="s">
        <v>5742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5743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5460</v>
      </c>
      <c r="C3158" s="11" t="s">
        <v>5744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3885</v>
      </c>
      <c r="C3159" s="11" t="s">
        <v>5745</v>
      </c>
      <c r="D3159" s="11">
        <v>17700</v>
      </c>
      <c r="E3159" s="11" t="s">
        <v>5746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5747</v>
      </c>
      <c r="C3160" s="11" t="s">
        <v>5748</v>
      </c>
      <c r="D3160" s="11">
        <v>17701</v>
      </c>
      <c r="E3160" s="11" t="s">
        <v>5749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5750</v>
      </c>
      <c r="C3161" s="11" t="s">
        <v>5751</v>
      </c>
      <c r="D3161" s="11">
        <v>17702</v>
      </c>
      <c r="E3161" s="11" t="s">
        <v>5752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5753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5754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5755</v>
      </c>
      <c r="C3164" s="11" t="s">
        <v>5756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4053</v>
      </c>
      <c r="C3165" s="11" t="s">
        <v>5757</v>
      </c>
      <c r="D3165" s="11">
        <v>17706</v>
      </c>
      <c r="E3165" s="11" t="s">
        <v>5376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5758</v>
      </c>
      <c r="C3166" s="11" t="s">
        <v>5759</v>
      </c>
      <c r="D3166" s="11">
        <v>17707</v>
      </c>
      <c r="E3166" s="11" t="s">
        <v>5502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5760</v>
      </c>
      <c r="C3167" s="11" t="s">
        <v>5761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4455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5762</v>
      </c>
      <c r="C3168" s="11" t="s">
        <v>5763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4453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5764</v>
      </c>
      <c r="C3169" s="11" t="s">
        <v>5765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4430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3330</v>
      </c>
      <c r="C3170" s="11" t="s">
        <v>5766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4455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5767</v>
      </c>
      <c r="C3171" s="11" t="s">
        <v>5768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5280</v>
      </c>
      <c r="C3172" s="11" t="s">
        <v>5769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12" t="s">
        <v>6335</v>
      </c>
      <c r="AA3172" s="12" t="s">
        <v>78</v>
      </c>
    </row>
    <row r="3173" spans="1:27" x14ac:dyDescent="0.25">
      <c r="A3173" s="10">
        <v>45705</v>
      </c>
      <c r="B3173" s="11" t="s">
        <v>5770</v>
      </c>
      <c r="C3173" s="11" t="s">
        <v>5771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3902</v>
      </c>
      <c r="C3174" s="11" t="s">
        <v>5772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5773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2990</v>
      </c>
      <c r="C3176" s="11" t="s">
        <v>5774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5775</v>
      </c>
      <c r="C3177" s="11" t="s">
        <v>5776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5777</v>
      </c>
      <c r="C3178" s="11" t="s">
        <v>5778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5432</v>
      </c>
      <c r="C3179" s="11" t="s">
        <v>5779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5780</v>
      </c>
      <c r="C3180" s="11" t="s">
        <v>5781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5782</v>
      </c>
      <c r="C3181" s="11" t="s">
        <v>5783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3783</v>
      </c>
      <c r="C3182" s="11" t="s">
        <v>5784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4455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5785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4455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3641</v>
      </c>
      <c r="C3184" s="11" t="s">
        <v>5786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1649</v>
      </c>
      <c r="C3185" s="11" t="s">
        <v>5787</v>
      </c>
      <c r="D3185" s="11">
        <v>17726</v>
      </c>
      <c r="E3185" s="11" t="s">
        <v>1207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5788</v>
      </c>
      <c r="C3186" s="11" t="s">
        <v>5789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5790</v>
      </c>
      <c r="C3187" s="11" t="s">
        <v>5791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5792</v>
      </c>
      <c r="C3188" s="11" t="s">
        <v>5793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668</v>
      </c>
      <c r="C3189" s="11" t="s">
        <v>5794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5795</v>
      </c>
      <c r="C3190" s="11" t="s">
        <v>5796</v>
      </c>
      <c r="D3190" s="11">
        <v>17731</v>
      </c>
      <c r="E3190" s="11" t="s">
        <v>5216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5797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5798</v>
      </c>
      <c r="C3192" s="11" t="s">
        <v>5799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5800</v>
      </c>
      <c r="C3193" s="11" t="s">
        <v>5801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5802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4453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5803</v>
      </c>
      <c r="C3195" s="11" t="s">
        <v>5804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4430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5805</v>
      </c>
      <c r="C3196" s="11" t="s">
        <v>5806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4430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5807</v>
      </c>
      <c r="C3197" s="11" t="s">
        <v>5808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5809</v>
      </c>
      <c r="C3198" s="11" t="s">
        <v>5810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4430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1860</v>
      </c>
      <c r="C3199" s="11" t="s">
        <v>5811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12" t="s">
        <v>6335</v>
      </c>
      <c r="AA3199" s="12" t="s">
        <v>78</v>
      </c>
    </row>
    <row r="3200" spans="1:27" x14ac:dyDescent="0.25">
      <c r="A3200" s="10">
        <v>45705</v>
      </c>
      <c r="B3200" s="11" t="s">
        <v>5812</v>
      </c>
      <c r="C3200" s="11" t="s">
        <v>5813</v>
      </c>
      <c r="D3200" s="11">
        <v>17741</v>
      </c>
      <c r="E3200" s="11" t="s">
        <v>1207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5814</v>
      </c>
      <c r="C3201" s="11" t="s">
        <v>5815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2666</v>
      </c>
      <c r="C3202" s="11" t="s">
        <v>5816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3763</v>
      </c>
      <c r="C3203" s="11" t="s">
        <v>5817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5818</v>
      </c>
      <c r="C3204" s="11" t="s">
        <v>5819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5820</v>
      </c>
      <c r="C3205" s="11" t="s">
        <v>5821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5822</v>
      </c>
      <c r="C3206" s="11" t="s">
        <v>5823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5824</v>
      </c>
      <c r="C3207" s="11" t="s">
        <v>5825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5826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4430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5827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1062</v>
      </c>
      <c r="C3210" s="11" t="s">
        <v>5828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5829</v>
      </c>
      <c r="C3211" s="11" t="s">
        <v>5830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4455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735</v>
      </c>
      <c r="C3212" s="11" t="s">
        <v>5831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1379</v>
      </c>
      <c r="C3213" s="11" t="s">
        <v>5832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2">
        <f>+L3213*O3213</f>
        <v>1526</v>
      </c>
      <c r="S3213" s="72">
        <v>0</v>
      </c>
      <c r="T3213" s="72">
        <f>+L3213*S3213</f>
        <v>0</v>
      </c>
      <c r="U3213" s="72">
        <f>+R3213-T3213</f>
        <v>1526</v>
      </c>
      <c r="V3213" s="72">
        <f t="shared" ref="V3213" si="1131">+U3213*0</f>
        <v>0</v>
      </c>
      <c r="W3213" s="72">
        <f>+U3213-V3213</f>
        <v>1526</v>
      </c>
      <c r="X3213" s="72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4231</v>
      </c>
      <c r="C3214" s="11" t="s">
        <v>5833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4453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5834</v>
      </c>
      <c r="C3215" s="11" t="s">
        <v>5835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5836</v>
      </c>
      <c r="C3216" s="11" t="s">
        <v>5837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4430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5838</v>
      </c>
      <c r="C3217" s="11" t="s">
        <v>5839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4454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5840</v>
      </c>
      <c r="C3218" s="11" t="s">
        <v>5841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2">
        <f>+L3218*O3218</f>
        <v>1567.3</v>
      </c>
      <c r="S3218" s="72">
        <v>0</v>
      </c>
      <c r="T3218" s="72">
        <f>+L3218*S3218</f>
        <v>0</v>
      </c>
      <c r="U3218" s="72">
        <f>+R3218-T3218</f>
        <v>1567.3</v>
      </c>
      <c r="V3218" s="72">
        <f t="shared" ref="V3218:V3219" si="1139">+U3218*0</f>
        <v>0</v>
      </c>
      <c r="W3218" s="72">
        <f>+U3218-V3218</f>
        <v>1567.3</v>
      </c>
      <c r="X3218" s="72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2538</v>
      </c>
      <c r="C3219" s="11" t="s">
        <v>5842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5843</v>
      </c>
      <c r="C3220" s="11" t="s">
        <v>5844</v>
      </c>
      <c r="D3220" s="11">
        <v>17763</v>
      </c>
      <c r="E3220" s="11" t="s">
        <v>1207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5845</v>
      </c>
      <c r="C3221" s="11" t="s">
        <v>5846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5847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4430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2935</v>
      </c>
      <c r="C3223" s="11" t="s">
        <v>5848</v>
      </c>
      <c r="D3223" s="11">
        <v>17766</v>
      </c>
      <c r="E3223" s="11" t="s">
        <v>5749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5849</v>
      </c>
      <c r="C3224" s="11" t="s">
        <v>5850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3680</v>
      </c>
      <c r="C3225" s="11" t="s">
        <v>5851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2">
        <f>+L3225*O3225</f>
        <v>1573.6000000000001</v>
      </c>
      <c r="S3225" s="72">
        <v>0</v>
      </c>
      <c r="T3225" s="72">
        <f>+L3225*S3225</f>
        <v>0</v>
      </c>
      <c r="U3225" s="72">
        <f>+R3225-T3225</f>
        <v>1573.6000000000001</v>
      </c>
      <c r="V3225" s="72">
        <f t="shared" si="1146"/>
        <v>0</v>
      </c>
      <c r="W3225" s="72">
        <f>+U3225-V3225</f>
        <v>1573.6000000000001</v>
      </c>
      <c r="X3225" s="72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5475</v>
      </c>
      <c r="C3226" s="11" t="s">
        <v>5852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5853</v>
      </c>
      <c r="C3227" s="11" t="s">
        <v>5854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3881</v>
      </c>
      <c r="C3228" s="11" t="s">
        <v>5855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5856</v>
      </c>
      <c r="C3229" s="11" t="s">
        <v>5857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4453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5618</v>
      </c>
      <c r="C3230" s="11" t="s">
        <v>5858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2745</v>
      </c>
      <c r="C3231" s="11" t="s">
        <v>5859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4455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5860</v>
      </c>
      <c r="C3232" s="11" t="s">
        <v>5861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4156</v>
      </c>
      <c r="C3233" s="11" t="s">
        <v>5862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5863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5864</v>
      </c>
      <c r="C3235" s="11" t="s">
        <v>5865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5866</v>
      </c>
      <c r="C3236" s="11" t="s">
        <v>5867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4430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5868</v>
      </c>
      <c r="C3237" s="11" t="s">
        <v>5869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5870</v>
      </c>
      <c r="C3238" s="11" t="s">
        <v>5871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4430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5872</v>
      </c>
      <c r="C3239" s="11" t="s">
        <v>5873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5874</v>
      </c>
      <c r="C3240" s="11" t="s">
        <v>5875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1907</v>
      </c>
      <c r="C3241" s="11" t="s">
        <v>5876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2">
        <f>+L3241*O3241</f>
        <v>1535.1</v>
      </c>
      <c r="S3241" s="72">
        <v>0</v>
      </c>
      <c r="T3241" s="72">
        <f>+L3241*S3241</f>
        <v>0</v>
      </c>
      <c r="U3241" s="72">
        <f>+R3241-T3241</f>
        <v>1535.1</v>
      </c>
      <c r="V3241" s="72">
        <f t="shared" ref="V3241" si="1169">+U3241*0</f>
        <v>0</v>
      </c>
      <c r="W3241" s="72">
        <f>+U3241-V3241</f>
        <v>1535.1</v>
      </c>
      <c r="X3241" s="72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5877</v>
      </c>
      <c r="C3242" s="11" t="s">
        <v>5878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5879</v>
      </c>
      <c r="C3243" s="11" t="s">
        <v>5880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5592</v>
      </c>
      <c r="C3244" s="11" t="s">
        <v>5881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2">
        <f>+L3244*O3244</f>
        <v>1547.7</v>
      </c>
      <c r="S3244" s="72">
        <v>0</v>
      </c>
      <c r="T3244" s="72">
        <f>+L3244*S3244</f>
        <v>0</v>
      </c>
      <c r="U3244" s="72">
        <f>+R3244-T3244</f>
        <v>1547.7</v>
      </c>
      <c r="V3244" s="72">
        <f t="shared" ref="V3244" si="1176">+U3244*0</f>
        <v>0</v>
      </c>
      <c r="W3244" s="72">
        <f>+U3244-V3244</f>
        <v>1547.7</v>
      </c>
      <c r="X3244" s="72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5882</v>
      </c>
      <c r="C3245" s="11" t="s">
        <v>5883</v>
      </c>
      <c r="D3245" s="11">
        <v>17789</v>
      </c>
      <c r="E3245" s="11" t="s">
        <v>1207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5884</v>
      </c>
      <c r="C3246" s="11" t="s">
        <v>5885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5886</v>
      </c>
      <c r="C3247" s="11" t="s">
        <v>5887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3568</v>
      </c>
      <c r="C3248" s="11" t="s">
        <v>5888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5889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4430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1924</v>
      </c>
      <c r="C3250" s="11" t="s">
        <v>5890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5891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5892</v>
      </c>
      <c r="C3252" s="11" t="s">
        <v>5893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4430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5894</v>
      </c>
      <c r="C3253" s="11" t="s">
        <v>5895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4455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3781</v>
      </c>
      <c r="C3254" s="11" t="s">
        <v>5896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5897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5898</v>
      </c>
      <c r="C3256" s="11" t="s">
        <v>5899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5900</v>
      </c>
      <c r="D3257" s="11">
        <v>17801</v>
      </c>
      <c r="E3257" s="11" t="s">
        <v>5901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5902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5903</v>
      </c>
      <c r="D3259" s="11">
        <v>17803</v>
      </c>
      <c r="E3259" s="11" t="s">
        <v>1207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5758</v>
      </c>
      <c r="C3260" s="11" t="s">
        <v>5904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5905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4453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5906</v>
      </c>
      <c r="C3262" s="11" t="s">
        <v>5907</v>
      </c>
      <c r="D3262" s="11">
        <v>17806</v>
      </c>
      <c r="E3262" s="11" t="s">
        <v>5908</v>
      </c>
      <c r="F3262" s="11" t="s">
        <v>26</v>
      </c>
      <c r="G3262" s="11">
        <v>112265</v>
      </c>
      <c r="H3262" s="12" t="s">
        <v>4453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5909</v>
      </c>
      <c r="C3263" s="11" t="s">
        <v>5910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4453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5911</v>
      </c>
      <c r="C3264" s="11" t="s">
        <v>5912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5913</v>
      </c>
      <c r="C3265" s="11" t="s">
        <v>5914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4453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5915</v>
      </c>
      <c r="C3266" s="11" t="s">
        <v>5916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5917</v>
      </c>
      <c r="C3267" s="11" t="s">
        <v>5918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4455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5919</v>
      </c>
      <c r="C3268" s="11" t="s">
        <v>5920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4430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5921</v>
      </c>
      <c r="C3269" s="11" t="s">
        <v>5922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4430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5923</v>
      </c>
      <c r="C3270" s="11" t="s">
        <v>5924</v>
      </c>
      <c r="D3270" s="11">
        <v>17814</v>
      </c>
      <c r="E3270" s="11" t="s">
        <v>5925</v>
      </c>
      <c r="F3270" s="11" t="s">
        <v>26</v>
      </c>
      <c r="G3270" s="11">
        <v>112235</v>
      </c>
      <c r="H3270" s="12" t="s">
        <v>4453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5926</v>
      </c>
      <c r="C3271" s="11" t="s">
        <v>5927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4455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5928</v>
      </c>
      <c r="C3272" s="11" t="s">
        <v>5929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4430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698</v>
      </c>
      <c r="C3273" s="11" t="s">
        <v>5930</v>
      </c>
      <c r="D3273" s="11">
        <v>17818</v>
      </c>
      <c r="E3273" s="11" t="s">
        <v>5931</v>
      </c>
      <c r="F3273" s="11" t="s">
        <v>26</v>
      </c>
      <c r="G3273" s="11">
        <v>112236</v>
      </c>
      <c r="H3273" s="12" t="s">
        <v>4453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5932</v>
      </c>
      <c r="C3274" s="11" t="s">
        <v>5933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1228</v>
      </c>
      <c r="C3275" s="11" t="s">
        <v>5934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1203</v>
      </c>
      <c r="C3276" s="11" t="s">
        <v>5935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5936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5937</v>
      </c>
      <c r="C3278" s="11" t="s">
        <v>5938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1477</v>
      </c>
      <c r="C3279" s="11" t="s">
        <v>5939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5940</v>
      </c>
      <c r="C3280" s="11" t="s">
        <v>5941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2">
        <f>+L3280*O3280</f>
        <v>1572.8999999999999</v>
      </c>
      <c r="S3280" s="72">
        <v>0</v>
      </c>
      <c r="T3280" s="72">
        <f>+L3280*S3280</f>
        <v>0</v>
      </c>
      <c r="U3280" s="72">
        <f>+R3280-T3280</f>
        <v>1572.8999999999999</v>
      </c>
      <c r="V3280" s="72">
        <f t="shared" ref="V3280" si="1219">+U3280*0</f>
        <v>0</v>
      </c>
      <c r="W3280" s="72">
        <f>+U3280-V3280</f>
        <v>1572.8999999999999</v>
      </c>
      <c r="X3280" s="72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5942</v>
      </c>
      <c r="C3281" s="11" t="s">
        <v>5943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5944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4453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1671</v>
      </c>
      <c r="C3283" s="11" t="s">
        <v>5945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4453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5946</v>
      </c>
      <c r="C3284" s="11" t="s">
        <v>5947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1610</v>
      </c>
      <c r="C3285" s="11" t="s">
        <v>5948</v>
      </c>
      <c r="D3285" s="11">
        <v>17830</v>
      </c>
      <c r="E3285" s="11" t="s">
        <v>5908</v>
      </c>
      <c r="F3285" s="11" t="s">
        <v>26</v>
      </c>
      <c r="G3285" s="11">
        <v>112888</v>
      </c>
      <c r="H3285" s="12" t="s">
        <v>4453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5949</v>
      </c>
      <c r="C3286" s="11" t="s">
        <v>5950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4453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1720</v>
      </c>
      <c r="C3287" s="11" t="s">
        <v>5951</v>
      </c>
      <c r="D3287" s="11">
        <v>17832</v>
      </c>
      <c r="E3287" s="11" t="s">
        <v>1207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5952</v>
      </c>
      <c r="C3288" s="11" t="s">
        <v>5953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4430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2012</v>
      </c>
      <c r="C3289" s="11" t="s">
        <v>5954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4453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719</v>
      </c>
      <c r="C3290" s="11" t="s">
        <v>5955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4430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5956</v>
      </c>
      <c r="C3291" s="11" t="s">
        <v>5957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5958</v>
      </c>
      <c r="C3292" s="11" t="s">
        <v>5959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4455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3339</v>
      </c>
      <c r="C3293" s="11" t="s">
        <v>5960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3811</v>
      </c>
      <c r="C3294" s="11" t="s">
        <v>5961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5962</v>
      </c>
      <c r="C3295" s="11" t="s">
        <v>5963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5964</v>
      </c>
      <c r="C3296" s="11" t="s">
        <v>5965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5966</v>
      </c>
      <c r="C3297" s="11" t="s">
        <v>5967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4455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1446</v>
      </c>
      <c r="C3298" s="11" t="s">
        <v>5968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2623</v>
      </c>
      <c r="C3299" s="11" t="s">
        <v>5969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5970</v>
      </c>
      <c r="C3300" s="11" t="s">
        <v>5971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5972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5973</v>
      </c>
      <c r="C3302" s="11" t="s">
        <v>5974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5975</v>
      </c>
      <c r="C3303" s="11" t="s">
        <v>5976</v>
      </c>
      <c r="D3303" s="11">
        <v>17848</v>
      </c>
      <c r="E3303" s="11" t="s">
        <v>4552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5977</v>
      </c>
      <c r="C3304" s="11" t="s">
        <v>5978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5979</v>
      </c>
      <c r="D3305" s="11">
        <v>17850</v>
      </c>
      <c r="E3305" s="11" t="s">
        <v>1207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5824</v>
      </c>
      <c r="C3306" s="11" t="s">
        <v>5980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5981</v>
      </c>
      <c r="C3307" s="11" t="s">
        <v>5982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5983</v>
      </c>
      <c r="C3308" s="11" t="s">
        <v>5984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4430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747</v>
      </c>
      <c r="C3309" s="11" t="s">
        <v>5985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4430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1694</v>
      </c>
      <c r="C3310" s="11" t="s">
        <v>5986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12" t="s">
        <v>6335</v>
      </c>
      <c r="AA3310" s="12" t="s">
        <v>78</v>
      </c>
    </row>
    <row r="3311" spans="1:27" x14ac:dyDescent="0.25">
      <c r="A3311" s="10">
        <v>45707</v>
      </c>
      <c r="B3311" s="11" t="s">
        <v>5987</v>
      </c>
      <c r="C3311" s="11" t="s">
        <v>5988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5989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5990</v>
      </c>
      <c r="C3313" s="11" t="s">
        <v>5991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5992</v>
      </c>
      <c r="C3314" s="11" t="s">
        <v>5993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5994</v>
      </c>
      <c r="C3315" s="11" t="s">
        <v>5995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5996</v>
      </c>
      <c r="C3316" s="11" t="s">
        <v>5997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5998</v>
      </c>
      <c r="C3317" s="11" t="s">
        <v>5999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3881</v>
      </c>
      <c r="C3318" s="11" t="s">
        <v>6000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4451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1390</v>
      </c>
      <c r="C3319" s="11" t="s">
        <v>6001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2763</v>
      </c>
      <c r="C3320" s="11" t="s">
        <v>6002</v>
      </c>
      <c r="D3320" s="11">
        <v>17865</v>
      </c>
      <c r="E3320" s="11" t="s">
        <v>1207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6003</v>
      </c>
      <c r="C3321" s="11" t="s">
        <v>6004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6005</v>
      </c>
      <c r="C3322" s="11" t="s">
        <v>6006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6007</v>
      </c>
      <c r="C3323" s="11" t="s">
        <v>6008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5884</v>
      </c>
      <c r="C3324" s="11" t="s">
        <v>6009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5440</v>
      </c>
      <c r="C3325" s="11" t="s">
        <v>6010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1495</v>
      </c>
      <c r="C3326" s="11" t="s">
        <v>6011</v>
      </c>
      <c r="D3326" s="11">
        <v>17871</v>
      </c>
      <c r="E3326" s="11" t="s">
        <v>5110</v>
      </c>
      <c r="F3326" s="11" t="s">
        <v>26</v>
      </c>
      <c r="G3326" s="11">
        <v>78106</v>
      </c>
      <c r="H3326" s="12" t="s">
        <v>4455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3802</v>
      </c>
      <c r="C3327" s="11" t="s">
        <v>6012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6013</v>
      </c>
      <c r="C3328" s="11" t="s">
        <v>6014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5658</v>
      </c>
      <c r="C3329" s="11" t="s">
        <v>6015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6016</v>
      </c>
      <c r="C3330" s="11" t="s">
        <v>6017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6018</v>
      </c>
      <c r="C3331" s="11" t="s">
        <v>6019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4430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6020</v>
      </c>
      <c r="C3332" s="11" t="s">
        <v>6021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6022</v>
      </c>
      <c r="C3333" s="11" t="s">
        <v>6023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4430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3388</v>
      </c>
      <c r="C3334" s="11" t="s">
        <v>6024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1066</v>
      </c>
      <c r="C3335" s="11" t="s">
        <v>6025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6026</v>
      </c>
      <c r="C3336" s="11" t="s">
        <v>6027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6028</v>
      </c>
      <c r="C3337" s="11" t="s">
        <v>6029</v>
      </c>
      <c r="D3337" s="11">
        <v>17882</v>
      </c>
      <c r="E3337" s="11" t="s">
        <v>3793</v>
      </c>
      <c r="F3337" s="11" t="s">
        <v>26</v>
      </c>
      <c r="G3337" s="11">
        <v>24343</v>
      </c>
      <c r="H3337" s="12" t="s">
        <v>4455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3566</v>
      </c>
      <c r="C3338" s="11" t="s">
        <v>6030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6031</v>
      </c>
      <c r="C3339" s="11" t="s">
        <v>6032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6033</v>
      </c>
      <c r="C3340" s="11" t="s">
        <v>6034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6035</v>
      </c>
      <c r="C3341" s="11" t="s">
        <v>6036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4430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6037</v>
      </c>
    </row>
    <row r="3342" spans="1:27" x14ac:dyDescent="0.25">
      <c r="A3342" s="10">
        <v>45707</v>
      </c>
      <c r="B3342" s="11" t="s">
        <v>4053</v>
      </c>
      <c r="C3342" s="11" t="s">
        <v>6038</v>
      </c>
      <c r="D3342" s="11">
        <v>17887</v>
      </c>
      <c r="E3342" s="11" t="s">
        <v>3644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6039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6040</v>
      </c>
      <c r="C3344" s="11" t="s">
        <v>6041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4430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12" t="s">
        <v>141</v>
      </c>
      <c r="AA3344" s="12" t="s">
        <v>6037</v>
      </c>
    </row>
    <row r="3345" spans="1:27" x14ac:dyDescent="0.25">
      <c r="A3345" s="10">
        <v>45707</v>
      </c>
      <c r="B3345" s="11" t="s">
        <v>333</v>
      </c>
      <c r="C3345" s="11" t="s">
        <v>6042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6335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2"/>
      <c r="Y3345" s="14">
        <f t="shared" ref="Y3345:Y3348" si="1297">T3345-X3345</f>
        <v>0</v>
      </c>
      <c r="Z3345" s="76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6043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8">+U3346*0</f>
        <v>0</v>
      </c>
      <c r="W3346" s="72">
        <f>+U3346-V3346</f>
        <v>578.40000000000009</v>
      </c>
      <c r="X3346" s="72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6044</v>
      </c>
      <c r="D3347" s="11">
        <v>17892</v>
      </c>
      <c r="E3347" s="11" t="s">
        <v>5129</v>
      </c>
      <c r="F3347" s="11" t="s">
        <v>26</v>
      </c>
      <c r="G3347" s="11">
        <v>78901</v>
      </c>
      <c r="H3347" s="12" t="s">
        <v>4455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6045</v>
      </c>
      <c r="C3348" s="11" t="s">
        <v>6046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4430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5906</v>
      </c>
      <c r="C3349" s="11" t="s">
        <v>6047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4430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12" t="s">
        <v>141</v>
      </c>
      <c r="AA3349" s="12" t="s">
        <v>6037</v>
      </c>
    </row>
    <row r="3350" spans="1:27" x14ac:dyDescent="0.25">
      <c r="A3350" s="10">
        <v>45707</v>
      </c>
      <c r="B3350" s="11" t="s">
        <v>5440</v>
      </c>
      <c r="C3350" s="11" t="s">
        <v>6048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6049</v>
      </c>
      <c r="C3351" s="11" t="s">
        <v>6050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3326</v>
      </c>
      <c r="C3352" s="11" t="s">
        <v>6051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4366</v>
      </c>
      <c r="C3353" s="11" t="s">
        <v>6052</v>
      </c>
      <c r="D3353" s="11">
        <v>17898</v>
      </c>
      <c r="E3353" s="11" t="s">
        <v>5749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6053</v>
      </c>
      <c r="C3354" s="11" t="s">
        <v>6054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6055</v>
      </c>
      <c r="C3355" s="11" t="s">
        <v>6056</v>
      </c>
      <c r="D3355" s="11">
        <v>17900</v>
      </c>
      <c r="E3355" s="11" t="s">
        <v>1207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6057</v>
      </c>
      <c r="C3356" s="11" t="s">
        <v>6058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6059</v>
      </c>
      <c r="C3357" s="11" t="s">
        <v>6060</v>
      </c>
      <c r="D3357" s="11">
        <v>17902</v>
      </c>
      <c r="E3357" s="11" t="s">
        <v>6061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6062</v>
      </c>
      <c r="C3358" s="11" t="s">
        <v>6063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4430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3044</v>
      </c>
      <c r="C3359" s="11" t="s">
        <v>6064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2">
        <f>+L3359*O3359</f>
        <v>1472.8</v>
      </c>
      <c r="S3359" s="72">
        <v>0</v>
      </c>
      <c r="T3359" s="72">
        <f>+L3359*S3359</f>
        <v>0</v>
      </c>
      <c r="U3359" s="72">
        <f>+R3359-T3359</f>
        <v>1472.8</v>
      </c>
      <c r="V3359" s="72">
        <f t="shared" ref="V3359" si="1318">+U3359*0</f>
        <v>0</v>
      </c>
      <c r="W3359" s="72">
        <f>+U3359-V3359</f>
        <v>1472.8</v>
      </c>
      <c r="X3359" s="72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3348</v>
      </c>
      <c r="C3360" s="11" t="s">
        <v>6065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6066</v>
      </c>
      <c r="C3361" s="11" t="s">
        <v>6067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6068</v>
      </c>
      <c r="C3362" s="11" t="s">
        <v>6069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6070</v>
      </c>
      <c r="C3363" s="11" t="s">
        <v>6071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4430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6037</v>
      </c>
    </row>
    <row r="3364" spans="1:27" x14ac:dyDescent="0.25">
      <c r="A3364" s="10">
        <v>45707</v>
      </c>
      <c r="B3364" s="11" t="s">
        <v>6072</v>
      </c>
      <c r="C3364" s="11" t="s">
        <v>6073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6074</v>
      </c>
      <c r="C3365" s="11" t="s">
        <v>6075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2693</v>
      </c>
      <c r="C3366" s="11" t="s">
        <v>6076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6077</v>
      </c>
      <c r="C3367" s="11" t="s">
        <v>6078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4455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6079</v>
      </c>
      <c r="C3368" s="11" t="s">
        <v>6080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4455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1809</v>
      </c>
      <c r="C3369" s="11" t="s">
        <v>6081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4430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6082</v>
      </c>
      <c r="C3370" s="11" t="s">
        <v>6083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4430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6084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4455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6085</v>
      </c>
      <c r="C3372" s="11" t="s">
        <v>6086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6087</v>
      </c>
      <c r="C3373" s="11" t="s">
        <v>6088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6082</v>
      </c>
      <c r="C3374" s="11" t="s">
        <v>6089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4430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12" t="s">
        <v>141</v>
      </c>
      <c r="AA3374" s="12" t="s">
        <v>6037</v>
      </c>
    </row>
    <row r="3375" spans="1:27" x14ac:dyDescent="0.25">
      <c r="A3375" s="10">
        <v>45708</v>
      </c>
      <c r="B3375" s="11" t="s">
        <v>6090</v>
      </c>
      <c r="C3375" s="11" t="s">
        <v>6091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6092</v>
      </c>
      <c r="C3376" s="11" t="s">
        <v>6093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2">
        <f>+L3376*O3376</f>
        <v>1526</v>
      </c>
      <c r="S3376" s="72">
        <v>0</v>
      </c>
      <c r="T3376" s="72">
        <f>+L3376*S3376</f>
        <v>0</v>
      </c>
      <c r="U3376" s="72">
        <f>+R3376-T3376</f>
        <v>1526</v>
      </c>
      <c r="V3376" s="72">
        <f t="shared" ref="V3376" si="1334">+U3376*0</f>
        <v>0</v>
      </c>
      <c r="W3376" s="72">
        <f>+U3376-V3376</f>
        <v>1526</v>
      </c>
      <c r="X3376" s="72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1855</v>
      </c>
      <c r="C3377" s="11" t="s">
        <v>6094</v>
      </c>
      <c r="D3377" s="11">
        <v>17922</v>
      </c>
      <c r="E3377" s="11" t="s">
        <v>1207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4178</v>
      </c>
      <c r="C3378" s="11" t="s">
        <v>6095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2">
        <f>+L3378*O3378</f>
        <v>1502.8999999999999</v>
      </c>
      <c r="S3378" s="72">
        <v>0</v>
      </c>
      <c r="T3378" s="72">
        <f>+L3378*S3378</f>
        <v>0</v>
      </c>
      <c r="U3378" s="72">
        <f>+R3378-T3378</f>
        <v>1502.8999999999999</v>
      </c>
      <c r="V3378" s="72">
        <f t="shared" ref="V3378" si="1335">+U3378*0</f>
        <v>0</v>
      </c>
      <c r="W3378" s="72">
        <f>+U3378-V3378</f>
        <v>1502.8999999999999</v>
      </c>
      <c r="X3378" s="72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1755</v>
      </c>
      <c r="C3379" s="11" t="s">
        <v>6096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6097</v>
      </c>
      <c r="C3380" s="11" t="s">
        <v>6098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4430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6099</v>
      </c>
      <c r="C3381" s="11" t="s">
        <v>6100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4430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12" t="s">
        <v>141</v>
      </c>
      <c r="AA3381" s="12" t="s">
        <v>6037</v>
      </c>
    </row>
    <row r="3382" spans="1:27" x14ac:dyDescent="0.25">
      <c r="A3382" s="10">
        <v>45708</v>
      </c>
      <c r="B3382" s="11" t="s">
        <v>6101</v>
      </c>
      <c r="C3382" s="11" t="s">
        <v>6102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1064</v>
      </c>
      <c r="C3383" s="11" t="s">
        <v>6103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2">
        <f>+L3383*O3383</f>
        <v>1489.6000000000001</v>
      </c>
      <c r="S3383" s="72">
        <v>0</v>
      </c>
      <c r="T3383" s="72">
        <f>+L3383*S3383</f>
        <v>0</v>
      </c>
      <c r="U3383" s="72">
        <f>+R3383-T3383</f>
        <v>1489.6000000000001</v>
      </c>
      <c r="V3383" s="72">
        <f t="shared" ref="V3383" si="1342">+U3383*0</f>
        <v>0</v>
      </c>
      <c r="W3383" s="72">
        <f>+U3383-V3383</f>
        <v>1489.6000000000001</v>
      </c>
      <c r="X3383" s="72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6104</v>
      </c>
      <c r="C3384" s="11" t="s">
        <v>6105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4430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6106</v>
      </c>
      <c r="C3385" s="11" t="s">
        <v>6107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6108</v>
      </c>
      <c r="C3386" s="11" t="s">
        <v>6109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6110</v>
      </c>
      <c r="C3387" s="11" t="s">
        <v>6111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6112</v>
      </c>
      <c r="C3388" s="11" t="s">
        <v>6113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4454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2">
        <f>+M3388*P3388</f>
        <v>787.19999999999993</v>
      </c>
      <c r="S3388" s="72">
        <v>0</v>
      </c>
      <c r="T3388" s="72">
        <f>+M3388*S3388</f>
        <v>0</v>
      </c>
      <c r="U3388" s="72">
        <f t="shared" ref="U3388" si="1353">+R3388-T3388</f>
        <v>787.19999999999993</v>
      </c>
      <c r="V3388" s="72">
        <f>+U3388*1</f>
        <v>787.19999999999993</v>
      </c>
      <c r="W3388" s="72">
        <f t="shared" ref="W3388" si="1354">+U3388-V3388</f>
        <v>0</v>
      </c>
      <c r="X3388" s="72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679</v>
      </c>
      <c r="C3389" s="11" t="s">
        <v>6114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1916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5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6115</v>
      </c>
      <c r="C3390" s="11" t="s">
        <v>6116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6">+R3390-T3390</f>
        <v>1500</v>
      </c>
      <c r="V3390" s="72">
        <f>+U3390*0</f>
        <v>0</v>
      </c>
      <c r="W3390" s="72">
        <f t="shared" ref="W3390:W3392" si="1357">+U3390-V3390</f>
        <v>1500</v>
      </c>
      <c r="X3390" s="72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6117</v>
      </c>
      <c r="C3391" s="11" t="s">
        <v>6118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6"/>
        <v>1500</v>
      </c>
      <c r="V3391" s="72">
        <f>+U3391*0</f>
        <v>0</v>
      </c>
      <c r="W3391" s="72">
        <f t="shared" si="1357"/>
        <v>1500</v>
      </c>
      <c r="X3391" s="72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6119</v>
      </c>
      <c r="C3392" s="11" t="s">
        <v>6120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6"/>
        <v>576</v>
      </c>
      <c r="V3392" s="72">
        <f>+U3392*0</f>
        <v>0</v>
      </c>
      <c r="W3392" s="72">
        <f t="shared" si="1357"/>
        <v>576</v>
      </c>
      <c r="X3392" s="72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2826</v>
      </c>
      <c r="C3393" s="11" t="s">
        <v>6121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1916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8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6122</v>
      </c>
      <c r="C3394" s="11" t="s">
        <v>6123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4430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9">+L3394*O3394</f>
        <v>1538.2399999999998</v>
      </c>
      <c r="S3394" s="72">
        <v>0</v>
      </c>
      <c r="T3394" s="72">
        <f t="shared" ref="T3394:T3395" si="1360">+L3394*S3394</f>
        <v>0</v>
      </c>
      <c r="U3394" s="72">
        <f t="shared" ref="U3394:U3395" si="1361">+R3394-T3394</f>
        <v>1538.2399999999998</v>
      </c>
      <c r="V3394" s="72">
        <f>+U3394*1</f>
        <v>1538.2399999999998</v>
      </c>
      <c r="W3394" s="72">
        <f t="shared" ref="W3394:W3395" si="1362">+U3394-V3394</f>
        <v>0</v>
      </c>
      <c r="X3394" s="72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6124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60"/>
        <v>0</v>
      </c>
      <c r="U3395" s="72">
        <f t="shared" si="1361"/>
        <v>451.79999999999995</v>
      </c>
      <c r="V3395" s="72">
        <f>+U3395*0</f>
        <v>0</v>
      </c>
      <c r="W3395" s="72">
        <f t="shared" si="1362"/>
        <v>451.79999999999995</v>
      </c>
      <c r="X3395" s="72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6125</v>
      </c>
      <c r="C3396" s="11" t="s">
        <v>6126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3">U3396*0</f>
        <v>0</v>
      </c>
      <c r="W3396" s="72">
        <f t="shared" ref="W3396" si="1364">U3396-V3396</f>
        <v>1450</v>
      </c>
      <c r="X3396" s="72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6127</v>
      </c>
      <c r="C3397" s="11" t="s">
        <v>6128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5">+L3397*S3397</f>
        <v>0</v>
      </c>
      <c r="U3397" s="72">
        <f t="shared" ref="U3397:U3399" si="1366">+R3397-T3397</f>
        <v>112</v>
      </c>
      <c r="V3397" s="72">
        <f>+U3397*0</f>
        <v>0</v>
      </c>
      <c r="W3397" s="72">
        <f t="shared" ref="W3397:W3399" si="1367">+U3397-V3397</f>
        <v>112</v>
      </c>
      <c r="X3397" s="72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6129</v>
      </c>
      <c r="C3398" s="11" t="s">
        <v>6130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6"/>
        <v>1600</v>
      </c>
      <c r="V3398" s="72">
        <f t="shared" ref="V3398:V3400" si="1368">+U3398*0</f>
        <v>0</v>
      </c>
      <c r="W3398" s="72">
        <f t="shared" si="1367"/>
        <v>1600</v>
      </c>
      <c r="X3398" s="72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6131</v>
      </c>
      <c r="C3399" s="11" t="s">
        <v>6132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6"/>
        <v>1600</v>
      </c>
      <c r="V3399" s="72">
        <f t="shared" si="1368"/>
        <v>0</v>
      </c>
      <c r="W3399" s="72">
        <f t="shared" si="1367"/>
        <v>1600</v>
      </c>
      <c r="X3399" s="72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6133</v>
      </c>
      <c r="C3400" s="11" t="s">
        <v>6134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8"/>
        <v>0</v>
      </c>
      <c r="W3400" s="72">
        <f>+U3400-V3400</f>
        <v>1634.4</v>
      </c>
      <c r="X3400" s="72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6135</v>
      </c>
      <c r="C3401" s="11" t="s">
        <v>6136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4430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9">+R3401-T3401</f>
        <v>1614.6000000000001</v>
      </c>
      <c r="V3401" s="72">
        <f>+U3401*1</f>
        <v>1614.6000000000001</v>
      </c>
      <c r="W3401" s="72">
        <f t="shared" ref="W3401" si="1370">+U3401-V3401</f>
        <v>0</v>
      </c>
      <c r="X3401" s="72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6137</v>
      </c>
      <c r="C3402" s="11" t="s">
        <v>6138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2">
        <f>+L3402*O3402</f>
        <v>1526.6999999999998</v>
      </c>
      <c r="S3402" s="72">
        <v>0</v>
      </c>
      <c r="T3402" s="72">
        <f>+L3402*S3402</f>
        <v>0</v>
      </c>
      <c r="U3402" s="72">
        <f>+R3402-T3402</f>
        <v>1526.6999999999998</v>
      </c>
      <c r="V3402" s="72">
        <f t="shared" ref="V3402:V3403" si="1371">+U3402*0</f>
        <v>0</v>
      </c>
      <c r="W3402" s="72">
        <f>+U3402-V3402</f>
        <v>1526.6999999999998</v>
      </c>
      <c r="X3402" s="72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1108</v>
      </c>
      <c r="C3403" s="11" t="s">
        <v>6139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2">+L3403*S3403</f>
        <v>0</v>
      </c>
      <c r="U3403" s="72">
        <f t="shared" ref="U3403" si="1373">+R3403-T3403</f>
        <v>670.40000000000009</v>
      </c>
      <c r="V3403" s="72">
        <f t="shared" si="1371"/>
        <v>0</v>
      </c>
      <c r="W3403" s="72">
        <f t="shared" ref="W3403" si="1374">+U3403-V3403</f>
        <v>670.40000000000009</v>
      </c>
      <c r="X3403" s="72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6140</v>
      </c>
      <c r="C3404" s="11" t="s">
        <v>6141</v>
      </c>
      <c r="D3404" s="11">
        <v>17949</v>
      </c>
      <c r="E3404" s="11" t="s">
        <v>6142</v>
      </c>
      <c r="F3404" s="11" t="s">
        <v>26</v>
      </c>
      <c r="G3404" s="11">
        <v>2962</v>
      </c>
      <c r="H3404" s="12" t="s">
        <v>4449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6143</v>
      </c>
      <c r="C3405" s="11" t="s">
        <v>6144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4430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12" t="s">
        <v>141</v>
      </c>
      <c r="AA3405" s="12" t="s">
        <v>6037</v>
      </c>
    </row>
    <row r="3406" spans="1:27" x14ac:dyDescent="0.25">
      <c r="A3406" s="10">
        <v>45708</v>
      </c>
      <c r="B3406" s="11" t="s">
        <v>407</v>
      </c>
      <c r="C3406" s="11" t="s">
        <v>6145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1916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5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6146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7">+L3407*S3407</f>
        <v>0</v>
      </c>
      <c r="U3407" s="72">
        <f t="shared" ref="U3407" si="1378">+R3407-T3407</f>
        <v>150.4</v>
      </c>
      <c r="V3407" s="72">
        <f>+U3407*0</f>
        <v>0</v>
      </c>
      <c r="W3407" s="72">
        <f t="shared" ref="W3407" si="1379">+U3407-V3407</f>
        <v>150.4</v>
      </c>
      <c r="X3407" s="72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6147</v>
      </c>
      <c r="C3408" s="11" t="s">
        <v>6148</v>
      </c>
      <c r="D3408" s="11">
        <v>17953</v>
      </c>
      <c r="E3408" s="11" t="s">
        <v>1207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5473</v>
      </c>
      <c r="C3409" s="11" t="s">
        <v>6149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80">+R3409-T3409</f>
        <v>1500</v>
      </c>
      <c r="V3409" s="72">
        <f>+U3409*0</f>
        <v>0</v>
      </c>
      <c r="W3409" s="72">
        <f t="shared" ref="W3409" si="1381">+U3409-V3409</f>
        <v>1500</v>
      </c>
      <c r="X3409" s="72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727</v>
      </c>
      <c r="C3410" s="11" t="s">
        <v>6150</v>
      </c>
      <c r="D3410" s="11">
        <v>17955</v>
      </c>
      <c r="E3410" s="11" t="s">
        <v>6151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2">+U3410*0</f>
        <v>0</v>
      </c>
      <c r="W3410" s="72">
        <f>+U3410-V3410</f>
        <v>570.30000000000007</v>
      </c>
      <c r="X3410" s="72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6152</v>
      </c>
      <c r="C3411" s="11" t="s">
        <v>6153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2"/>
        <v>0</v>
      </c>
      <c r="W3411" s="72">
        <f>+U3411-V3411</f>
        <v>1584</v>
      </c>
      <c r="X3411" s="72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6154</v>
      </c>
      <c r="C3412" s="11" t="s">
        <v>6155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3">+R3412-T3412</f>
        <v>1500</v>
      </c>
      <c r="V3412" s="72">
        <f>+U3412*0</f>
        <v>0</v>
      </c>
      <c r="W3412" s="72">
        <f t="shared" ref="W3412" si="1384">+U3412-V3412</f>
        <v>1500</v>
      </c>
      <c r="X3412" s="72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6156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1916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5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5267</v>
      </c>
      <c r="C3414" s="11" t="s">
        <v>6157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6158</v>
      </c>
      <c r="C3415" s="11" t="s">
        <v>6159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4430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6">+R3415-T3415</f>
        <v>1549.8</v>
      </c>
      <c r="V3415" s="72">
        <f>+U3415*1</f>
        <v>1549.8</v>
      </c>
      <c r="W3415" s="72">
        <f t="shared" ref="W3415:W3416" si="1387">+U3415-V3415</f>
        <v>0</v>
      </c>
      <c r="X3415" s="72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1797</v>
      </c>
      <c r="C3416" s="11" t="s">
        <v>6160</v>
      </c>
      <c r="D3416" s="11">
        <v>17961</v>
      </c>
      <c r="E3416" s="11" t="s">
        <v>4769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8">+L3416*S3416</f>
        <v>0</v>
      </c>
      <c r="U3416" s="72">
        <f t="shared" si="1386"/>
        <v>1865.7</v>
      </c>
      <c r="V3416" s="72">
        <f>+U3416*0</f>
        <v>0</v>
      </c>
      <c r="W3416" s="72">
        <f t="shared" si="1387"/>
        <v>1865.7</v>
      </c>
      <c r="X3416" s="72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2974</v>
      </c>
      <c r="C3417" s="11" t="s">
        <v>6161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9">+U3417*0</f>
        <v>0</v>
      </c>
      <c r="W3417" s="72">
        <f>+U3417-V3417</f>
        <v>1617.6</v>
      </c>
      <c r="X3417" s="72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6162</v>
      </c>
      <c r="C3418" s="11" t="s">
        <v>6163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6164</v>
      </c>
      <c r="C3419" s="11" t="s">
        <v>6165</v>
      </c>
      <c r="D3419" s="11">
        <v>17964</v>
      </c>
      <c r="E3419" s="11" t="s">
        <v>1207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5348</v>
      </c>
      <c r="C3420" s="11" t="s">
        <v>6179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4455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6180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4455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6057</v>
      </c>
      <c r="C3422" s="11" t="s">
        <v>6181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6182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4430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1">+R3423-T3423</f>
        <v>1629.0000000000002</v>
      </c>
      <c r="V3423" s="72">
        <f>+U3423*1</f>
        <v>1629.0000000000002</v>
      </c>
      <c r="W3423" s="72">
        <f t="shared" ref="W3423:W3424" si="1392">+U3423-V3423</f>
        <v>0</v>
      </c>
      <c r="X3423" s="72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6183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4430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3">+L3424*O3424</f>
        <v>1517.08</v>
      </c>
      <c r="S3424" s="72">
        <v>0</v>
      </c>
      <c r="T3424" s="72">
        <f t="shared" ref="T3424" si="1394">+L3424*S3424</f>
        <v>0</v>
      </c>
      <c r="U3424" s="72">
        <f t="shared" si="1391"/>
        <v>1517.08</v>
      </c>
      <c r="V3424" s="72">
        <f>+U3424*1</f>
        <v>1517.08</v>
      </c>
      <c r="W3424" s="72">
        <f t="shared" si="1392"/>
        <v>0</v>
      </c>
      <c r="X3424" s="72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5642</v>
      </c>
      <c r="C3425" s="11" t="s">
        <v>6184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2821</v>
      </c>
      <c r="C3426" s="11" t="s">
        <v>6185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5">L3426*O3426</f>
        <v>3473.04</v>
      </c>
      <c r="S3426" s="72">
        <v>38</v>
      </c>
      <c r="T3426" s="72">
        <f t="shared" ref="T3426" si="1396">L3426*S3426</f>
        <v>1516.96</v>
      </c>
      <c r="U3426" s="72">
        <f t="shared" ref="U3426" si="1397">R3426-T3426</f>
        <v>1956.08</v>
      </c>
      <c r="V3426" s="72">
        <f>U3426*1</f>
        <v>1956.08</v>
      </c>
      <c r="W3426" s="72">
        <f t="shared" ref="W3426" si="1398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3650</v>
      </c>
      <c r="C3427" s="11" t="s">
        <v>6186</v>
      </c>
      <c r="D3427" s="11">
        <v>17972</v>
      </c>
      <c r="E3427" s="11" t="s">
        <v>2133</v>
      </c>
      <c r="F3427" s="11" t="s">
        <v>26</v>
      </c>
      <c r="G3427" s="11">
        <v>112926</v>
      </c>
      <c r="H3427" s="12" t="s">
        <v>4453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9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4152</v>
      </c>
      <c r="C3428" s="11" t="s">
        <v>6187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2">
        <f>+L3428*O3428</f>
        <v>1477</v>
      </c>
      <c r="S3428" s="72">
        <v>0</v>
      </c>
      <c r="T3428" s="72">
        <f>+L3428*S3428</f>
        <v>0</v>
      </c>
      <c r="U3428" s="72">
        <f>+R3428-T3428</f>
        <v>1477</v>
      </c>
      <c r="V3428" s="72">
        <f t="shared" ref="V3428" si="1401">+U3428*0</f>
        <v>0</v>
      </c>
      <c r="W3428" s="72">
        <f>+U3428-V3428</f>
        <v>1477</v>
      </c>
      <c r="X3428" s="72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2727</v>
      </c>
      <c r="C3429" s="11" t="s">
        <v>6188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2">R3429-T3429</f>
        <v>1962.8999999999996</v>
      </c>
      <c r="V3429" s="72">
        <f>U3429*1</f>
        <v>1962.8999999999996</v>
      </c>
      <c r="W3429" s="72">
        <f t="shared" ref="W3429:W3436" si="1403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6189</v>
      </c>
      <c r="C3430" s="11" t="s">
        <v>6190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2"/>
        <v>1550</v>
      </c>
      <c r="V3430" s="72">
        <f>U3430*0</f>
        <v>0</v>
      </c>
      <c r="W3430" s="72">
        <f t="shared" si="1403"/>
        <v>1550</v>
      </c>
      <c r="X3430" s="72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6191</v>
      </c>
      <c r="C3431" s="11" t="s">
        <v>6192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2"/>
        <v>1945.8</v>
      </c>
      <c r="V3431" s="72">
        <f>U3431*1</f>
        <v>1945.8</v>
      </c>
      <c r="W3431" s="72">
        <f t="shared" si="1403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6193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2"/>
        <v>1550</v>
      </c>
      <c r="V3432" s="72">
        <f>U3432*0</f>
        <v>0</v>
      </c>
      <c r="W3432" s="72">
        <f t="shared" si="1403"/>
        <v>1550</v>
      </c>
      <c r="X3432" s="72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5390</v>
      </c>
      <c r="C3433" s="11" t="s">
        <v>6194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2"/>
        <v>1965.6000000000001</v>
      </c>
      <c r="V3433" s="72">
        <f>U3433*1</f>
        <v>1965.6000000000001</v>
      </c>
      <c r="W3433" s="72">
        <f t="shared" si="1403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6195</v>
      </c>
      <c r="C3434" s="11" t="s">
        <v>6196</v>
      </c>
      <c r="D3434" s="11">
        <v>17979</v>
      </c>
      <c r="E3434" s="11" t="s">
        <v>1207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2"/>
        <v>1027.5</v>
      </c>
      <c r="V3434" s="72">
        <f>U3434*0</f>
        <v>0</v>
      </c>
      <c r="W3434" s="72">
        <f t="shared" si="1403"/>
        <v>1027.5</v>
      </c>
      <c r="X3434" s="72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4073</v>
      </c>
      <c r="C3435" s="11" t="s">
        <v>6197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2"/>
        <v>1868.4</v>
      </c>
      <c r="V3435" s="72">
        <f>U3435*1</f>
        <v>1868.4</v>
      </c>
      <c r="W3435" s="72">
        <f t="shared" si="1403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6198</v>
      </c>
      <c r="C3436" s="11" t="s">
        <v>6199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1916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2"/>
        <v>1350</v>
      </c>
      <c r="V3436" s="72">
        <f>U3436*1</f>
        <v>1350</v>
      </c>
      <c r="W3436" s="72">
        <f t="shared" si="1403"/>
        <v>0</v>
      </c>
      <c r="X3436" s="72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6200</v>
      </c>
      <c r="C3437" s="11" t="s">
        <v>6201</v>
      </c>
      <c r="D3437" s="11">
        <v>17982</v>
      </c>
      <c r="E3437" s="11" t="s">
        <v>2116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2">
        <f>+L3437*O3437</f>
        <v>1522.5</v>
      </c>
      <c r="S3437" s="72">
        <v>0</v>
      </c>
      <c r="T3437" s="72">
        <f>+L3437*S3437</f>
        <v>0</v>
      </c>
      <c r="U3437" s="72">
        <f>+R3437-T3437</f>
        <v>1522.5</v>
      </c>
      <c r="V3437" s="72">
        <f t="shared" ref="V3437" si="1408">+U3437*0</f>
        <v>0</v>
      </c>
      <c r="W3437" s="72">
        <f>+U3437-V3437</f>
        <v>1522.5</v>
      </c>
      <c r="X3437" s="72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6202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6335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7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704</v>
      </c>
      <c r="C3439" s="11" t="s">
        <v>6203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2">
        <f>+L3439*O3439</f>
        <v>1575</v>
      </c>
      <c r="S3439" s="72">
        <v>0</v>
      </c>
      <c r="T3439" s="72">
        <f>+L3439*S3439</f>
        <v>0</v>
      </c>
      <c r="U3439" s="72">
        <f>+R3439-T3439</f>
        <v>1575</v>
      </c>
      <c r="V3439" s="72">
        <f t="shared" ref="V3439" si="1409">+U3439*0</f>
        <v>0</v>
      </c>
      <c r="W3439" s="72">
        <f>+U3439-V3439</f>
        <v>1575</v>
      </c>
      <c r="X3439" s="72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696</v>
      </c>
      <c r="C3440" s="11" t="s">
        <v>6204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1916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10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6205</v>
      </c>
      <c r="C3441" s="11" t="s">
        <v>6206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4453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1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3967</v>
      </c>
      <c r="C3442" s="11" t="s">
        <v>6207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2">
        <f>+L3442*O3442</f>
        <v>1512</v>
      </c>
      <c r="S3442" s="72">
        <v>0</v>
      </c>
      <c r="T3442" s="72">
        <f>+L3442*S3442</f>
        <v>0</v>
      </c>
      <c r="U3442" s="72">
        <f>+R3442-T3442</f>
        <v>1512</v>
      </c>
      <c r="V3442" s="72">
        <f t="shared" ref="V3442:V3444" si="1412">+U3442*0</f>
        <v>0</v>
      </c>
      <c r="W3442" s="72">
        <f>+U3442-V3442</f>
        <v>1512</v>
      </c>
      <c r="X3442" s="72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6208</v>
      </c>
      <c r="C3443" s="11" t="s">
        <v>6209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2"/>
        <v>0</v>
      </c>
      <c r="W3443" s="72">
        <f>+U3443-V3443</f>
        <v>1630.3999999999999</v>
      </c>
      <c r="X3443" s="72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6129</v>
      </c>
      <c r="C3444" s="11" t="s">
        <v>6210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3">+L3444*S3444</f>
        <v>0</v>
      </c>
      <c r="U3444" s="72">
        <f t="shared" ref="U3444:U3447" si="1414">+R3444-T3444</f>
        <v>673.6</v>
      </c>
      <c r="V3444" s="72">
        <f t="shared" si="1412"/>
        <v>0</v>
      </c>
      <c r="W3444" s="72">
        <f t="shared" ref="W3444:W3447" si="1415">+U3444-V3444</f>
        <v>673.6</v>
      </c>
      <c r="X3444" s="72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6208</v>
      </c>
      <c r="C3445" s="11" t="s">
        <v>6211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4430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4"/>
        <v>1608.3000000000002</v>
      </c>
      <c r="V3445" s="72">
        <f>+U3445*1</f>
        <v>1608.3000000000002</v>
      </c>
      <c r="W3445" s="72">
        <f t="shared" si="1415"/>
        <v>0</v>
      </c>
      <c r="X3445" s="72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6212</v>
      </c>
      <c r="D3446" s="11">
        <v>17991</v>
      </c>
      <c r="E3446" s="11" t="s">
        <v>4769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6">+L3446*S3446</f>
        <v>0</v>
      </c>
      <c r="U3446" s="72">
        <f t="shared" si="1414"/>
        <v>1806.3</v>
      </c>
      <c r="V3446" s="72">
        <f>+U3446*0</f>
        <v>0</v>
      </c>
      <c r="W3446" s="72">
        <f t="shared" si="1415"/>
        <v>1806.3</v>
      </c>
      <c r="X3446" s="72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6062</v>
      </c>
      <c r="C3447" s="11" t="s">
        <v>6213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4430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4"/>
        <v>1574.1</v>
      </c>
      <c r="V3447" s="72">
        <f>+U3447*1</f>
        <v>1574.1</v>
      </c>
      <c r="W3447" s="72">
        <f t="shared" si="1415"/>
        <v>0</v>
      </c>
      <c r="X3447" s="72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6214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6215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1112</v>
      </c>
      <c r="C3450" s="11" t="s">
        <v>6216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6217</v>
      </c>
      <c r="C3451" s="11" t="s">
        <v>6218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7">L3451*O3451</f>
        <v>3461.2</v>
      </c>
      <c r="S3451" s="72">
        <v>38</v>
      </c>
      <c r="T3451" s="72">
        <f t="shared" ref="T3451" si="1418">L3451*S3451</f>
        <v>1547.36</v>
      </c>
      <c r="U3451" s="72">
        <f t="shared" ref="U3451" si="1419">R3451-T3451</f>
        <v>1913.84</v>
      </c>
      <c r="V3451" s="72">
        <f>U3451*1</f>
        <v>1913.84</v>
      </c>
      <c r="W3451" s="72">
        <f t="shared" ref="W3451" si="1420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6219</v>
      </c>
      <c r="C3452" s="11" t="s">
        <v>6220</v>
      </c>
      <c r="D3452" s="11">
        <v>17997</v>
      </c>
      <c r="E3452" s="11" t="s">
        <v>1207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6221</v>
      </c>
      <c r="C3453" s="11" t="s">
        <v>6222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2">L3453*O3453</f>
        <v>3948.0600000000004</v>
      </c>
      <c r="S3453" s="72">
        <v>38</v>
      </c>
      <c r="T3453" s="72">
        <f t="shared" ref="T3453" si="1423">L3453*S3453</f>
        <v>1724.44</v>
      </c>
      <c r="U3453" s="72">
        <f t="shared" ref="U3453" si="1424">R3453-T3453</f>
        <v>2223.6200000000003</v>
      </c>
      <c r="V3453" s="72">
        <f>U3453*1</f>
        <v>2223.6200000000003</v>
      </c>
      <c r="W3453" s="72">
        <f t="shared" ref="W3453" si="1425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6223</v>
      </c>
      <c r="D3454" s="11">
        <v>17999</v>
      </c>
      <c r="E3454" s="11" t="s">
        <v>2116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2">
        <f>+L3454*O3454</f>
        <v>1532.3</v>
      </c>
      <c r="S3454" s="72">
        <v>0</v>
      </c>
      <c r="T3454" s="72">
        <f>+L3454*S3454</f>
        <v>0</v>
      </c>
      <c r="U3454" s="72">
        <f>+R3454-T3454</f>
        <v>1532.3</v>
      </c>
      <c r="V3454" s="72">
        <f t="shared" ref="V3454" si="1426">+U3454*0</f>
        <v>0</v>
      </c>
      <c r="W3454" s="72">
        <f>+U3454-V3454</f>
        <v>1532.3</v>
      </c>
      <c r="X3454" s="72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6224</v>
      </c>
      <c r="C3455" s="11" t="s">
        <v>6225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8">L3455*O3455</f>
        <v>3807.9999999999995</v>
      </c>
      <c r="S3455" s="72">
        <v>38</v>
      </c>
      <c r="T3455" s="72">
        <f t="shared" ref="T3455" si="1429">L3455*S3455</f>
        <v>1702.3999999999999</v>
      </c>
      <c r="U3455" s="72">
        <f t="shared" ref="U3455" si="1430">R3455-T3455</f>
        <v>2105.5999999999995</v>
      </c>
      <c r="V3455" s="72">
        <f>U3455*1</f>
        <v>2105.5999999999995</v>
      </c>
      <c r="W3455" s="72">
        <f t="shared" ref="W3455" si="1431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6226</v>
      </c>
      <c r="C3456" s="11" t="s">
        <v>6227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4430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2">+R3456-T3456</f>
        <v>1639.8</v>
      </c>
      <c r="V3456" s="72">
        <f>+U3456*1</f>
        <v>1639.8</v>
      </c>
      <c r="W3456" s="72">
        <f t="shared" ref="W3456" si="1433">+U3456-V3456</f>
        <v>0</v>
      </c>
      <c r="X3456" s="72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6228</v>
      </c>
      <c r="C3457" s="11" t="s">
        <v>6229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5">+U3457*0</f>
        <v>0</v>
      </c>
      <c r="W3457" s="72">
        <f>+U3457-V3457</f>
        <v>1694.4</v>
      </c>
      <c r="X3457" s="72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1394</v>
      </c>
      <c r="C3458" s="11" t="s">
        <v>6230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5"/>
        <v>0</v>
      </c>
      <c r="W3458" s="72">
        <f>+U3458-V3458</f>
        <v>1629.6000000000001</v>
      </c>
      <c r="X3458" s="72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6231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6">U3459*0</f>
        <v>0</v>
      </c>
      <c r="W3459" s="72">
        <f t="shared" ref="W3459" si="1437">U3459-V3459</f>
        <v>1600</v>
      </c>
      <c r="X3459" s="72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1675</v>
      </c>
      <c r="C3460" s="11" t="s">
        <v>6232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6335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4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6233</v>
      </c>
      <c r="C3461" s="11" t="s">
        <v>6234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8">+U3461*0</f>
        <v>0</v>
      </c>
      <c r="W3461" s="72">
        <f>+U3461-V3461</f>
        <v>1622.4</v>
      </c>
      <c r="X3461" s="72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6235</v>
      </c>
      <c r="C3462" s="11" t="s">
        <v>6236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4430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9">+L3462*O3462</f>
        <v>1568.2800000000002</v>
      </c>
      <c r="S3462" s="72">
        <v>0</v>
      </c>
      <c r="T3462" s="72">
        <f t="shared" ref="T3462:T3463" si="1440">+L3462*S3462</f>
        <v>0</v>
      </c>
      <c r="U3462" s="72">
        <f t="shared" ref="U3462:U3463" si="1441">+R3462-T3462</f>
        <v>1568.2800000000002</v>
      </c>
      <c r="V3462" s="72">
        <f>+U3462*1</f>
        <v>1568.2800000000002</v>
      </c>
      <c r="W3462" s="72">
        <f t="shared" ref="W3462:W3463" si="1442">+U3462-V3462</f>
        <v>0</v>
      </c>
      <c r="X3462" s="72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6237</v>
      </c>
      <c r="C3463" s="11" t="s">
        <v>6238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4430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2">
        <f t="shared" si="1439"/>
        <v>1578.36</v>
      </c>
      <c r="S3463" s="72">
        <v>0</v>
      </c>
      <c r="T3463" s="72">
        <f t="shared" si="1440"/>
        <v>0</v>
      </c>
      <c r="U3463" s="72">
        <f t="shared" si="1441"/>
        <v>1578.36</v>
      </c>
      <c r="V3463" s="72">
        <f>+U3463*1</f>
        <v>1578.36</v>
      </c>
      <c r="W3463" s="72">
        <f t="shared" si="1442"/>
        <v>0</v>
      </c>
      <c r="X3463" s="72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5795</v>
      </c>
      <c r="C3464" s="11" t="s">
        <v>6239</v>
      </c>
      <c r="D3464" s="11">
        <v>18009</v>
      </c>
      <c r="E3464" s="11" t="s">
        <v>1207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3">U3464*0</f>
        <v>0</v>
      </c>
      <c r="W3464" s="72">
        <f t="shared" ref="W3464" si="1444">U3464-V3464</f>
        <v>1600</v>
      </c>
      <c r="X3464" s="72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6240</v>
      </c>
      <c r="C3465" s="11" t="s">
        <v>6241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4430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5">+L3465*O3465</f>
        <v>1602.64</v>
      </c>
      <c r="S3465" s="72">
        <v>0</v>
      </c>
      <c r="T3465" s="72">
        <f t="shared" ref="T3465" si="1446">+L3465*S3465</f>
        <v>0</v>
      </c>
      <c r="U3465" s="72">
        <f t="shared" ref="U3465:U3466" si="1447">+R3465-T3465</f>
        <v>1602.64</v>
      </c>
      <c r="V3465" s="72">
        <f>+U3465*1</f>
        <v>1602.64</v>
      </c>
      <c r="W3465" s="72">
        <f t="shared" ref="W3465:W3466" si="1448">+U3465-V3465</f>
        <v>0</v>
      </c>
      <c r="X3465" s="72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6242</v>
      </c>
      <c r="C3466" s="11" t="s">
        <v>6243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7"/>
        <v>1500</v>
      </c>
      <c r="V3466" s="72">
        <f>+U3466*0</f>
        <v>0</v>
      </c>
      <c r="W3466" s="72">
        <f t="shared" si="1448"/>
        <v>1500</v>
      </c>
      <c r="X3466" s="72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5706</v>
      </c>
      <c r="C3467" s="11" t="s">
        <v>6244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718</v>
      </c>
      <c r="C3468" s="11" t="s">
        <v>6245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1916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9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6246</v>
      </c>
      <c r="C3469" s="11" t="s">
        <v>6247</v>
      </c>
      <c r="D3469" s="11">
        <v>18014</v>
      </c>
      <c r="E3469" s="11" t="s">
        <v>4769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50">+L3469*S3469</f>
        <v>0</v>
      </c>
      <c r="U3469" s="72">
        <f t="shared" ref="U3469" si="1451">+R3469-T3469</f>
        <v>1835.1000000000001</v>
      </c>
      <c r="V3469" s="72">
        <f>+U3469*0</f>
        <v>0</v>
      </c>
      <c r="W3469" s="72">
        <f t="shared" ref="W3469" si="1452">+U3469-V3469</f>
        <v>1835.1000000000001</v>
      </c>
      <c r="X3469" s="72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5315</v>
      </c>
      <c r="C3470" s="11" t="s">
        <v>6248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1916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3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3579</v>
      </c>
      <c r="C3471" s="11" t="s">
        <v>6249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4">+R3471-T3471</f>
        <v>1500</v>
      </c>
      <c r="V3471" s="72">
        <f>+U3471*0</f>
        <v>0</v>
      </c>
      <c r="W3471" s="72">
        <f t="shared" ref="W3471:W3472" si="1455">+U3471-V3471</f>
        <v>1500</v>
      </c>
      <c r="X3471" s="72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6250</v>
      </c>
      <c r="C3472" s="11" t="s">
        <v>6251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4430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4"/>
        <v>1567.8000000000002</v>
      </c>
      <c r="V3472" s="72">
        <f>+U3472*1</f>
        <v>1567.8000000000002</v>
      </c>
      <c r="W3472" s="72">
        <f t="shared" si="1455"/>
        <v>0</v>
      </c>
      <c r="X3472" s="72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6252</v>
      </c>
      <c r="D3473" s="11">
        <v>18018</v>
      </c>
      <c r="E3473" s="11" t="s">
        <v>2116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6">+U3473*0</f>
        <v>0</v>
      </c>
      <c r="W3473" s="72">
        <f>+U3473-V3473</f>
        <v>1674.4</v>
      </c>
      <c r="X3473" s="72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6253</v>
      </c>
      <c r="C3474" s="11" t="s">
        <v>6254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4456</v>
      </c>
      <c r="I3474" s="12" t="s">
        <v>37</v>
      </c>
      <c r="J3474" s="12" t="s">
        <v>4695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662</v>
      </c>
      <c r="C3475" s="11" t="s">
        <v>6255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4453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7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2520</v>
      </c>
      <c r="C3476" s="11" t="s">
        <v>6256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4455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6257</v>
      </c>
      <c r="C3477" s="11" t="s">
        <v>6258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9">+R3477-T3477</f>
        <v>1500</v>
      </c>
      <c r="V3477" s="72">
        <f>+U3477*0</f>
        <v>0</v>
      </c>
      <c r="W3477" s="72">
        <f t="shared" ref="W3477" si="1460">+U3477-V3477</f>
        <v>1500</v>
      </c>
      <c r="X3477" s="72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6259</v>
      </c>
      <c r="C3478" s="11" t="s">
        <v>6260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1">+U3478*0</f>
        <v>0</v>
      </c>
      <c r="W3478" s="72">
        <f>+U3478-V3478</f>
        <v>1705.6</v>
      </c>
      <c r="X3478" s="72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5695</v>
      </c>
      <c r="C3479" s="11" t="s">
        <v>6261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2">
        <f>+L3479*O3479</f>
        <v>1529.5</v>
      </c>
      <c r="S3479" s="72">
        <v>0</v>
      </c>
      <c r="T3479" s="72">
        <f>+L3479*S3479</f>
        <v>0</v>
      </c>
      <c r="U3479" s="72">
        <f>+R3479-T3479</f>
        <v>1529.5</v>
      </c>
      <c r="V3479" s="72">
        <f t="shared" si="1461"/>
        <v>0</v>
      </c>
      <c r="W3479" s="72">
        <f>+U3479-V3479</f>
        <v>1529.5</v>
      </c>
      <c r="X3479" s="72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3639</v>
      </c>
      <c r="C3480" s="11" t="s">
        <v>6262</v>
      </c>
      <c r="D3480" s="11">
        <v>18025</v>
      </c>
      <c r="E3480" s="11" t="s">
        <v>1207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6263</v>
      </c>
      <c r="C3481" s="11" t="s">
        <v>6264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662</v>
      </c>
      <c r="C3482" s="11" t="s">
        <v>6265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4455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5440</v>
      </c>
      <c r="C3483" s="11" t="s">
        <v>6266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4455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6267</v>
      </c>
      <c r="C3484" s="11" t="s">
        <v>6268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4430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2">+R3484-T3484</f>
        <v>1657.8000000000002</v>
      </c>
      <c r="V3484" s="72">
        <f>+U3484*1</f>
        <v>1657.8000000000002</v>
      </c>
      <c r="W3484" s="72">
        <f t="shared" ref="W3484" si="1463">+U3484-V3484</f>
        <v>0</v>
      </c>
      <c r="X3484" s="72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4078</v>
      </c>
      <c r="C3485" s="11" t="s">
        <v>6269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5">L3485*O3485</f>
        <v>3532.6000000000004</v>
      </c>
      <c r="S3485" s="72">
        <v>38</v>
      </c>
      <c r="T3485" s="72">
        <f t="shared" ref="T3485" si="1466">L3485*S3485</f>
        <v>1579.2800000000002</v>
      </c>
      <c r="U3485" s="72">
        <f t="shared" ref="U3485" si="1467">R3485-T3485</f>
        <v>1953.3200000000002</v>
      </c>
      <c r="V3485" s="72">
        <f>U3485*1</f>
        <v>1953.3200000000002</v>
      </c>
      <c r="W3485" s="72">
        <f t="shared" ref="W3485" si="1468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6270</v>
      </c>
      <c r="C3486" s="11" t="s">
        <v>6271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3902</v>
      </c>
      <c r="C3487" s="11" t="s">
        <v>6272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6273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4430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70">+R3488-T3488</f>
        <v>1659.6000000000001</v>
      </c>
      <c r="V3488" s="72">
        <f>+U3488*1</f>
        <v>1659.6000000000001</v>
      </c>
      <c r="W3488" s="72">
        <f t="shared" ref="W3488" si="1471">+U3488-V3488</f>
        <v>0</v>
      </c>
      <c r="X3488" s="72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6274</v>
      </c>
      <c r="C3489" s="11" t="s">
        <v>6275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4453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2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6007</v>
      </c>
      <c r="C3490" s="11" t="s">
        <v>6276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1083</v>
      </c>
      <c r="C3491" s="11" t="s">
        <v>6277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6278</v>
      </c>
      <c r="C3492" s="11" t="s">
        <v>6279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3">+U3492*0</f>
        <v>0</v>
      </c>
      <c r="W3492" s="72">
        <f>+U3492-V3492</f>
        <v>1723.1999999999998</v>
      </c>
      <c r="X3492" s="72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6280</v>
      </c>
      <c r="C3493" s="11" t="s">
        <v>6281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5">L3493*O3493</f>
        <v>3767.2</v>
      </c>
      <c r="S3493" s="72">
        <v>38</v>
      </c>
      <c r="T3493" s="72">
        <f t="shared" ref="T3493" si="1476">L3493*S3493</f>
        <v>1684.16</v>
      </c>
      <c r="U3493" s="72">
        <f t="shared" ref="U3493" si="1477">R3493-T3493</f>
        <v>2083.04</v>
      </c>
      <c r="V3493" s="72">
        <f>U3493*1</f>
        <v>2083.04</v>
      </c>
      <c r="W3493" s="72">
        <f t="shared" ref="W3493" si="1478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6282</v>
      </c>
      <c r="C3494" s="11" t="s">
        <v>6283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6284</v>
      </c>
      <c r="C3495" s="11" t="s">
        <v>6285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6286</v>
      </c>
      <c r="C3496" s="11" t="s">
        <v>6287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6288</v>
      </c>
      <c r="C3497" s="11" t="s">
        <v>6289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4455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6290</v>
      </c>
      <c r="C3498" s="11" t="s">
        <v>6291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6292</v>
      </c>
      <c r="C3499" s="11" t="s">
        <v>6293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6294</v>
      </c>
      <c r="C3500" s="11" t="s">
        <v>6295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80">R3500-T3500</f>
        <v>2175.66</v>
      </c>
      <c r="V3500" s="72">
        <f>U3500*1</f>
        <v>2175.66</v>
      </c>
      <c r="W3500" s="72">
        <f t="shared" ref="W3500:W3501" si="1481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5419</v>
      </c>
      <c r="C3501" s="11" t="s">
        <v>6296</v>
      </c>
      <c r="D3501" s="11">
        <v>18046</v>
      </c>
      <c r="E3501" s="11" t="s">
        <v>1207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2">U3501*0</f>
        <v>0</v>
      </c>
      <c r="W3501" s="72">
        <f t="shared" si="1481"/>
        <v>1600</v>
      </c>
      <c r="X3501" s="72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6297</v>
      </c>
      <c r="C3502" s="11" t="s">
        <v>6298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4">+R3502-T3502</f>
        <v>1500</v>
      </c>
      <c r="V3502" s="72">
        <f>+U3502*0</f>
        <v>0</v>
      </c>
      <c r="W3502" s="72">
        <f t="shared" ref="W3502" si="1485">+U3502-V3502</f>
        <v>1500</v>
      </c>
      <c r="X3502" s="72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6299</v>
      </c>
      <c r="C3503" s="11" t="s">
        <v>6300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6">+U3503*0</f>
        <v>0</v>
      </c>
      <c r="W3503" s="72">
        <f>+U3503-V3503</f>
        <v>1641.6</v>
      </c>
      <c r="X3503" s="72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6301</v>
      </c>
      <c r="C3504" s="11" t="s">
        <v>6302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7">+L3504*S3504</f>
        <v>0</v>
      </c>
      <c r="U3504" s="72">
        <f t="shared" ref="U3504:U3505" si="1488">+R3504-T3504</f>
        <v>160.19999999999999</v>
      </c>
      <c r="V3504" s="72">
        <f>+U3504*0</f>
        <v>0</v>
      </c>
      <c r="W3504" s="72">
        <f t="shared" ref="W3504:W3505" si="1489">+U3504-V3504</f>
        <v>160.19999999999999</v>
      </c>
      <c r="X3504" s="72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2017</v>
      </c>
      <c r="C3505" s="11" t="s">
        <v>6303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7"/>
        <v>0</v>
      </c>
      <c r="U3505" s="72">
        <f t="shared" si="1488"/>
        <v>440.00000000000006</v>
      </c>
      <c r="V3505" s="72">
        <f t="shared" ref="V3505" si="1490">+U3505*0</f>
        <v>0</v>
      </c>
      <c r="W3505" s="72">
        <f t="shared" si="1489"/>
        <v>440.00000000000006</v>
      </c>
      <c r="X3505" s="72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6304</v>
      </c>
      <c r="D3506" s="11">
        <v>18051</v>
      </c>
      <c r="E3506" s="11" t="s">
        <v>5201</v>
      </c>
      <c r="F3506" s="11" t="s">
        <v>26</v>
      </c>
      <c r="G3506" s="11">
        <v>78007</v>
      </c>
      <c r="H3506" s="12" t="s">
        <v>4455</v>
      </c>
      <c r="I3506" s="12" t="s">
        <v>37</v>
      </c>
      <c r="J3506" s="12" t="s">
        <v>599</v>
      </c>
      <c r="K3506" s="12" t="s">
        <v>6305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1140</v>
      </c>
      <c r="C3507" s="11" t="s">
        <v>6306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4453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2">
        <f t="shared" ref="R3507" si="1491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4193</v>
      </c>
      <c r="C3508" s="11" t="s">
        <v>6307</v>
      </c>
      <c r="D3508" s="11">
        <v>18053</v>
      </c>
      <c r="E3508" s="11" t="s">
        <v>6308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2">+L3508*S3508</f>
        <v>0</v>
      </c>
      <c r="U3508" s="72">
        <f t="shared" ref="U3508:U3509" si="1493">+R3508-T3508</f>
        <v>761</v>
      </c>
      <c r="V3508" s="72">
        <f t="shared" ref="V3508" si="1494">+U3508*0</f>
        <v>0</v>
      </c>
      <c r="W3508" s="72">
        <f t="shared" ref="W3508:W3509" si="1495">+U3508-V3508</f>
        <v>761</v>
      </c>
      <c r="X3508" s="72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6309</v>
      </c>
      <c r="C3509" s="11" t="s">
        <v>6310</v>
      </c>
      <c r="D3509" s="11">
        <v>18054</v>
      </c>
      <c r="E3509" s="11" t="s">
        <v>4769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2"/>
        <v>0</v>
      </c>
      <c r="U3509" s="72">
        <f t="shared" si="1493"/>
        <v>1830.6</v>
      </c>
      <c r="V3509" s="72">
        <f>+U3509*0</f>
        <v>0</v>
      </c>
      <c r="W3509" s="72">
        <f t="shared" si="1495"/>
        <v>1830.6</v>
      </c>
      <c r="X3509" s="72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689</v>
      </c>
      <c r="C3510" s="11" t="s">
        <v>6311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4455</v>
      </c>
      <c r="I3510" s="12" t="s">
        <v>37</v>
      </c>
      <c r="J3510" s="12" t="s">
        <v>599</v>
      </c>
      <c r="K3510" s="12" t="s">
        <v>6305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6312</v>
      </c>
      <c r="C3511" s="11" t="s">
        <v>6313</v>
      </c>
      <c r="D3511" s="11">
        <v>18056</v>
      </c>
      <c r="E3511" s="11" t="s">
        <v>1732</v>
      </c>
      <c r="F3511" s="11" t="s">
        <v>26</v>
      </c>
      <c r="G3511" s="11">
        <v>22555</v>
      </c>
      <c r="H3511" s="12" t="s">
        <v>4455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6314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6">L3512*O3512</f>
        <v>3787.98</v>
      </c>
      <c r="S3512" s="72">
        <v>38</v>
      </c>
      <c r="T3512" s="72">
        <f t="shared" ref="T3512" si="1497">L3512*S3512</f>
        <v>1654.52</v>
      </c>
      <c r="U3512" s="72">
        <f t="shared" ref="U3512" si="1498">R3512-T3512</f>
        <v>2133.46</v>
      </c>
      <c r="V3512" s="72">
        <f>U3512*1</f>
        <v>2133.46</v>
      </c>
      <c r="W3512" s="72">
        <f t="shared" ref="W3512" si="1499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6315</v>
      </c>
      <c r="C3513" s="11" t="s">
        <v>6316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4455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6317</v>
      </c>
      <c r="D3514" s="11">
        <v>18059</v>
      </c>
      <c r="E3514" s="11" t="s">
        <v>1207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1">U3514*0</f>
        <v>0</v>
      </c>
      <c r="W3514" s="72">
        <f t="shared" ref="W3514" si="1502">U3514-V3514</f>
        <v>1600</v>
      </c>
      <c r="X3514" s="72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6318</v>
      </c>
      <c r="C3515" s="11" t="s">
        <v>6319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2074</v>
      </c>
      <c r="C3516" s="11" t="s">
        <v>6320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3">+U3516*0</f>
        <v>0</v>
      </c>
      <c r="W3516" s="72">
        <f>+U3516-V3516</f>
        <v>1536</v>
      </c>
      <c r="X3516" s="72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6321</v>
      </c>
      <c r="C3517" s="11" t="s">
        <v>6322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6323</v>
      </c>
      <c r="C3518" s="11" t="s">
        <v>6324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4">+U3518*0</f>
        <v>0</v>
      </c>
      <c r="W3518" s="72">
        <f>+U3518-V3518</f>
        <v>1600</v>
      </c>
      <c r="X3518" s="72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6325</v>
      </c>
      <c r="C3519" s="11" t="s">
        <v>6326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4"/>
        <v>0</v>
      </c>
      <c r="W3519" s="72">
        <f>+U3519-V3519</f>
        <v>1725.6</v>
      </c>
      <c r="X3519" s="72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5315</v>
      </c>
      <c r="C3520" s="11" t="s">
        <v>6327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4430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2">
        <f t="shared" ref="R3520" si="1505">+L3520*O3520</f>
        <v>1549.8</v>
      </c>
      <c r="S3520" s="72">
        <v>0</v>
      </c>
      <c r="T3520" s="72">
        <f t="shared" ref="T3520" si="1506">+L3520*S3520</f>
        <v>0</v>
      </c>
      <c r="U3520" s="72">
        <f t="shared" ref="U3520:U3524" si="1507">+R3520-T3520</f>
        <v>1549.8</v>
      </c>
      <c r="V3520" s="72">
        <f>+U3520*1</f>
        <v>1549.8</v>
      </c>
      <c r="W3520" s="72">
        <f t="shared" ref="W3520:W3524" si="1508">+U3520-V3520</f>
        <v>0</v>
      </c>
      <c r="X3520" s="72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6328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7"/>
        <v>1600</v>
      </c>
      <c r="V3521" s="72">
        <f t="shared" ref="V3521:V3524" si="1509">+U3521*0</f>
        <v>0</v>
      </c>
      <c r="W3521" s="72">
        <f t="shared" si="1508"/>
        <v>1600</v>
      </c>
      <c r="X3521" s="72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2974</v>
      </c>
      <c r="C3522" s="11" t="s">
        <v>6329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7"/>
        <v>1600</v>
      </c>
      <c r="V3522" s="72">
        <f t="shared" si="1509"/>
        <v>0</v>
      </c>
      <c r="W3522" s="72">
        <f t="shared" si="1508"/>
        <v>1600</v>
      </c>
      <c r="X3522" s="72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6330</v>
      </c>
      <c r="C3523" s="11" t="s">
        <v>6331</v>
      </c>
      <c r="D3523" s="11">
        <v>18070</v>
      </c>
      <c r="E3523" s="11" t="s">
        <v>6332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10">+L3523*S3523</f>
        <v>0</v>
      </c>
      <c r="U3523" s="72">
        <f t="shared" si="1507"/>
        <v>664</v>
      </c>
      <c r="V3523" s="72">
        <f t="shared" si="1509"/>
        <v>0</v>
      </c>
      <c r="W3523" s="72">
        <f t="shared" si="1508"/>
        <v>664</v>
      </c>
      <c r="X3523" s="72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6333</v>
      </c>
      <c r="C3524" s="11" t="s">
        <v>6334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10"/>
        <v>0</v>
      </c>
      <c r="U3524" s="72">
        <f t="shared" si="1507"/>
        <v>267</v>
      </c>
      <c r="V3524" s="72">
        <f t="shared" si="1509"/>
        <v>0</v>
      </c>
      <c r="W3524" s="72">
        <f t="shared" si="1508"/>
        <v>267</v>
      </c>
      <c r="X3524" s="72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6339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4429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2">
        <f t="shared" ref="R3525" si="1511">L3525*O3525</f>
        <v>3761.88</v>
      </c>
      <c r="S3525" s="72">
        <v>38</v>
      </c>
      <c r="T3525" s="72">
        <f t="shared" ref="T3525" si="1512">L3525*S3525</f>
        <v>1643.1200000000001</v>
      </c>
      <c r="U3525" s="72">
        <f t="shared" ref="U3525" si="1513">R3525-T3525</f>
        <v>2118.7600000000002</v>
      </c>
      <c r="V3525" s="72">
        <f>U3525*1</f>
        <v>2118.7600000000002</v>
      </c>
      <c r="W3525" s="72">
        <f t="shared" ref="W3525" si="1514">U3525-V3525</f>
        <v>0</v>
      </c>
      <c r="X3525" s="72">
        <f>L3525*37</f>
        <v>1599.88</v>
      </c>
      <c r="Y3525" s="73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6340</v>
      </c>
      <c r="C3526" s="11" t="s">
        <v>6341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2">
        <f>(L3526*O3526)-Q3526</f>
        <v>723.59999999999991</v>
      </c>
      <c r="S3526" s="72">
        <v>0</v>
      </c>
      <c r="T3526" s="72">
        <f t="shared" ref="T3526:T3527" si="1516">+L3526*S3526</f>
        <v>0</v>
      </c>
      <c r="U3526" s="72">
        <f t="shared" ref="U3526:U3527" si="1517">+R3526-T3526</f>
        <v>723.59999999999991</v>
      </c>
      <c r="V3526" s="72">
        <f>+U3526*0</f>
        <v>0</v>
      </c>
      <c r="W3526" s="72">
        <f t="shared" ref="W3526:W3527" si="1518">+U3526-V3526</f>
        <v>723.59999999999991</v>
      </c>
      <c r="X3526" s="72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6342</v>
      </c>
      <c r="C3527" s="11" t="s">
        <v>6343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4430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2">
        <f t="shared" ref="R3527" si="1520">+L3527*O3527</f>
        <v>1575.0400000000002</v>
      </c>
      <c r="S3527" s="72">
        <v>0</v>
      </c>
      <c r="T3527" s="72">
        <f t="shared" si="1516"/>
        <v>0</v>
      </c>
      <c r="U3527" s="72">
        <f t="shared" si="1517"/>
        <v>1575.0400000000002</v>
      </c>
      <c r="V3527" s="72">
        <f>+U3527*1</f>
        <v>1575.0400000000002</v>
      </c>
      <c r="W3527" s="72">
        <f t="shared" si="1518"/>
        <v>0</v>
      </c>
      <c r="X3527" s="72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5975</v>
      </c>
      <c r="C3528" s="11" t="s">
        <v>6344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4429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2">
        <f t="shared" ref="R3528" si="1521">L3528*O3528</f>
        <v>3517.3</v>
      </c>
      <c r="S3528" s="72">
        <v>38</v>
      </c>
      <c r="T3528" s="72">
        <f t="shared" ref="T3528" si="1522">L3528*S3528</f>
        <v>1572.44</v>
      </c>
      <c r="U3528" s="72">
        <f t="shared" ref="U3528" si="1523">R3528-T3528</f>
        <v>1944.8600000000001</v>
      </c>
      <c r="V3528" s="72">
        <f>U3528*1</f>
        <v>1944.8600000000001</v>
      </c>
      <c r="W3528" s="72">
        <f t="shared" ref="W3528" si="1524">U3528-V3528</f>
        <v>0</v>
      </c>
      <c r="X3528" s="72">
        <f>L3528*36</f>
        <v>1489.68</v>
      </c>
      <c r="Y3528" s="73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6345</v>
      </c>
      <c r="C3529" s="11" t="s">
        <v>6346</v>
      </c>
      <c r="D3529" s="11">
        <v>18076</v>
      </c>
      <c r="E3529" s="11" t="s">
        <v>2116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2">
        <f>+L3529*O3529</f>
        <v>1566.3999999999999</v>
      </c>
      <c r="S3529" s="72">
        <v>0</v>
      </c>
      <c r="T3529" s="72">
        <f>+L3529*S3529</f>
        <v>0</v>
      </c>
      <c r="U3529" s="72">
        <f>+R3529-T3529</f>
        <v>1566.3999999999999</v>
      </c>
      <c r="V3529" s="72">
        <f t="shared" ref="V3529" si="1525">+U3529*0</f>
        <v>0</v>
      </c>
      <c r="W3529" s="72">
        <f>+U3529-V3529</f>
        <v>1566.3999999999999</v>
      </c>
      <c r="X3529" s="72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6347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2">
        <f>M3530*P3530</f>
        <v>1550</v>
      </c>
      <c r="S3530" s="72">
        <v>0</v>
      </c>
      <c r="T3530" s="72">
        <f>M3530*S3530</f>
        <v>0</v>
      </c>
      <c r="U3530" s="72">
        <f>R3530-T3530</f>
        <v>1550</v>
      </c>
      <c r="V3530" s="72">
        <f>U3530*0</f>
        <v>0</v>
      </c>
      <c r="W3530" s="72">
        <f>U3530-V3530</f>
        <v>1550</v>
      </c>
      <c r="X3530" s="72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6348</v>
      </c>
      <c r="C3531" s="11" t="s">
        <v>6349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4455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2">
        <f>+L3531*O3531</f>
        <v>1749.7499999999998</v>
      </c>
      <c r="S3531" s="72">
        <v>0</v>
      </c>
      <c r="T3531" s="72">
        <f>+L3531*S3531</f>
        <v>0</v>
      </c>
      <c r="U3531" s="72">
        <f>+R3531-T3531</f>
        <v>1749.7499999999998</v>
      </c>
      <c r="V3531" s="72">
        <f>+U3531*0.75</f>
        <v>1312.3124999999998</v>
      </c>
      <c r="W3531" s="72">
        <f>+U3531-V3531</f>
        <v>437.4375</v>
      </c>
      <c r="X3531" s="72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6350</v>
      </c>
      <c r="C3532" s="11" t="s">
        <v>6351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4430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2">
        <f>+L3532*O3532</f>
        <v>1797.3</v>
      </c>
      <c r="S3532" s="72">
        <v>0</v>
      </c>
      <c r="T3532" s="72">
        <f>+L3532*S3532</f>
        <v>0</v>
      </c>
      <c r="U3532" s="72">
        <f t="shared" ref="U3532" si="1527">+R3532-T3532</f>
        <v>1797.3</v>
      </c>
      <c r="V3532" s="72">
        <f>+U3532*1</f>
        <v>1797.3</v>
      </c>
      <c r="W3532" s="72">
        <f t="shared" ref="W3532" si="1528">+U3532-V3532</f>
        <v>0</v>
      </c>
      <c r="X3532" s="72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6352</v>
      </c>
      <c r="C3533" s="11" t="s">
        <v>6353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4429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2">
        <f t="shared" ref="R3533" si="1529">L3533*O3533</f>
        <v>3513.9</v>
      </c>
      <c r="S3533" s="72">
        <v>38</v>
      </c>
      <c r="T3533" s="72">
        <f t="shared" ref="T3533" si="1530">L3533*S3533</f>
        <v>1570.92</v>
      </c>
      <c r="U3533" s="72">
        <f t="shared" ref="U3533" si="1531">R3533-T3533</f>
        <v>1942.98</v>
      </c>
      <c r="V3533" s="72">
        <f>U3533*1</f>
        <v>1942.98</v>
      </c>
      <c r="W3533" s="72">
        <f t="shared" ref="W3533" si="1532">U3533-V3533</f>
        <v>0</v>
      </c>
      <c r="X3533" s="72">
        <f>L3533*36</f>
        <v>1488.2400000000002</v>
      </c>
      <c r="Y3533" s="73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6354</v>
      </c>
      <c r="C3534" s="11" t="s">
        <v>6355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4429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2">
        <f>L3534*O3534</f>
        <v>3499.2799999999997</v>
      </c>
      <c r="S3534" s="72">
        <v>38</v>
      </c>
      <c r="T3534" s="72">
        <f>L3534*S3534</f>
        <v>1602.08</v>
      </c>
      <c r="U3534" s="72">
        <f>R3534-T3534</f>
        <v>1897.1999999999998</v>
      </c>
      <c r="V3534" s="72">
        <f>U3534*1</f>
        <v>1897.1999999999998</v>
      </c>
      <c r="W3534" s="72">
        <f>U3534-V3534</f>
        <v>0</v>
      </c>
      <c r="X3534" s="72">
        <f>L3534*36</f>
        <v>1517.7599999999998</v>
      </c>
      <c r="Y3534" s="73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6356</v>
      </c>
      <c r="C3535" s="11" t="s">
        <v>6357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2">
        <f>+L3535*O3535</f>
        <v>1700</v>
      </c>
      <c r="S3535" s="72">
        <v>0</v>
      </c>
      <c r="T3535" s="72">
        <f>+L3535*S3535</f>
        <v>0</v>
      </c>
      <c r="U3535" s="72">
        <f>+R3535-T3535</f>
        <v>1700</v>
      </c>
      <c r="V3535" s="72">
        <f t="shared" ref="V3535" si="1533">+U3535*0</f>
        <v>0</v>
      </c>
      <c r="W3535" s="72">
        <f>+U3535-V3535</f>
        <v>1700</v>
      </c>
      <c r="X3535" s="72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6358</v>
      </c>
      <c r="C3536" s="11" t="s">
        <v>6359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4429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2">
        <f t="shared" ref="R3536" si="1535">L3536*O3536</f>
        <v>3763.8</v>
      </c>
      <c r="S3536" s="72">
        <v>38</v>
      </c>
      <c r="T3536" s="72">
        <f t="shared" ref="T3536" si="1536">L3536*S3536</f>
        <v>1682.64</v>
      </c>
      <c r="U3536" s="72">
        <f t="shared" ref="U3536" si="1537">R3536-T3536</f>
        <v>2081.16</v>
      </c>
      <c r="V3536" s="72">
        <f>U3536*1</f>
        <v>2081.16</v>
      </c>
      <c r="W3536" s="72">
        <f t="shared" ref="W3536" si="1538">U3536-V3536</f>
        <v>0</v>
      </c>
      <c r="X3536" s="72">
        <f>L3536*37</f>
        <v>1638.3600000000001</v>
      </c>
      <c r="Y3536" s="73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3388</v>
      </c>
      <c r="C3537" s="11" t="s">
        <v>6360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4451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2">
        <f>L3537*O3537</f>
        <v>891</v>
      </c>
      <c r="S3537" s="72">
        <v>0</v>
      </c>
      <c r="T3537" s="72">
        <f>L3537*S3537</f>
        <v>0</v>
      </c>
      <c r="U3537" s="72">
        <f>R3537-T3537</f>
        <v>891</v>
      </c>
      <c r="V3537" s="72">
        <f>U3537*0</f>
        <v>0</v>
      </c>
      <c r="W3537" s="72">
        <f>U3537-V3537</f>
        <v>891</v>
      </c>
      <c r="X3537" s="72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3521</v>
      </c>
      <c r="C3538" s="11" t="s">
        <v>6361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2">
        <f>(L3538*O3538)-Q3538</f>
        <v>669.59999999999991</v>
      </c>
      <c r="S3538" s="72">
        <v>0</v>
      </c>
      <c r="T3538" s="72">
        <f t="shared" ref="T3538" si="1540">+L3538*S3538</f>
        <v>0</v>
      </c>
      <c r="U3538" s="72">
        <f t="shared" ref="U3538:U3539" si="1541">+R3538-T3538</f>
        <v>669.59999999999991</v>
      </c>
      <c r="V3538" s="72">
        <f t="shared" ref="V3538" si="1542">+U3538*0</f>
        <v>0</v>
      </c>
      <c r="W3538" s="72">
        <f t="shared" ref="W3538:W3539" si="1543">+U3538-V3538</f>
        <v>669.59999999999991</v>
      </c>
      <c r="X3538" s="72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6362</v>
      </c>
      <c r="C3539" s="11" t="s">
        <v>6363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2">
        <f>M3539*P3539</f>
        <v>1500</v>
      </c>
      <c r="S3539" s="72">
        <v>0</v>
      </c>
      <c r="T3539" s="72">
        <f>M3539*S3539</f>
        <v>0</v>
      </c>
      <c r="U3539" s="72">
        <f t="shared" si="1541"/>
        <v>1500</v>
      </c>
      <c r="V3539" s="72">
        <f>+U3539*0</f>
        <v>0</v>
      </c>
      <c r="W3539" s="72">
        <f t="shared" si="1543"/>
        <v>1500</v>
      </c>
      <c r="X3539" s="72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5762</v>
      </c>
      <c r="C3540" s="11" t="s">
        <v>6364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2">
        <f>L3540*O3540</f>
        <v>1042.8399999999999</v>
      </c>
      <c r="S3540" s="72">
        <v>0</v>
      </c>
      <c r="T3540" s="72">
        <f>L3540*S3540</f>
        <v>0</v>
      </c>
      <c r="U3540" s="72">
        <f>R3540-T3540</f>
        <v>1042.8399999999999</v>
      </c>
      <c r="V3540" s="72">
        <f>U3540*0</f>
        <v>0</v>
      </c>
      <c r="W3540" s="72">
        <f>U3540-V3540</f>
        <v>1042.8399999999999</v>
      </c>
      <c r="X3540" s="72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6365</v>
      </c>
      <c r="C3541" s="11" t="s">
        <v>6366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2">
        <f>+L3541*O3541</f>
        <v>1456</v>
      </c>
      <c r="S3541" s="72">
        <v>0</v>
      </c>
      <c r="T3541" s="72">
        <f>+L3541*S3541</f>
        <v>0</v>
      </c>
      <c r="U3541" s="72">
        <f>+R3541-T3541</f>
        <v>1456</v>
      </c>
      <c r="V3541" s="72">
        <f t="shared" ref="V3541:V3542" si="1544">+U3541*0</f>
        <v>0</v>
      </c>
      <c r="W3541" s="72">
        <f>+U3541-V3541</f>
        <v>1456</v>
      </c>
      <c r="X3541" s="72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6367</v>
      </c>
      <c r="C3542" s="11" t="s">
        <v>6368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2">
        <f>M3542*P3542</f>
        <v>1536</v>
      </c>
      <c r="S3542" s="72">
        <v>0</v>
      </c>
      <c r="T3542" s="72">
        <f>M3542*S3542</f>
        <v>0</v>
      </c>
      <c r="U3542" s="72">
        <f>+R3542-T3542</f>
        <v>1536</v>
      </c>
      <c r="V3542" s="72">
        <f t="shared" si="1544"/>
        <v>0</v>
      </c>
      <c r="W3542" s="72">
        <f>+U3542-V3542</f>
        <v>1536</v>
      </c>
      <c r="X3542" s="72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6369</v>
      </c>
      <c r="C3543" s="11" t="s">
        <v>6370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4451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2">
        <f>L3543*O3543</f>
        <v>971.40000000000009</v>
      </c>
      <c r="S3543" s="72">
        <v>0</v>
      </c>
      <c r="T3543" s="72">
        <f>L3543*S3543</f>
        <v>0</v>
      </c>
      <c r="U3543" s="72">
        <f>R3543-T3543</f>
        <v>971.40000000000009</v>
      </c>
      <c r="V3543" s="72">
        <f>U3543*0</f>
        <v>0</v>
      </c>
      <c r="W3543" s="72">
        <f>U3543-V3543</f>
        <v>971.40000000000009</v>
      </c>
      <c r="X3543" s="72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6371</v>
      </c>
      <c r="D3544" s="11">
        <v>18092</v>
      </c>
      <c r="E3544" s="11" t="s">
        <v>1207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2">
        <f>M3544*P3544</f>
        <v>1600</v>
      </c>
      <c r="S3544" s="72">
        <v>0</v>
      </c>
      <c r="T3544" s="72">
        <f>M3544*S3544</f>
        <v>0</v>
      </c>
      <c r="U3544" s="72">
        <f>R3544-T3544</f>
        <v>1600</v>
      </c>
      <c r="V3544" s="72">
        <f t="shared" ref="V3544:V3545" si="1545">U3544*0</f>
        <v>0</v>
      </c>
      <c r="W3544" s="72">
        <f t="shared" ref="W3544:W3545" si="1546">U3544-V3544</f>
        <v>1600</v>
      </c>
      <c r="X3544" s="72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6372</v>
      </c>
      <c r="C3545" s="11" t="s">
        <v>6373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2">
        <f>M3545*P3545</f>
        <v>1450</v>
      </c>
      <c r="S3545" s="72">
        <v>0</v>
      </c>
      <c r="T3545" s="72">
        <f>M3545*S3545</f>
        <v>0</v>
      </c>
      <c r="U3545" s="72">
        <f>R3545-T3545</f>
        <v>1450</v>
      </c>
      <c r="V3545" s="72">
        <f t="shared" si="1545"/>
        <v>0</v>
      </c>
      <c r="W3545" s="72">
        <f t="shared" si="1546"/>
        <v>1450</v>
      </c>
      <c r="X3545" s="72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6374</v>
      </c>
      <c r="C3546" s="11" t="s">
        <v>6375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4451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2">
        <f>L3546*O3546</f>
        <v>1003.1999999999999</v>
      </c>
      <c r="S3546" s="72">
        <v>0</v>
      </c>
      <c r="T3546" s="72">
        <f>L3546*S3546</f>
        <v>0</v>
      </c>
      <c r="U3546" s="72">
        <f>R3546-T3546</f>
        <v>1003.1999999999999</v>
      </c>
      <c r="V3546" s="72">
        <f>U3546*0</f>
        <v>0</v>
      </c>
      <c r="W3546" s="72">
        <f>U3546-V3546</f>
        <v>1003.1999999999999</v>
      </c>
      <c r="X3546" s="72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6376</v>
      </c>
      <c r="C3547" s="11" t="s">
        <v>6377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2">
        <f>+L3547*O3547</f>
        <v>3922.1</v>
      </c>
      <c r="S3547" s="72">
        <v>40</v>
      </c>
      <c r="T3547" s="72">
        <f>L3547*S3547</f>
        <v>1724</v>
      </c>
      <c r="U3547" s="72">
        <f t="shared" ref="U3547" si="1547">R3547-T3547</f>
        <v>2198.1</v>
      </c>
      <c r="V3547" s="72">
        <f>U3547*1</f>
        <v>2198.1</v>
      </c>
      <c r="W3547" s="72">
        <f t="shared" ref="W3547" si="1548">U3547-V3547</f>
        <v>0</v>
      </c>
      <c r="X3547" s="72">
        <f>L3547*37</f>
        <v>1594.7</v>
      </c>
      <c r="Y3547" s="73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6378</v>
      </c>
      <c r="C3548" s="11" t="s">
        <v>6379</v>
      </c>
      <c r="D3548" s="11">
        <v>18097</v>
      </c>
      <c r="E3548" s="11" t="s">
        <v>5129</v>
      </c>
      <c r="F3548" s="11" t="s">
        <v>26</v>
      </c>
      <c r="G3548" s="11">
        <v>78902</v>
      </c>
      <c r="H3548" s="12" t="s">
        <v>4455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2">
        <f>+L3548*O3548</f>
        <v>1848.75</v>
      </c>
      <c r="S3548" s="72">
        <v>0</v>
      </c>
      <c r="T3548" s="72">
        <f>+L3548*S3548</f>
        <v>0</v>
      </c>
      <c r="U3548" s="72">
        <f>+R3548-T3548</f>
        <v>1848.75</v>
      </c>
      <c r="V3548" s="72">
        <f>+U3548*0.75</f>
        <v>1386.5625</v>
      </c>
      <c r="W3548" s="72">
        <f>+U3548-V3548</f>
        <v>462.1875</v>
      </c>
      <c r="X3548" s="72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6380</v>
      </c>
      <c r="C3549" s="11" t="s">
        <v>6381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2">
        <f>+L3549*O3549</f>
        <v>1523.2</v>
      </c>
      <c r="S3549" s="72">
        <v>0</v>
      </c>
      <c r="T3549" s="72">
        <f>+L3549*S3549</f>
        <v>0</v>
      </c>
      <c r="U3549" s="72">
        <f>+R3549-T3549</f>
        <v>1523.2</v>
      </c>
      <c r="V3549" s="72">
        <f t="shared" ref="V3549" si="1550">+U3549*0</f>
        <v>0</v>
      </c>
      <c r="W3549" s="72">
        <f>+U3549-V3549</f>
        <v>1523.2</v>
      </c>
      <c r="X3549" s="72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6382</v>
      </c>
      <c r="C3550" s="11" t="s">
        <v>6383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2">
        <f>M3550*P3550</f>
        <v>1450</v>
      </c>
      <c r="S3550" s="72">
        <v>0</v>
      </c>
      <c r="T3550" s="72">
        <f>M3550*S3550</f>
        <v>0</v>
      </c>
      <c r="U3550" s="72">
        <f>R3550-T3550</f>
        <v>1450</v>
      </c>
      <c r="V3550" s="72">
        <f t="shared" ref="V3550" si="1551">U3550*0</f>
        <v>0</v>
      </c>
      <c r="W3550" s="72">
        <f t="shared" ref="W3550" si="1552">U3550-V3550</f>
        <v>1450</v>
      </c>
      <c r="X3550" s="72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6384</v>
      </c>
      <c r="C3551" s="11" t="s">
        <v>6385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2">
        <f>+L3551*O3551</f>
        <v>1500.1</v>
      </c>
      <c r="S3551" s="72">
        <v>0</v>
      </c>
      <c r="T3551" s="72">
        <f>+L3551*S3551</f>
        <v>0</v>
      </c>
      <c r="U3551" s="72">
        <f>+R3551-T3551</f>
        <v>1500.1</v>
      </c>
      <c r="V3551" s="72">
        <f t="shared" ref="V3551" si="1553">+U3551*0</f>
        <v>0</v>
      </c>
      <c r="W3551" s="72">
        <f>+U3551-V3551</f>
        <v>1500.1</v>
      </c>
      <c r="X3551" s="72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1106</v>
      </c>
      <c r="C3552" s="11" t="s">
        <v>6386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4451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2">
        <f>L3552*O3552</f>
        <v>971.40000000000009</v>
      </c>
      <c r="S3552" s="72">
        <v>0</v>
      </c>
      <c r="T3552" s="72">
        <f>L3552*S3552</f>
        <v>0</v>
      </c>
      <c r="U3552" s="72">
        <f>R3552-T3552</f>
        <v>971.40000000000009</v>
      </c>
      <c r="V3552" s="72">
        <f>U3552*0</f>
        <v>0</v>
      </c>
      <c r="W3552" s="72">
        <f>U3552-V3552</f>
        <v>971.40000000000009</v>
      </c>
      <c r="X3552" s="72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6387</v>
      </c>
      <c r="C3553" s="11" t="s">
        <v>6388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4430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2">
        <f>+L3553*O3553</f>
        <v>1537.1999999999998</v>
      </c>
      <c r="S3553" s="72">
        <v>0</v>
      </c>
      <c r="T3553" s="72">
        <f>+L3553*S3553</f>
        <v>0</v>
      </c>
      <c r="U3553" s="72">
        <f t="shared" ref="U3553:U3555" si="1554">+R3553-T3553</f>
        <v>1537.1999999999998</v>
      </c>
      <c r="V3553" s="72">
        <f>+U3553*1</f>
        <v>1537.1999999999998</v>
      </c>
      <c r="W3553" s="72">
        <f t="shared" ref="W3553:W3555" si="1555">+U3553-V3553</f>
        <v>0</v>
      </c>
      <c r="X3553" s="72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6389</v>
      </c>
      <c r="C3554" s="11" t="s">
        <v>6390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4430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2">
        <f t="shared" ref="R3554" si="1556">+L3554*O3554</f>
        <v>1611.84</v>
      </c>
      <c r="S3554" s="72">
        <v>0</v>
      </c>
      <c r="T3554" s="72">
        <f t="shared" ref="T3554:T3555" si="1557">+L3554*S3554</f>
        <v>0</v>
      </c>
      <c r="U3554" s="72">
        <f t="shared" si="1554"/>
        <v>1611.84</v>
      </c>
      <c r="V3554" s="72">
        <f>+U3554*1</f>
        <v>1611.84</v>
      </c>
      <c r="W3554" s="72">
        <f t="shared" si="1555"/>
        <v>0</v>
      </c>
      <c r="X3554" s="72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6391</v>
      </c>
      <c r="C3555" s="11" t="s">
        <v>6392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2">
        <f>(L3555*O3555)-Q3555</f>
        <v>476.99999999999994</v>
      </c>
      <c r="S3555" s="72">
        <v>0</v>
      </c>
      <c r="T3555" s="72">
        <f t="shared" si="1557"/>
        <v>0</v>
      </c>
      <c r="U3555" s="72">
        <f t="shared" si="1554"/>
        <v>476.99999999999994</v>
      </c>
      <c r="V3555" s="72">
        <f t="shared" ref="V3555" si="1558">+U3555*0</f>
        <v>0</v>
      </c>
      <c r="W3555" s="72">
        <f t="shared" si="1555"/>
        <v>476.99999999999994</v>
      </c>
      <c r="X3555" s="72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6393</v>
      </c>
      <c r="C3556" s="11" t="s">
        <v>6394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2">
        <f>M3556*P3556</f>
        <v>600</v>
      </c>
      <c r="S3556" s="72">
        <v>0</v>
      </c>
      <c r="T3556" s="72">
        <f>M3556*S3556</f>
        <v>0</v>
      </c>
      <c r="U3556" s="72">
        <f t="shared" ref="U3556" si="1559">R3556-T3556</f>
        <v>600</v>
      </c>
      <c r="V3556" s="72">
        <f>U3556*0</f>
        <v>0</v>
      </c>
      <c r="W3556" s="72">
        <f>+U3556-V3556</f>
        <v>600</v>
      </c>
      <c r="X3556" s="72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722</v>
      </c>
      <c r="C3557" s="11" t="s">
        <v>6395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4451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2">
        <f>L3557*O3557</f>
        <v>898.2</v>
      </c>
      <c r="S3557" s="72">
        <v>0</v>
      </c>
      <c r="T3557" s="72">
        <f>L3557*S3557</f>
        <v>0</v>
      </c>
      <c r="U3557" s="72">
        <f>R3557-T3557</f>
        <v>898.2</v>
      </c>
      <c r="V3557" s="72">
        <f>U3557*0</f>
        <v>0</v>
      </c>
      <c r="W3557" s="72">
        <f>U3557-V3557</f>
        <v>898.2</v>
      </c>
      <c r="X3557" s="72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6396</v>
      </c>
      <c r="C3558" s="11" t="s">
        <v>6397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6335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2">
        <f>L3558*O3558</f>
        <v>1704.25</v>
      </c>
      <c r="S3558" s="72">
        <v>0</v>
      </c>
      <c r="T3558" s="72">
        <f>+L3558*S3558</f>
        <v>0</v>
      </c>
      <c r="U3558" s="72">
        <f>R3558-T3558</f>
        <v>1704.25</v>
      </c>
      <c r="V3558" s="72">
        <f>U3558*0</f>
        <v>0</v>
      </c>
      <c r="W3558" s="72">
        <f>U3558-V3558</f>
        <v>1704.25</v>
      </c>
      <c r="X3558" s="72"/>
      <c r="Y3558" s="14">
        <f t="shared" si="1549"/>
        <v>0</v>
      </c>
      <c r="Z3558" s="76" t="s">
        <v>26</v>
      </c>
      <c r="AA3558" s="12" t="s">
        <v>31</v>
      </c>
    </row>
    <row r="3559" spans="1:27" x14ac:dyDescent="0.25">
      <c r="A3559" s="10">
        <v>45712</v>
      </c>
      <c r="B3559" s="11" t="s">
        <v>6398</v>
      </c>
      <c r="C3559" s="11" t="s">
        <v>6399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2">
        <f>M3559*P3559</f>
        <v>1500</v>
      </c>
      <c r="S3559" s="72">
        <v>0</v>
      </c>
      <c r="T3559" s="72">
        <f>M3559*S3559</f>
        <v>0</v>
      </c>
      <c r="U3559" s="72">
        <f>R3559-T3559</f>
        <v>1500</v>
      </c>
      <c r="V3559" s="72">
        <f>U3559*0</f>
        <v>0</v>
      </c>
      <c r="W3559" s="72">
        <f>U3559-V3559</f>
        <v>1500</v>
      </c>
      <c r="X3559" s="72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3683</v>
      </c>
      <c r="C3560" s="11" t="s">
        <v>6400</v>
      </c>
      <c r="D3560" s="11">
        <v>18110</v>
      </c>
      <c r="E3560" s="11" t="s">
        <v>6401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2">
        <f>(L3560*O3560)-Q3560</f>
        <v>328</v>
      </c>
      <c r="S3560" s="72">
        <v>0</v>
      </c>
      <c r="T3560" s="72">
        <f t="shared" ref="T3560" si="1560">+L3560*S3560</f>
        <v>0</v>
      </c>
      <c r="U3560" s="72">
        <f t="shared" ref="U3560" si="1561">+R3560-T3560</f>
        <v>328</v>
      </c>
      <c r="V3560" s="72">
        <f t="shared" ref="V3560" si="1562">+U3560*0</f>
        <v>0</v>
      </c>
      <c r="W3560" s="72">
        <f t="shared" ref="W3560" si="1563">+U3560-V3560</f>
        <v>328</v>
      </c>
      <c r="X3560" s="72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6402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4451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2">
        <f>L3561*O3561</f>
        <v>965.4</v>
      </c>
      <c r="S3561" s="72">
        <v>0</v>
      </c>
      <c r="T3561" s="72">
        <f>L3561*S3561</f>
        <v>0</v>
      </c>
      <c r="U3561" s="72">
        <f>R3561-T3561</f>
        <v>965.4</v>
      </c>
      <c r="V3561" s="72">
        <f>U3561*0</f>
        <v>0</v>
      </c>
      <c r="W3561" s="72">
        <f>U3561-V3561</f>
        <v>965.4</v>
      </c>
      <c r="X3561" s="72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6403</v>
      </c>
      <c r="C3562" s="11" t="s">
        <v>6404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4431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2">
        <f>L3562*O3562</f>
        <v>3591</v>
      </c>
      <c r="S3562" s="72">
        <v>41</v>
      </c>
      <c r="T3562" s="72">
        <f>+L3562*S3562</f>
        <v>1635.8999999999999</v>
      </c>
      <c r="U3562" s="72">
        <f t="shared" ref="U3562:U3563" si="1564">R3562-T3562</f>
        <v>1955.1000000000001</v>
      </c>
      <c r="V3562" s="72">
        <f>U3562*1</f>
        <v>1955.1000000000001</v>
      </c>
      <c r="W3562" s="72">
        <f t="shared" ref="W3562:W3563" si="1565">U3562-V3562</f>
        <v>0</v>
      </c>
      <c r="X3562" s="16">
        <f>L3562*37</f>
        <v>1476.3</v>
      </c>
      <c r="Y3562" s="73">
        <f t="shared" ref="Y3562" si="1566">+T3562-X3562</f>
        <v>159.59999999999991</v>
      </c>
      <c r="Z3562" s="12" t="s">
        <v>141</v>
      </c>
      <c r="AA3562" s="12" t="s">
        <v>657</v>
      </c>
    </row>
    <row r="3563" spans="1:27" x14ac:dyDescent="0.25">
      <c r="A3563" s="10">
        <v>45712</v>
      </c>
      <c r="B3563" s="11" t="s">
        <v>2012</v>
      </c>
      <c r="C3563" s="11" t="s">
        <v>6405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2">
        <f>+L3563*O3563</f>
        <v>3940.2999999999997</v>
      </c>
      <c r="S3563" s="72">
        <v>40</v>
      </c>
      <c r="T3563" s="72">
        <f>L3563*S3563</f>
        <v>1732</v>
      </c>
      <c r="U3563" s="72">
        <f t="shared" si="1564"/>
        <v>2208.2999999999997</v>
      </c>
      <c r="V3563" s="72">
        <f>U3563*1</f>
        <v>2208.2999999999997</v>
      </c>
      <c r="W3563" s="72">
        <f t="shared" si="1565"/>
        <v>0</v>
      </c>
      <c r="X3563" s="72">
        <f>L3563*37</f>
        <v>1602.1</v>
      </c>
      <c r="Y3563" s="73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6406</v>
      </c>
      <c r="C3564" s="11" t="s">
        <v>6407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2">
        <f>(L3564*O3564)-Q3564</f>
        <v>266.39999999999998</v>
      </c>
      <c r="S3564" s="72">
        <v>0</v>
      </c>
      <c r="T3564" s="72">
        <f t="shared" ref="T3564" si="1567">+L3564*S3564</f>
        <v>0</v>
      </c>
      <c r="U3564" s="72">
        <f t="shared" ref="U3564" si="1568">+R3564-T3564</f>
        <v>266.39999999999998</v>
      </c>
      <c r="V3564" s="72">
        <f t="shared" ref="V3564" si="1569">+U3564*0</f>
        <v>0</v>
      </c>
      <c r="W3564" s="72">
        <f t="shared" ref="W3564" si="1570">+U3564-V3564</f>
        <v>266.39999999999998</v>
      </c>
      <c r="X3564" s="72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6408</v>
      </c>
      <c r="D3565" s="11">
        <v>18117</v>
      </c>
      <c r="E3565" s="11" t="s">
        <v>6142</v>
      </c>
      <c r="F3565" s="11" t="s">
        <v>26</v>
      </c>
      <c r="G3565" s="11">
        <v>2963</v>
      </c>
      <c r="H3565" s="12" t="s">
        <v>4449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2">
        <f>L3565*O3565</f>
        <v>689.62</v>
      </c>
      <c r="S3565" s="72">
        <v>0</v>
      </c>
      <c r="T3565" s="72">
        <f>L3565*S3565</f>
        <v>0</v>
      </c>
      <c r="U3565" s="72">
        <f>R3565-T3565</f>
        <v>689.62</v>
      </c>
      <c r="V3565" s="72">
        <f>U3565*1</f>
        <v>689.62</v>
      </c>
      <c r="W3565" s="72">
        <f>U3565-V3565</f>
        <v>0</v>
      </c>
      <c r="X3565" s="72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6409</v>
      </c>
      <c r="C3566" s="11" t="s">
        <v>6410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4451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2">
        <f>L3566*O3566</f>
        <v>937.80000000000007</v>
      </c>
      <c r="S3566" s="72">
        <v>0</v>
      </c>
      <c r="T3566" s="72">
        <f>L3566*S3566</f>
        <v>0</v>
      </c>
      <c r="U3566" s="72">
        <f>R3566-T3566</f>
        <v>937.80000000000007</v>
      </c>
      <c r="V3566" s="72">
        <f>U3566*0</f>
        <v>0</v>
      </c>
      <c r="W3566" s="72">
        <f>U3566-V3566</f>
        <v>937.80000000000007</v>
      </c>
      <c r="X3566" s="72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6411</v>
      </c>
      <c r="C3567" s="11" t="s">
        <v>6412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4430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2">
        <f>+L3567*O3567</f>
        <v>1571.4</v>
      </c>
      <c r="S3567" s="72">
        <v>0</v>
      </c>
      <c r="T3567" s="72">
        <f>+L3567*S3567</f>
        <v>0</v>
      </c>
      <c r="U3567" s="72">
        <f t="shared" ref="U3567" si="1572">+R3567-T3567</f>
        <v>1571.4</v>
      </c>
      <c r="V3567" s="72">
        <f>+U3567*1</f>
        <v>1571.4</v>
      </c>
      <c r="W3567" s="72">
        <f t="shared" ref="W3567" si="1573">+U3567-V3567</f>
        <v>0</v>
      </c>
      <c r="X3567" s="72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6413</v>
      </c>
      <c r="C3568" s="11" t="s">
        <v>6414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4453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2">
        <f t="shared" ref="R3568" si="1574">+L3568*O3568</f>
        <v>1570.8000000000002</v>
      </c>
      <c r="S3568" s="72">
        <v>0</v>
      </c>
      <c r="T3568" s="72">
        <f>+L3568*S3568</f>
        <v>0</v>
      </c>
      <c r="U3568" s="72">
        <f>+R3568-T3568</f>
        <v>1570.8000000000002</v>
      </c>
      <c r="V3568" s="72">
        <f>+U3568*1</f>
        <v>1570.8000000000002</v>
      </c>
      <c r="W3568" s="72">
        <f>+U3568-V3568</f>
        <v>0</v>
      </c>
      <c r="X3568" s="72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6415</v>
      </c>
      <c r="C3569" s="11" t="s">
        <v>6416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2">
        <f>(L3569*O3569)-Q3569</f>
        <v>280</v>
      </c>
      <c r="S3569" s="72">
        <v>0</v>
      </c>
      <c r="T3569" s="72">
        <f t="shared" ref="T3569" si="1575">+L3569*S3569</f>
        <v>0</v>
      </c>
      <c r="U3569" s="72">
        <f t="shared" ref="U3569" si="1576">+R3569-T3569</f>
        <v>280</v>
      </c>
      <c r="V3569" s="72">
        <f t="shared" ref="V3569" si="1577">+U3569*0</f>
        <v>0</v>
      </c>
      <c r="W3569" s="72">
        <f t="shared" ref="W3569" si="1578">+U3569-V3569</f>
        <v>280</v>
      </c>
      <c r="X3569" s="72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5419</v>
      </c>
      <c r="C3570" s="11" t="s">
        <v>6417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4451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2">
        <f>L3570*O3570</f>
        <v>922.80000000000007</v>
      </c>
      <c r="S3570" s="72">
        <v>0</v>
      </c>
      <c r="T3570" s="72">
        <f>L3570*S3570</f>
        <v>0</v>
      </c>
      <c r="U3570" s="72">
        <f>R3570-T3570</f>
        <v>922.80000000000007</v>
      </c>
      <c r="V3570" s="72">
        <f>U3570*0</f>
        <v>0</v>
      </c>
      <c r="W3570" s="72">
        <f>U3570-V3570</f>
        <v>922.80000000000007</v>
      </c>
      <c r="X3570" s="72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6418</v>
      </c>
      <c r="C3571" s="11" t="s">
        <v>6419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2">
        <f>+L3571*O3571</f>
        <v>1694.4</v>
      </c>
      <c r="S3571" s="72">
        <v>0</v>
      </c>
      <c r="T3571" s="72">
        <f>+L3571*S3571</f>
        <v>0</v>
      </c>
      <c r="U3571" s="72">
        <f>+R3571-T3571</f>
        <v>1694.4</v>
      </c>
      <c r="V3571" s="72">
        <f t="shared" ref="V3571" si="1579">+U3571*0</f>
        <v>0</v>
      </c>
      <c r="W3571" s="72">
        <f>+U3571-V3571</f>
        <v>1694.4</v>
      </c>
      <c r="X3571" s="72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5260</v>
      </c>
      <c r="C3572" s="11" t="s">
        <v>6420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4429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2">
        <f>L3572*O3572</f>
        <v>3691.8399999999997</v>
      </c>
      <c r="S3572" s="72">
        <v>38</v>
      </c>
      <c r="T3572" s="72">
        <f>L3572*S3572</f>
        <v>1690.2399999999998</v>
      </c>
      <c r="U3572" s="72">
        <f>R3572-T3572</f>
        <v>2001.6</v>
      </c>
      <c r="V3572" s="72">
        <f>U3572*1</f>
        <v>2001.6</v>
      </c>
      <c r="W3572" s="72">
        <f>U3572-V3572</f>
        <v>0</v>
      </c>
      <c r="X3572" s="72">
        <f>L3572*36</f>
        <v>1601.28</v>
      </c>
      <c r="Y3572" s="73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750</v>
      </c>
      <c r="C3573" s="11" t="s">
        <v>6421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4430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2">
        <f>+L3573*O3573</f>
        <v>1575.9</v>
      </c>
      <c r="S3573" s="72">
        <v>0</v>
      </c>
      <c r="T3573" s="72">
        <f>+L3573*S3573</f>
        <v>0</v>
      </c>
      <c r="U3573" s="72">
        <f t="shared" ref="U3573:U3574" si="1580">+R3573-T3573</f>
        <v>1575.9</v>
      </c>
      <c r="V3573" s="72">
        <f>+U3573*1</f>
        <v>1575.9</v>
      </c>
      <c r="W3573" s="72">
        <f t="shared" ref="W3573:W3574" si="1581">+U3573-V3573</f>
        <v>0</v>
      </c>
      <c r="X3573" s="72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5758</v>
      </c>
      <c r="C3574" s="11" t="s">
        <v>6422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4430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2">
        <f>+L3574*O3574</f>
        <v>1588.4999999999998</v>
      </c>
      <c r="S3574" s="72">
        <v>0</v>
      </c>
      <c r="T3574" s="72">
        <f>+L3574*S3574</f>
        <v>0</v>
      </c>
      <c r="U3574" s="72">
        <f t="shared" si="1580"/>
        <v>1588.4999999999998</v>
      </c>
      <c r="V3574" s="72">
        <f>+U3574*1</f>
        <v>1588.4999999999998</v>
      </c>
      <c r="W3574" s="72">
        <f t="shared" si="1581"/>
        <v>0</v>
      </c>
      <c r="X3574" s="72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685</v>
      </c>
      <c r="C3575" s="11" t="s">
        <v>6423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2">
        <f>M3575*P3575</f>
        <v>1600</v>
      </c>
      <c r="S3575" s="72">
        <v>0</v>
      </c>
      <c r="T3575" s="72">
        <f>M3575*S3575</f>
        <v>0</v>
      </c>
      <c r="U3575" s="72">
        <f>R3575-T3575</f>
        <v>1600</v>
      </c>
      <c r="V3575" s="72">
        <f>U3575*0</f>
        <v>0</v>
      </c>
      <c r="W3575" s="72">
        <f>+U3575-V3575</f>
        <v>1600</v>
      </c>
      <c r="X3575" s="72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6424</v>
      </c>
      <c r="C3576" s="11" t="s">
        <v>6425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4451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2">
        <f>L3576*O3576</f>
        <v>939</v>
      </c>
      <c r="S3576" s="72">
        <v>0</v>
      </c>
      <c r="T3576" s="72">
        <f>L3576*S3576</f>
        <v>0</v>
      </c>
      <c r="U3576" s="72">
        <f>R3576-T3576</f>
        <v>939</v>
      </c>
      <c r="V3576" s="72">
        <f>U3576*0</f>
        <v>0</v>
      </c>
      <c r="W3576" s="72">
        <f>U3576-V3576</f>
        <v>939</v>
      </c>
      <c r="X3576" s="72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6110</v>
      </c>
      <c r="C3577" s="11" t="s">
        <v>6426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2">
        <f>+M3577*P3577</f>
        <v>600</v>
      </c>
      <c r="S3577" s="72">
        <v>0</v>
      </c>
      <c r="T3577" s="72">
        <f>+M3577*S3577</f>
        <v>0</v>
      </c>
      <c r="U3577" s="72">
        <f t="shared" ref="U3577" si="1583">+R3577-T3577</f>
        <v>600</v>
      </c>
      <c r="V3577" s="72">
        <f>+U3577*0</f>
        <v>0</v>
      </c>
      <c r="W3577" s="72">
        <f t="shared" ref="W3577" si="1584">+U3577-V3577</f>
        <v>600</v>
      </c>
      <c r="X3577" s="72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1373</v>
      </c>
      <c r="C3578" s="11" t="s">
        <v>6427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2">
        <f>+L3578*O3578</f>
        <v>1665.6</v>
      </c>
      <c r="S3578" s="72">
        <v>0</v>
      </c>
      <c r="T3578" s="72">
        <f>+L3578*S3578</f>
        <v>0</v>
      </c>
      <c r="U3578" s="72">
        <f>+R3578-T3578</f>
        <v>1665.6</v>
      </c>
      <c r="V3578" s="72">
        <f t="shared" ref="V3578" si="1585">+U3578*0</f>
        <v>0</v>
      </c>
      <c r="W3578" s="72">
        <f>+U3578-V3578</f>
        <v>1665.6</v>
      </c>
      <c r="X3578" s="72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6428</v>
      </c>
      <c r="C3579" s="11" t="s">
        <v>6429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4455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2">
        <f>+L3579*O3579</f>
        <v>1936.3000000000002</v>
      </c>
      <c r="S3579" s="72">
        <v>0</v>
      </c>
      <c r="T3579" s="72">
        <f>+L3579*S3579</f>
        <v>0</v>
      </c>
      <c r="U3579" s="72">
        <f>+R3579-T3579</f>
        <v>1936.3000000000002</v>
      </c>
      <c r="V3579" s="72">
        <f>+U3579*0.75</f>
        <v>1452.2250000000001</v>
      </c>
      <c r="W3579" s="72">
        <f>+U3579-V3579</f>
        <v>484.07500000000005</v>
      </c>
      <c r="X3579" s="72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6430</v>
      </c>
      <c r="C3580" s="11" t="s">
        <v>6431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4451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2">
        <f>L3580*O3580</f>
        <v>934.2</v>
      </c>
      <c r="S3580" s="72">
        <v>0</v>
      </c>
      <c r="T3580" s="72">
        <f>L3580*S3580</f>
        <v>0</v>
      </c>
      <c r="U3580" s="72">
        <f>R3580-T3580</f>
        <v>934.2</v>
      </c>
      <c r="V3580" s="72">
        <f>U3580*0</f>
        <v>0</v>
      </c>
      <c r="W3580" s="72">
        <f>U3580-V3580</f>
        <v>934.2</v>
      </c>
      <c r="X3580" s="72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6432</v>
      </c>
      <c r="C3581" s="11" t="s">
        <v>6433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2">
        <f>(L3581*O3581)-Q3581</f>
        <v>415.8</v>
      </c>
      <c r="S3581" s="72">
        <v>0</v>
      </c>
      <c r="T3581" s="72">
        <f t="shared" ref="T3581" si="1586">+L3581*S3581</f>
        <v>0</v>
      </c>
      <c r="U3581" s="72">
        <f t="shared" ref="U3581" si="1587">+R3581-T3581</f>
        <v>415.8</v>
      </c>
      <c r="V3581" s="72">
        <f>+U3581*0</f>
        <v>0</v>
      </c>
      <c r="W3581" s="72">
        <f t="shared" ref="W3581" si="1588">+U3581-V3581</f>
        <v>415.8</v>
      </c>
      <c r="X3581" s="72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6434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4453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2">
        <f t="shared" ref="R3582" si="1589">+L3582*O3582</f>
        <v>1593.6799999999998</v>
      </c>
      <c r="S3582" s="72">
        <v>0</v>
      </c>
      <c r="T3582" s="72">
        <f>+L3582*S3582</f>
        <v>0</v>
      </c>
      <c r="U3582" s="72">
        <f>+R3582-T3582</f>
        <v>1593.6799999999998</v>
      </c>
      <c r="V3582" s="72">
        <f>+U3582*1</f>
        <v>1593.6799999999998</v>
      </c>
      <c r="W3582" s="72">
        <f>+U3582-V3582</f>
        <v>0</v>
      </c>
      <c r="X3582" s="72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6435</v>
      </c>
      <c r="C3583" s="11" t="s">
        <v>6436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2">
        <f>L3583*O3583</f>
        <v>1110.6999999999998</v>
      </c>
      <c r="S3583" s="72">
        <v>0</v>
      </c>
      <c r="T3583" s="72">
        <f>L3583*S3583</f>
        <v>0</v>
      </c>
      <c r="U3583" s="72">
        <f>R3583-T3583</f>
        <v>1110.6999999999998</v>
      </c>
      <c r="V3583" s="72">
        <f>U3583*0</f>
        <v>0</v>
      </c>
      <c r="W3583" s="72">
        <f>U3583-V3583</f>
        <v>1110.6999999999998</v>
      </c>
      <c r="X3583" s="72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6437</v>
      </c>
      <c r="C3584" s="11" t="s">
        <v>6438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4451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2">
        <f>L3584*O3584</f>
        <v>927.6</v>
      </c>
      <c r="S3584" s="72">
        <v>0</v>
      </c>
      <c r="T3584" s="72">
        <f>L3584*S3584</f>
        <v>0</v>
      </c>
      <c r="U3584" s="72">
        <f>R3584-T3584</f>
        <v>927.6</v>
      </c>
      <c r="V3584" s="72">
        <f>U3584*0</f>
        <v>0</v>
      </c>
      <c r="W3584" s="72">
        <f>U3584-V3584</f>
        <v>927.6</v>
      </c>
      <c r="X3584" s="72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6439</v>
      </c>
      <c r="C3585" s="11" t="s">
        <v>6440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4429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2">
        <f t="shared" ref="R3585" si="1590">L3585*O3585</f>
        <v>3763.62</v>
      </c>
      <c r="S3585" s="72">
        <v>38</v>
      </c>
      <c r="T3585" s="72">
        <f t="shared" ref="T3585" si="1591">L3585*S3585</f>
        <v>1643.8799999999999</v>
      </c>
      <c r="U3585" s="72">
        <f t="shared" ref="U3585" si="1592">R3585-T3585</f>
        <v>2119.7399999999998</v>
      </c>
      <c r="V3585" s="72">
        <f>U3585*1</f>
        <v>2119.7399999999998</v>
      </c>
      <c r="W3585" s="72">
        <f t="shared" ref="W3585" si="1593">U3585-V3585</f>
        <v>0</v>
      </c>
      <c r="X3585" s="72">
        <f>L3585*37</f>
        <v>1600.62</v>
      </c>
      <c r="Y3585" s="73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6441</v>
      </c>
      <c r="C3586" s="11" t="s">
        <v>6442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2">
        <f>(L3586*O3586)-Q3586</f>
        <v>258.8</v>
      </c>
      <c r="S3586" s="72">
        <v>0</v>
      </c>
      <c r="T3586" s="72">
        <f t="shared" ref="T3586" si="1594">+L3586*S3586</f>
        <v>0</v>
      </c>
      <c r="U3586" s="72">
        <f t="shared" ref="U3586:U3587" si="1595">+R3586-T3586</f>
        <v>258.8</v>
      </c>
      <c r="V3586" s="72">
        <f t="shared" ref="V3586" si="1596">+U3586*0</f>
        <v>0</v>
      </c>
      <c r="W3586" s="72">
        <f t="shared" ref="W3586:W3587" si="1597">+U3586-V3586</f>
        <v>258.8</v>
      </c>
      <c r="X3586" s="72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6443</v>
      </c>
      <c r="C3587" s="11" t="s">
        <v>6444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4430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2">
        <f>+L3587*O3587</f>
        <v>1543.4999999999998</v>
      </c>
      <c r="S3587" s="72">
        <v>0</v>
      </c>
      <c r="T3587" s="72">
        <f>+L3587*S3587</f>
        <v>0</v>
      </c>
      <c r="U3587" s="72">
        <f t="shared" si="1595"/>
        <v>1543.4999999999998</v>
      </c>
      <c r="V3587" s="72">
        <f>+U3587*1</f>
        <v>1543.4999999999998</v>
      </c>
      <c r="W3587" s="72">
        <f t="shared" si="1597"/>
        <v>0</v>
      </c>
      <c r="X3587" s="72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6445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2">
        <f>L3588*O3588</f>
        <v>1089.24</v>
      </c>
      <c r="S3588" s="72">
        <v>0</v>
      </c>
      <c r="T3588" s="72">
        <f>L3588*S3588</f>
        <v>0</v>
      </c>
      <c r="U3588" s="72">
        <f>R3588-T3588</f>
        <v>1089.24</v>
      </c>
      <c r="V3588" s="72">
        <f>U3588*0</f>
        <v>0</v>
      </c>
      <c r="W3588" s="72">
        <f>U3588-V3588</f>
        <v>1089.24</v>
      </c>
      <c r="X3588" s="72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695</v>
      </c>
      <c r="C3589" s="11" t="s">
        <v>6446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2">
        <f>L3589*O3589</f>
        <v>1099.68</v>
      </c>
      <c r="S3589" s="72">
        <v>0</v>
      </c>
      <c r="T3589" s="72">
        <f>L3589*S3589</f>
        <v>0</v>
      </c>
      <c r="U3589" s="72">
        <f>R3589-T3589</f>
        <v>1099.68</v>
      </c>
      <c r="V3589" s="72">
        <f>U3589*0</f>
        <v>0</v>
      </c>
      <c r="W3589" s="72">
        <f>U3589-V3589</f>
        <v>1099.68</v>
      </c>
      <c r="X3589" s="72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6447</v>
      </c>
      <c r="C3590" s="11" t="s">
        <v>6448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2">
        <f>M3590*P3590</f>
        <v>1620</v>
      </c>
      <c r="S3590" s="72">
        <v>0</v>
      </c>
      <c r="T3590" s="72">
        <f>M3590*S3590</f>
        <v>0</v>
      </c>
      <c r="U3590" s="72">
        <f>R3590-T3590</f>
        <v>1620</v>
      </c>
      <c r="V3590" s="72">
        <f>U3590*0</f>
        <v>0</v>
      </c>
      <c r="W3590" s="72">
        <f>+U3590-V3590</f>
        <v>1620</v>
      </c>
      <c r="X3590" s="72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6449</v>
      </c>
      <c r="D3591" s="11">
        <v>18145</v>
      </c>
      <c r="E3591" s="11" t="s">
        <v>6061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2">
        <f>+L3591*O3591</f>
        <v>640.5</v>
      </c>
      <c r="S3591" s="72">
        <v>0</v>
      </c>
      <c r="T3591" s="72">
        <f>+L3591*S3591</f>
        <v>0</v>
      </c>
      <c r="U3591" s="72">
        <f>+R3591-T3591</f>
        <v>640.5</v>
      </c>
      <c r="V3591" s="72">
        <f t="shared" ref="V3591:V3592" si="1600">+U3591*0</f>
        <v>0</v>
      </c>
      <c r="W3591" s="72">
        <f>+U3591-V3591</f>
        <v>640.5</v>
      </c>
      <c r="X3591" s="72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668</v>
      </c>
      <c r="C3592" s="11" t="s">
        <v>6450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2">
        <f>+L3592*O3592</f>
        <v>1737.6</v>
      </c>
      <c r="S3592" s="72">
        <v>0</v>
      </c>
      <c r="T3592" s="72">
        <f>+L3592*S3592</f>
        <v>0</v>
      </c>
      <c r="U3592" s="72">
        <f>+R3592-T3592</f>
        <v>1737.6</v>
      </c>
      <c r="V3592" s="72">
        <f t="shared" si="1600"/>
        <v>0</v>
      </c>
      <c r="W3592" s="72">
        <f>+U3592-V3592</f>
        <v>1737.6</v>
      </c>
      <c r="X3592" s="72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6451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2">
        <f>M3593*P3593</f>
        <v>1550</v>
      </c>
      <c r="S3593" s="72">
        <v>0</v>
      </c>
      <c r="T3593" s="72">
        <f>M3593*S3593</f>
        <v>0</v>
      </c>
      <c r="U3593" s="72">
        <f>R3593-T3593</f>
        <v>1550</v>
      </c>
      <c r="V3593" s="72">
        <f>U3593*0</f>
        <v>0</v>
      </c>
      <c r="W3593" s="72">
        <f>U3593-V3593</f>
        <v>1550</v>
      </c>
      <c r="X3593" s="72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6452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2">
        <f>M3594*P3594</f>
        <v>1500</v>
      </c>
      <c r="S3594" s="72">
        <v>0</v>
      </c>
      <c r="T3594" s="72">
        <f>M3594*S3594</f>
        <v>0</v>
      </c>
      <c r="U3594" s="72">
        <f>R3594-T3594</f>
        <v>1500</v>
      </c>
      <c r="V3594" s="72">
        <f>U3594*0</f>
        <v>0</v>
      </c>
      <c r="W3594" s="72">
        <f>U3594-V3594</f>
        <v>1500</v>
      </c>
      <c r="X3594" s="72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1127</v>
      </c>
      <c r="C3595" s="11" t="s">
        <v>6453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4455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2">
        <f>+L3595*O3595</f>
        <v>1797.7499999999998</v>
      </c>
      <c r="S3595" s="72">
        <v>0</v>
      </c>
      <c r="T3595" s="72">
        <f>+L3595*S3595</f>
        <v>0</v>
      </c>
      <c r="U3595" s="72">
        <f>+R3595-T3595</f>
        <v>1797.7499999999998</v>
      </c>
      <c r="V3595" s="72">
        <f>+U3595*0.75</f>
        <v>1348.3124999999998</v>
      </c>
      <c r="W3595" s="72">
        <f>+U3595-V3595</f>
        <v>449.4375</v>
      </c>
      <c r="X3595" s="72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2647</v>
      </c>
      <c r="C3596" s="11" t="s">
        <v>6454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4430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2">
        <f t="shared" ref="R3596" si="1602">+L3596*O3596</f>
        <v>1597.12</v>
      </c>
      <c r="S3596" s="72">
        <v>0</v>
      </c>
      <c r="T3596" s="72">
        <f t="shared" ref="T3596" si="1603">+L3596*S3596</f>
        <v>0</v>
      </c>
      <c r="U3596" s="72">
        <f t="shared" ref="U3596" si="1604">+R3596-T3596</f>
        <v>1597.12</v>
      </c>
      <c r="V3596" s="72">
        <f>+U3596*1</f>
        <v>1597.12</v>
      </c>
      <c r="W3596" s="72">
        <f t="shared" ref="W3596" si="1605">+U3596-V3596</f>
        <v>0</v>
      </c>
      <c r="X3596" s="72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6455</v>
      </c>
      <c r="C3597" s="11" t="s">
        <v>6456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2">
        <f>L3597*O3597</f>
        <v>1540.8000000000002</v>
      </c>
      <c r="S3597" s="72">
        <v>0</v>
      </c>
      <c r="T3597" s="72">
        <f>L3597*S3597</f>
        <v>0</v>
      </c>
      <c r="U3597" s="72">
        <f>R3597-T3597</f>
        <v>1540.8000000000002</v>
      </c>
      <c r="V3597" s="72">
        <f>U3597*0</f>
        <v>0</v>
      </c>
      <c r="W3597" s="72">
        <f>U3597-V3597</f>
        <v>1540.8000000000002</v>
      </c>
      <c r="X3597" s="72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6457</v>
      </c>
      <c r="C3598" s="11" t="s">
        <v>6458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4429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2">
        <f t="shared" ref="R3598" si="1606">L3598*O3598</f>
        <v>3683.5800000000004</v>
      </c>
      <c r="S3598" s="72">
        <v>38</v>
      </c>
      <c r="T3598" s="72">
        <f t="shared" ref="T3598" si="1607">L3598*S3598</f>
        <v>1608.92</v>
      </c>
      <c r="U3598" s="72">
        <f t="shared" ref="U3598" si="1608">R3598-T3598</f>
        <v>2074.6600000000003</v>
      </c>
      <c r="V3598" s="72">
        <f>U3598*1</f>
        <v>2074.6600000000003</v>
      </c>
      <c r="W3598" s="72">
        <f t="shared" ref="W3598" si="1609">U3598-V3598</f>
        <v>0</v>
      </c>
      <c r="X3598" s="72">
        <f>L3598*36</f>
        <v>1524.2400000000002</v>
      </c>
      <c r="Y3598" s="73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6459</v>
      </c>
      <c r="C3599" s="11" t="s">
        <v>6460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2">
        <f>L3599*O3599</f>
        <v>1734.4</v>
      </c>
      <c r="S3599" s="72">
        <v>0</v>
      </c>
      <c r="T3599" s="72">
        <f>L3599*S3599</f>
        <v>0</v>
      </c>
      <c r="U3599" s="72">
        <f>R3599-T3599</f>
        <v>1734.4</v>
      </c>
      <c r="V3599" s="72">
        <f>U3599*0</f>
        <v>0</v>
      </c>
      <c r="W3599" s="72">
        <f>U3599-V3599</f>
        <v>1734.4</v>
      </c>
      <c r="X3599" s="72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2714</v>
      </c>
      <c r="C3600" s="11" t="s">
        <v>6461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4429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2">
        <f t="shared" ref="R3600:R3601" si="1611">L3600*O3600</f>
        <v>3782.7599999999998</v>
      </c>
      <c r="S3600" s="72">
        <v>38</v>
      </c>
      <c r="T3600" s="72">
        <f t="shared" ref="T3600:T3601" si="1612">L3600*S3600</f>
        <v>1652.2399999999998</v>
      </c>
      <c r="U3600" s="72">
        <f t="shared" ref="U3600:U3601" si="1613">R3600-T3600</f>
        <v>2130.52</v>
      </c>
      <c r="V3600" s="72">
        <f>U3600*1</f>
        <v>2130.52</v>
      </c>
      <c r="W3600" s="72">
        <f t="shared" ref="W3600:W3602" si="1614">U3600-V3600</f>
        <v>0</v>
      </c>
      <c r="X3600" s="72">
        <f>L3600*36</f>
        <v>1565.28</v>
      </c>
      <c r="Y3600" s="73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5475</v>
      </c>
      <c r="C3601" s="11" t="s">
        <v>6462</v>
      </c>
      <c r="D3601" s="11">
        <v>18155</v>
      </c>
      <c r="E3601" s="11" t="s">
        <v>2116</v>
      </c>
      <c r="F3601" s="11" t="s">
        <v>26</v>
      </c>
      <c r="G3601" s="11" t="s">
        <v>26</v>
      </c>
      <c r="H3601" s="12" t="s">
        <v>4429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2">
        <f t="shared" si="1611"/>
        <v>3629.5000000000005</v>
      </c>
      <c r="S3601" s="72">
        <v>38</v>
      </c>
      <c r="T3601" s="72">
        <f t="shared" si="1612"/>
        <v>1622.6000000000001</v>
      </c>
      <c r="U3601" s="72">
        <f t="shared" si="1613"/>
        <v>2006.9000000000003</v>
      </c>
      <c r="V3601" s="72">
        <f>U3601*1</f>
        <v>2006.9000000000003</v>
      </c>
      <c r="W3601" s="72">
        <f t="shared" si="1614"/>
        <v>0</v>
      </c>
      <c r="X3601" s="72">
        <f>L3601*36</f>
        <v>1537.2</v>
      </c>
      <c r="Y3601" s="73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6463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2">
        <f>M3602*P3602</f>
        <v>1450</v>
      </c>
      <c r="S3602" s="72">
        <v>0</v>
      </c>
      <c r="T3602" s="72">
        <f>M3602*S3602</f>
        <v>0</v>
      </c>
      <c r="U3602" s="72">
        <f>R3602-T3602</f>
        <v>1450</v>
      </c>
      <c r="V3602" s="72">
        <f t="shared" ref="V3602" si="1615">U3602*0</f>
        <v>0</v>
      </c>
      <c r="W3602" s="72">
        <f t="shared" si="1614"/>
        <v>1450</v>
      </c>
      <c r="X3602" s="72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6464</v>
      </c>
      <c r="C3603" s="11" t="s">
        <v>6465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4429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2">
        <f>L3603*O3603</f>
        <v>3703.4599999999996</v>
      </c>
      <c r="S3603" s="72">
        <v>38</v>
      </c>
      <c r="T3603" s="72">
        <f>L3603*S3603</f>
        <v>1695.56</v>
      </c>
      <c r="U3603" s="72">
        <f>R3603-T3603</f>
        <v>2007.8999999999996</v>
      </c>
      <c r="V3603" s="72">
        <f>U3603*1</f>
        <v>2007.8999999999996</v>
      </c>
      <c r="W3603" s="72">
        <f>U3603-V3603</f>
        <v>0</v>
      </c>
      <c r="X3603" s="72">
        <f>L3603*36</f>
        <v>1606.32</v>
      </c>
      <c r="Y3603" s="73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6466</v>
      </c>
      <c r="C3604" s="11" t="s">
        <v>6467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4429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2">
        <f>L3604*O3604</f>
        <v>3502.6000000000004</v>
      </c>
      <c r="S3604" s="72">
        <v>38</v>
      </c>
      <c r="T3604" s="72">
        <f>L3604*S3604</f>
        <v>1603.6000000000001</v>
      </c>
      <c r="U3604" s="72">
        <f>R3604-T3604</f>
        <v>1899.0000000000002</v>
      </c>
      <c r="V3604" s="72">
        <f>U3604*1</f>
        <v>1899.0000000000002</v>
      </c>
      <c r="W3604" s="72">
        <f>U3604-V3604</f>
        <v>0</v>
      </c>
      <c r="X3604" s="72">
        <f>L3604*36</f>
        <v>1519.2</v>
      </c>
      <c r="Y3604" s="73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5592</v>
      </c>
      <c r="C3605" s="11" t="s">
        <v>6468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2">
        <f>(L3605*O3605)-Q3605</f>
        <v>694.80000000000007</v>
      </c>
      <c r="S3605" s="72">
        <v>0</v>
      </c>
      <c r="T3605" s="72">
        <f t="shared" ref="T3605" si="1617">+L3605*S3605</f>
        <v>0</v>
      </c>
      <c r="U3605" s="72">
        <f t="shared" ref="U3605" si="1618">+R3605-T3605</f>
        <v>694.80000000000007</v>
      </c>
      <c r="V3605" s="72">
        <f t="shared" ref="V3605" si="1619">+U3605*0</f>
        <v>0</v>
      </c>
      <c r="W3605" s="72">
        <f t="shared" ref="W3605" si="1620">+U3605-V3605</f>
        <v>694.80000000000007</v>
      </c>
      <c r="X3605" s="72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6469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4451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2">
        <f>L3606*O3606</f>
        <v>937.80000000000007</v>
      </c>
      <c r="S3606" s="72">
        <v>0</v>
      </c>
      <c r="T3606" s="72">
        <f>L3606*S3606</f>
        <v>0</v>
      </c>
      <c r="U3606" s="72">
        <f>R3606-T3606</f>
        <v>937.80000000000007</v>
      </c>
      <c r="V3606" s="72">
        <f>U3606*0</f>
        <v>0</v>
      </c>
      <c r="W3606" s="72">
        <f>U3606-V3606</f>
        <v>937.80000000000007</v>
      </c>
      <c r="X3606" s="72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1502</v>
      </c>
      <c r="C3607" s="11" t="s">
        <v>6470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4430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2">
        <f>+L3607*O3607</f>
        <v>1568.7</v>
      </c>
      <c r="S3607" s="72">
        <v>0</v>
      </c>
      <c r="T3607" s="72">
        <f>+L3607*S3607</f>
        <v>0</v>
      </c>
      <c r="U3607" s="72">
        <f t="shared" ref="U3607" si="1622">+R3607-T3607</f>
        <v>1568.7</v>
      </c>
      <c r="V3607" s="72">
        <f>+U3607*1</f>
        <v>1568.7</v>
      </c>
      <c r="W3607" s="72">
        <f t="shared" ref="W3607" si="1623">+U3607-V3607</f>
        <v>0</v>
      </c>
      <c r="X3607" s="72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6471</v>
      </c>
      <c r="C3608" s="11" t="s">
        <v>6472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4429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2">
        <f>L3608*O3608</f>
        <v>3489.3199999999997</v>
      </c>
      <c r="S3608" s="72">
        <v>38</v>
      </c>
      <c r="T3608" s="72">
        <f>L3608*S3608</f>
        <v>1597.52</v>
      </c>
      <c r="U3608" s="72">
        <f>R3608-T3608</f>
        <v>1891.7999999999997</v>
      </c>
      <c r="V3608" s="72">
        <f>U3608*1</f>
        <v>1891.7999999999997</v>
      </c>
      <c r="W3608" s="72">
        <f>U3608-V3608</f>
        <v>0</v>
      </c>
      <c r="X3608" s="72">
        <f>L3608*36</f>
        <v>1513.44</v>
      </c>
      <c r="Y3608" s="73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5346</v>
      </c>
      <c r="C3609" s="11" t="s">
        <v>6473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4429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2">
        <f t="shared" ref="R3609" si="1624">L3609*O3609</f>
        <v>3500.3</v>
      </c>
      <c r="S3609" s="72">
        <v>38</v>
      </c>
      <c r="T3609" s="72">
        <f t="shared" ref="T3609" si="1625">L3609*S3609</f>
        <v>1564.84</v>
      </c>
      <c r="U3609" s="72">
        <f t="shared" ref="U3609" si="1626">R3609-T3609</f>
        <v>1935.4600000000003</v>
      </c>
      <c r="V3609" s="72">
        <f>U3609*1</f>
        <v>1935.4600000000003</v>
      </c>
      <c r="W3609" s="72">
        <f t="shared" ref="W3609" si="1627">U3609-V3609</f>
        <v>0</v>
      </c>
      <c r="X3609" s="72">
        <f>L3609*37</f>
        <v>1523.66</v>
      </c>
      <c r="Y3609" s="73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749</v>
      </c>
      <c r="C3610" s="11" t="s">
        <v>6474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2">
        <f>+M3610*P3610</f>
        <v>600</v>
      </c>
      <c r="S3610" s="72">
        <v>0</v>
      </c>
      <c r="T3610" s="72">
        <f>+M3610*S3610</f>
        <v>0</v>
      </c>
      <c r="U3610" s="72">
        <f t="shared" ref="U3610" si="1628">+R3610-T3610</f>
        <v>600</v>
      </c>
      <c r="V3610" s="72">
        <f>+U3610*0</f>
        <v>0</v>
      </c>
      <c r="W3610" s="72">
        <f t="shared" ref="W3610" si="1629">+U3610-V3610</f>
        <v>600</v>
      </c>
      <c r="X3610" s="72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6475</v>
      </c>
      <c r="C3611" s="11" t="s">
        <v>6476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4451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2">
        <f>L3611*O3611</f>
        <v>994.8</v>
      </c>
      <c r="S3611" s="72">
        <v>0</v>
      </c>
      <c r="T3611" s="72">
        <f>L3611*S3611</f>
        <v>0</v>
      </c>
      <c r="U3611" s="72">
        <f>R3611-T3611</f>
        <v>994.8</v>
      </c>
      <c r="V3611" s="72">
        <f>U3611*0</f>
        <v>0</v>
      </c>
      <c r="W3611" s="72">
        <f>U3611-V3611</f>
        <v>994.8</v>
      </c>
      <c r="X3611" s="72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6477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2">
        <f>+L3612*O3612</f>
        <v>1701.6</v>
      </c>
      <c r="S3612" s="72">
        <v>0</v>
      </c>
      <c r="T3612" s="72">
        <f>+L3612*S3612</f>
        <v>0</v>
      </c>
      <c r="U3612" s="72">
        <f>+R3612-T3612</f>
        <v>1701.6</v>
      </c>
      <c r="V3612" s="72">
        <f t="shared" ref="V3612" si="1631">+U3612*0</f>
        <v>0</v>
      </c>
      <c r="W3612" s="72">
        <f>+U3612-V3612</f>
        <v>1701.6</v>
      </c>
      <c r="X3612" s="72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1924</v>
      </c>
      <c r="C3613" s="11" t="s">
        <v>6478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4430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2">
        <f t="shared" ref="R3613" si="1632">+L3613*O3613</f>
        <v>1663.36</v>
      </c>
      <c r="S3613" s="72">
        <v>0</v>
      </c>
      <c r="T3613" s="72">
        <f t="shared" ref="T3613" si="1633">+L3613*S3613</f>
        <v>0</v>
      </c>
      <c r="U3613" s="72">
        <f t="shared" ref="U3613" si="1634">+R3613-T3613</f>
        <v>1663.36</v>
      </c>
      <c r="V3613" s="72">
        <f>+U3613*1</f>
        <v>1663.36</v>
      </c>
      <c r="W3613" s="72">
        <f t="shared" ref="W3613" si="1635">+U3613-V3613</f>
        <v>0</v>
      </c>
      <c r="X3613" s="72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3341</v>
      </c>
      <c r="C3614" s="11" t="s">
        <v>6479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2">
        <f>M3614*P3614</f>
        <v>1680</v>
      </c>
      <c r="S3614" s="72">
        <v>0</v>
      </c>
      <c r="T3614" s="72">
        <f>M3614*S3614</f>
        <v>0</v>
      </c>
      <c r="U3614" s="72">
        <f>R3614-T3614</f>
        <v>1680</v>
      </c>
      <c r="V3614" s="72">
        <f>U3614*0</f>
        <v>0</v>
      </c>
      <c r="W3614" s="72">
        <f>+U3614-V3614</f>
        <v>1680</v>
      </c>
      <c r="X3614" s="72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1424</v>
      </c>
      <c r="C3615" s="11" t="s">
        <v>6480</v>
      </c>
      <c r="D3615" s="11">
        <v>18169</v>
      </c>
      <c r="E3615" s="11" t="s">
        <v>2133</v>
      </c>
      <c r="F3615" s="11" t="s">
        <v>26</v>
      </c>
      <c r="G3615" s="11">
        <v>112452</v>
      </c>
      <c r="H3615" s="12" t="s">
        <v>4453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2">
        <f t="shared" ref="R3615" si="1636">+L3615*O3615</f>
        <v>1553.1999999999998</v>
      </c>
      <c r="S3615" s="72">
        <v>0</v>
      </c>
      <c r="T3615" s="72">
        <f>+L3615*S3615</f>
        <v>0</v>
      </c>
      <c r="U3615" s="72">
        <f>+R3615-T3615</f>
        <v>1553.1999999999998</v>
      </c>
      <c r="V3615" s="72">
        <f>+U3615*1</f>
        <v>1553.1999999999998</v>
      </c>
      <c r="W3615" s="72">
        <f>+U3615-V3615</f>
        <v>0</v>
      </c>
      <c r="X3615" s="72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731</v>
      </c>
      <c r="C3616" s="11" t="s">
        <v>6481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1916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2">
        <f>M3616*P3616</f>
        <v>1350</v>
      </c>
      <c r="S3616" s="72">
        <v>0</v>
      </c>
      <c r="T3616" s="72">
        <f>M3616*S3616</f>
        <v>0</v>
      </c>
      <c r="U3616" s="72">
        <f t="shared" ref="U3616" si="1637">R3616-T3616</f>
        <v>1350</v>
      </c>
      <c r="V3616" s="72">
        <f>U3616*1</f>
        <v>1350</v>
      </c>
      <c r="W3616" s="72">
        <f>U3616-V3616</f>
        <v>0</v>
      </c>
      <c r="X3616" s="72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6482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2">
        <f>L3617*O3617</f>
        <v>1118.24</v>
      </c>
      <c r="S3617" s="72">
        <v>0</v>
      </c>
      <c r="T3617" s="72">
        <f>L3617*S3617</f>
        <v>0</v>
      </c>
      <c r="U3617" s="72">
        <f>R3617-T3617</f>
        <v>1118.24</v>
      </c>
      <c r="V3617" s="72">
        <f>U3617*0</f>
        <v>0</v>
      </c>
      <c r="W3617" s="72">
        <f>U3617-V3617</f>
        <v>1118.24</v>
      </c>
      <c r="X3617" s="72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6483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4451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2">
        <f>L3618*O3618</f>
        <v>937.80000000000007</v>
      </c>
      <c r="S3618" s="72">
        <v>0</v>
      </c>
      <c r="T3618" s="72">
        <f>L3618*S3618</f>
        <v>0</v>
      </c>
      <c r="U3618" s="72">
        <f>R3618-T3618</f>
        <v>937.80000000000007</v>
      </c>
      <c r="V3618" s="72">
        <f>U3618*0</f>
        <v>0</v>
      </c>
      <c r="W3618" s="72">
        <f>U3618-V3618</f>
        <v>937.80000000000007</v>
      </c>
      <c r="X3618" s="72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6484</v>
      </c>
      <c r="C3619" s="11" t="s">
        <v>6485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1916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2">
        <f>M3619*P3619</f>
        <v>1350</v>
      </c>
      <c r="S3619" s="72">
        <v>0</v>
      </c>
      <c r="T3619" s="72">
        <f>M3619*S3619</f>
        <v>0</v>
      </c>
      <c r="U3619" s="72">
        <f t="shared" ref="U3619" si="1638">R3619-T3619</f>
        <v>1350</v>
      </c>
      <c r="V3619" s="72">
        <f>U3619*1</f>
        <v>1350</v>
      </c>
      <c r="W3619" s="72">
        <f>U3619-V3619</f>
        <v>0</v>
      </c>
      <c r="X3619" s="72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6486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4430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2">
        <f t="shared" ref="R3620" si="1639">+L3620*O3620</f>
        <v>1506.9599999999998</v>
      </c>
      <c r="S3620" s="72">
        <v>0</v>
      </c>
      <c r="T3620" s="72">
        <f t="shared" ref="T3620" si="1640">+L3620*S3620</f>
        <v>0</v>
      </c>
      <c r="U3620" s="72">
        <f t="shared" ref="U3620" si="1641">+R3620-T3620</f>
        <v>1506.9599999999998</v>
      </c>
      <c r="V3620" s="72">
        <f>+U3620*1</f>
        <v>1506.9599999999998</v>
      </c>
      <c r="W3620" s="72">
        <f t="shared" ref="W3620" si="1642">+U3620-V3620</f>
        <v>0</v>
      </c>
      <c r="X3620" s="72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5894</v>
      </c>
      <c r="C3621" s="11" t="s">
        <v>6487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4451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2">
        <f>L3621*O3621</f>
        <v>934.8</v>
      </c>
      <c r="S3621" s="72">
        <v>0</v>
      </c>
      <c r="T3621" s="72">
        <f>L3621*S3621</f>
        <v>0</v>
      </c>
      <c r="U3621" s="72">
        <f>R3621-T3621</f>
        <v>934.8</v>
      </c>
      <c r="V3621" s="72">
        <f>U3621*0</f>
        <v>0</v>
      </c>
      <c r="W3621" s="72">
        <f>U3621-V3621</f>
        <v>934.8</v>
      </c>
      <c r="X3621" s="72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6033</v>
      </c>
      <c r="C3622" s="11" t="s">
        <v>6488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2">
        <f>L3622*O3622</f>
        <v>1824.8</v>
      </c>
      <c r="S3622" s="72">
        <v>0</v>
      </c>
      <c r="T3622" s="72">
        <f>L3622*S3622</f>
        <v>0</v>
      </c>
      <c r="U3622" s="72">
        <f>R3622-T3622</f>
        <v>1824.8</v>
      </c>
      <c r="V3622" s="72">
        <f>U3622*0</f>
        <v>0</v>
      </c>
      <c r="W3622" s="72">
        <f>U3622-V3622</f>
        <v>1824.8</v>
      </c>
      <c r="X3622" s="72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1896</v>
      </c>
      <c r="C3623" s="11" t="s">
        <v>6489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2">
        <f>L3623*O3623</f>
        <v>1524.8</v>
      </c>
      <c r="S3623" s="72">
        <v>0</v>
      </c>
      <c r="T3623" s="72">
        <f>L3623*S3623</f>
        <v>0</v>
      </c>
      <c r="U3623" s="72">
        <f>R3623-T3623</f>
        <v>1524.8</v>
      </c>
      <c r="V3623" s="72">
        <f>U3623*0</f>
        <v>0</v>
      </c>
      <c r="W3623" s="72">
        <f>U3623-V3623</f>
        <v>1524.8</v>
      </c>
      <c r="X3623" s="72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4401</v>
      </c>
      <c r="C3624" s="11" t="s">
        <v>6490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2">
        <f>M3624*P3624</f>
        <v>1600</v>
      </c>
      <c r="S3624" s="72">
        <v>0</v>
      </c>
      <c r="T3624" s="72">
        <f>M3624*S3624</f>
        <v>0</v>
      </c>
      <c r="U3624" s="72">
        <f>R3624-T3624</f>
        <v>1600</v>
      </c>
      <c r="V3624" s="72">
        <f t="shared" ref="V3624" si="1643">U3624*0</f>
        <v>0</v>
      </c>
      <c r="W3624" s="72">
        <f t="shared" ref="W3624" si="1644">U3624-V3624</f>
        <v>1600</v>
      </c>
      <c r="X3624" s="72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6491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2">
        <f>(L3625*O3625)-Q3625</f>
        <v>139.52000000000001</v>
      </c>
      <c r="S3625" s="72">
        <v>0</v>
      </c>
      <c r="T3625" s="72">
        <f t="shared" ref="T3625" si="1645">+L3625*S3625</f>
        <v>0</v>
      </c>
      <c r="U3625" s="72">
        <f t="shared" ref="U3625" si="1646">+R3625-T3625</f>
        <v>139.52000000000001</v>
      </c>
      <c r="V3625" s="72">
        <f>+U3625*0</f>
        <v>0</v>
      </c>
      <c r="W3625" s="72">
        <f t="shared" ref="W3625" si="1647">+U3625-V3625</f>
        <v>139.52000000000001</v>
      </c>
      <c r="X3625" s="72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6492</v>
      </c>
      <c r="C3626" s="11" t="s">
        <v>6493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2">
        <f>L3626*O3626</f>
        <v>1676.8000000000002</v>
      </c>
      <c r="S3626" s="72">
        <v>0</v>
      </c>
      <c r="T3626" s="72">
        <f>L3626*S3626</f>
        <v>0</v>
      </c>
      <c r="U3626" s="72">
        <f>R3626-T3626</f>
        <v>1676.8000000000002</v>
      </c>
      <c r="V3626" s="72">
        <f>U3626*0</f>
        <v>0</v>
      </c>
      <c r="W3626" s="72">
        <f>U3626-V3626</f>
        <v>1676.8000000000002</v>
      </c>
      <c r="X3626" s="72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6494</v>
      </c>
      <c r="C3627" s="11" t="s">
        <v>6495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4451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2">
        <f>L3627*O3627</f>
        <v>1017.6</v>
      </c>
      <c r="S3627" s="72">
        <v>0</v>
      </c>
      <c r="T3627" s="72">
        <f>L3627*S3627</f>
        <v>0</v>
      </c>
      <c r="U3627" s="72">
        <f>R3627-T3627</f>
        <v>1017.6</v>
      </c>
      <c r="V3627" s="72">
        <f>U3627*0</f>
        <v>0</v>
      </c>
      <c r="W3627" s="72">
        <f>U3627-V3627</f>
        <v>1017.6</v>
      </c>
      <c r="X3627" s="72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702</v>
      </c>
      <c r="C3628" s="11" t="s">
        <v>6496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2">
        <f>+M3628*P3628</f>
        <v>600</v>
      </c>
      <c r="S3628" s="72">
        <v>0</v>
      </c>
      <c r="T3628" s="72">
        <f>+M3628*S3628</f>
        <v>0</v>
      </c>
      <c r="U3628" s="72">
        <f t="shared" ref="U3628" si="1648">+R3628-T3628</f>
        <v>600</v>
      </c>
      <c r="V3628" s="72">
        <f>+U3628*0</f>
        <v>0</v>
      </c>
      <c r="W3628" s="72">
        <f t="shared" ref="W3628" si="1649">+U3628-V3628</f>
        <v>600</v>
      </c>
      <c r="X3628" s="72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6497</v>
      </c>
      <c r="C3629" s="11" t="s">
        <v>6498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4453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2">
        <f t="shared" ref="R3629" si="1650">+L3629*O3629</f>
        <v>1554.08</v>
      </c>
      <c r="S3629" s="72">
        <v>0</v>
      </c>
      <c r="T3629" s="72">
        <f>+L3629*S3629</f>
        <v>0</v>
      </c>
      <c r="U3629" s="72">
        <f>+R3629-T3629</f>
        <v>1554.08</v>
      </c>
      <c r="V3629" s="72">
        <f>+U3629*1</f>
        <v>1554.08</v>
      </c>
      <c r="W3629" s="72">
        <f>+U3629-V3629</f>
        <v>0</v>
      </c>
      <c r="X3629" s="72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6499</v>
      </c>
      <c r="C3630" s="11" t="s">
        <v>6500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2">
        <f>+L3630*O3630</f>
        <v>1694.4</v>
      </c>
      <c r="S3630" s="72">
        <v>0</v>
      </c>
      <c r="T3630" s="72">
        <f>+L3630*S3630</f>
        <v>0</v>
      </c>
      <c r="U3630" s="72">
        <f>+R3630-T3630</f>
        <v>1694.4</v>
      </c>
      <c r="V3630" s="72">
        <f t="shared" ref="V3630" si="1651">+U3630*0</f>
        <v>0</v>
      </c>
      <c r="W3630" s="72">
        <f>+U3630-V3630</f>
        <v>1694.4</v>
      </c>
      <c r="X3630" s="72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6501</v>
      </c>
      <c r="C3631" s="11" t="s">
        <v>6502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2">
        <f>+L3631*O3631</f>
        <v>3894.7999999999997</v>
      </c>
      <c r="S3631" s="72">
        <v>40</v>
      </c>
      <c r="T3631" s="72">
        <f>L3631*S3631</f>
        <v>1712</v>
      </c>
      <c r="U3631" s="72">
        <f t="shared" ref="U3631" si="1652">R3631-T3631</f>
        <v>2182.7999999999997</v>
      </c>
      <c r="V3631" s="72">
        <f>U3631*1</f>
        <v>2182.7999999999997</v>
      </c>
      <c r="W3631" s="72">
        <f t="shared" ref="W3631" si="1653">U3631-V3631</f>
        <v>0</v>
      </c>
      <c r="X3631" s="72">
        <f>L3631*37</f>
        <v>1583.6</v>
      </c>
      <c r="Y3631" s="73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6503</v>
      </c>
      <c r="C3632" s="11" t="s">
        <v>6504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4430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2">
        <f t="shared" ref="R3632" si="1654">+L3632*O3632</f>
        <v>1516.16</v>
      </c>
      <c r="S3632" s="72">
        <v>0</v>
      </c>
      <c r="T3632" s="72">
        <f t="shared" ref="T3632" si="1655">+L3632*S3632</f>
        <v>0</v>
      </c>
      <c r="U3632" s="72">
        <f t="shared" ref="U3632" si="1656">+R3632-T3632</f>
        <v>1516.16</v>
      </c>
      <c r="V3632" s="72">
        <f>+U3632*1</f>
        <v>1516.16</v>
      </c>
      <c r="W3632" s="72">
        <f t="shared" ref="W3632" si="1657">+U3632-V3632</f>
        <v>0</v>
      </c>
      <c r="X3632" s="72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6505</v>
      </c>
      <c r="C3633" s="11" t="s">
        <v>6506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2">
        <f>L3633*O3633</f>
        <v>1752</v>
      </c>
      <c r="S3633" s="72">
        <v>0</v>
      </c>
      <c r="T3633" s="72">
        <f>L3633*S3633</f>
        <v>0</v>
      </c>
      <c r="U3633" s="72">
        <f>R3633-T3633</f>
        <v>1752</v>
      </c>
      <c r="V3633" s="72">
        <f>U3633*0</f>
        <v>0</v>
      </c>
      <c r="W3633" s="72">
        <f>U3633-V3633</f>
        <v>1752</v>
      </c>
      <c r="X3633" s="72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6507</v>
      </c>
      <c r="C3634" s="11" t="s">
        <v>6508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2">
        <f>+M3634*P3634</f>
        <v>600</v>
      </c>
      <c r="S3634" s="72">
        <v>0</v>
      </c>
      <c r="T3634" s="72">
        <f>+M3634*S3634</f>
        <v>0</v>
      </c>
      <c r="U3634" s="72">
        <f t="shared" ref="U3634:U3636" si="1659">+R3634-T3634</f>
        <v>600</v>
      </c>
      <c r="V3634" s="72">
        <f>+U3634*0</f>
        <v>0</v>
      </c>
      <c r="W3634" s="72">
        <f t="shared" ref="W3634:W3636" si="1660">+U3634-V3634</f>
        <v>600</v>
      </c>
      <c r="X3634" s="72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6509</v>
      </c>
      <c r="C3635" s="11" t="s">
        <v>6510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2">
        <f>+M3635*P3635</f>
        <v>1500</v>
      </c>
      <c r="S3635" s="72">
        <v>0</v>
      </c>
      <c r="T3635" s="72">
        <f>+M3635*S3635</f>
        <v>0</v>
      </c>
      <c r="U3635" s="72">
        <f t="shared" si="1659"/>
        <v>1500</v>
      </c>
      <c r="V3635" s="72">
        <f>+U3635*0</f>
        <v>0</v>
      </c>
      <c r="W3635" s="72">
        <f t="shared" si="1660"/>
        <v>1500</v>
      </c>
      <c r="X3635" s="72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6511</v>
      </c>
      <c r="C3636" s="11" t="s">
        <v>6512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2">
        <f>+M3636*P3636</f>
        <v>600</v>
      </c>
      <c r="S3636" s="72">
        <v>0</v>
      </c>
      <c r="T3636" s="72">
        <f>+M3636*S3636</f>
        <v>0</v>
      </c>
      <c r="U3636" s="72">
        <f t="shared" si="1659"/>
        <v>600</v>
      </c>
      <c r="V3636" s="72">
        <f>+U3636*0</f>
        <v>0</v>
      </c>
      <c r="W3636" s="72">
        <f t="shared" si="1660"/>
        <v>600</v>
      </c>
      <c r="X3636" s="72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6513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4451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2">
        <f>L3637*O3637</f>
        <v>951</v>
      </c>
      <c r="S3637" s="72">
        <v>0</v>
      </c>
      <c r="T3637" s="72">
        <f>L3637*S3637</f>
        <v>0</v>
      </c>
      <c r="U3637" s="72">
        <f>R3637-T3637</f>
        <v>951</v>
      </c>
      <c r="V3637" s="72">
        <f>U3637*0</f>
        <v>0</v>
      </c>
      <c r="W3637" s="72">
        <f>U3637-V3637</f>
        <v>951</v>
      </c>
      <c r="X3637" s="72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4053</v>
      </c>
      <c r="C3638" s="11" t="s">
        <v>6514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2">
        <f>L3638*O3638</f>
        <v>996.5</v>
      </c>
      <c r="S3638" s="72">
        <v>0</v>
      </c>
      <c r="T3638" s="72">
        <f t="shared" ref="T3638" si="1661">L3638*S3638</f>
        <v>0</v>
      </c>
      <c r="U3638" s="72">
        <f>R3638-T3638</f>
        <v>996.5</v>
      </c>
      <c r="V3638" s="72">
        <f>U3638*0</f>
        <v>0</v>
      </c>
      <c r="W3638" s="72">
        <f>U3638-V3638</f>
        <v>996.5</v>
      </c>
      <c r="X3638" s="72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6515</v>
      </c>
      <c r="C3639" s="11" t="s">
        <v>6516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2">
        <f>M3639*P3639</f>
        <v>1600</v>
      </c>
      <c r="S3639" s="72">
        <v>0</v>
      </c>
      <c r="T3639" s="72">
        <f>M3639*S3639</f>
        <v>0</v>
      </c>
      <c r="U3639" s="72">
        <f>R3639-T3639</f>
        <v>1600</v>
      </c>
      <c r="V3639" s="72">
        <f>U3639*0</f>
        <v>0</v>
      </c>
      <c r="W3639" s="72">
        <f>+U3639-V3639</f>
        <v>1600</v>
      </c>
      <c r="X3639" s="72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2563</v>
      </c>
      <c r="C3640" s="11" t="s">
        <v>6517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4430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2">
        <f>+L3640*O3640</f>
        <v>1584.0000000000002</v>
      </c>
      <c r="S3640" s="72">
        <v>0</v>
      </c>
      <c r="T3640" s="72">
        <f>+L3640*S3640</f>
        <v>0</v>
      </c>
      <c r="U3640" s="72">
        <f t="shared" ref="U3640" si="1662">+R3640-T3640</f>
        <v>1584.0000000000002</v>
      </c>
      <c r="V3640" s="72">
        <f>+U3640*1</f>
        <v>1584.0000000000002</v>
      </c>
      <c r="W3640" s="72">
        <f t="shared" ref="W3640" si="1663">+U3640-V3640</f>
        <v>0</v>
      </c>
      <c r="X3640" s="72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6518</v>
      </c>
      <c r="C3641" s="11" t="s">
        <v>6519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2">
        <f>L3641*O3641</f>
        <v>1564</v>
      </c>
      <c r="S3641" s="72">
        <v>0</v>
      </c>
      <c r="T3641" s="72">
        <f>L3641*S3641</f>
        <v>0</v>
      </c>
      <c r="U3641" s="72">
        <f>R3641-T3641</f>
        <v>1564</v>
      </c>
      <c r="V3641" s="72">
        <f>U3641*0</f>
        <v>0</v>
      </c>
      <c r="W3641" s="72">
        <f>U3641-V3641</f>
        <v>1564</v>
      </c>
      <c r="X3641" s="72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6369</v>
      </c>
      <c r="C3642" s="11" t="s">
        <v>6520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4451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2">
        <f>L3642*O3642</f>
        <v>946.8</v>
      </c>
      <c r="S3642" s="72">
        <v>0</v>
      </c>
      <c r="T3642" s="72">
        <f>L3642*S3642</f>
        <v>0</v>
      </c>
      <c r="U3642" s="72">
        <f>R3642-T3642</f>
        <v>946.8</v>
      </c>
      <c r="V3642" s="72">
        <f>U3642*0</f>
        <v>0</v>
      </c>
      <c r="W3642" s="72">
        <f>U3642-V3642</f>
        <v>946.8</v>
      </c>
      <c r="X3642" s="72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6521</v>
      </c>
      <c r="C3643" s="11" t="s">
        <v>6522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2">
        <f>+M3643*P3643</f>
        <v>1500</v>
      </c>
      <c r="S3643" s="72">
        <v>0</v>
      </c>
      <c r="T3643" s="72">
        <f>+M3643*S3643</f>
        <v>0</v>
      </c>
      <c r="U3643" s="72">
        <f t="shared" ref="U3643" si="1664">+R3643-T3643</f>
        <v>1500</v>
      </c>
      <c r="V3643" s="72">
        <f>+U3643*0</f>
        <v>0</v>
      </c>
      <c r="W3643" s="72">
        <f t="shared" ref="W3643" si="1665">+U3643-V3643</f>
        <v>1500</v>
      </c>
      <c r="X3643" s="72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6523</v>
      </c>
      <c r="C3644" s="11" t="s">
        <v>6524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2">
        <f>L3644*O3644</f>
        <v>1512</v>
      </c>
      <c r="S3644" s="72">
        <v>0</v>
      </c>
      <c r="T3644" s="72">
        <f>L3644*S3644</f>
        <v>0</v>
      </c>
      <c r="U3644" s="72">
        <f>R3644-T3644</f>
        <v>1512</v>
      </c>
      <c r="V3644" s="72">
        <f>U3644*0</f>
        <v>0</v>
      </c>
      <c r="W3644" s="72">
        <f>U3644-V3644</f>
        <v>1512</v>
      </c>
      <c r="X3644" s="72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6525</v>
      </c>
      <c r="C3645" s="11" t="s">
        <v>6526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4430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2">
        <f t="shared" ref="R3645" si="1666">+L3645*O3645</f>
        <v>1585.16</v>
      </c>
      <c r="S3645" s="72">
        <v>0</v>
      </c>
      <c r="T3645" s="72">
        <f t="shared" ref="T3645" si="1667">+L3645*S3645</f>
        <v>0</v>
      </c>
      <c r="U3645" s="72">
        <f t="shared" ref="U3645:U3647" si="1668">+R3645-T3645</f>
        <v>1585.16</v>
      </c>
      <c r="V3645" s="72">
        <f>+U3645*1</f>
        <v>1585.16</v>
      </c>
      <c r="W3645" s="72">
        <f t="shared" ref="W3645:W3647" si="1669">+U3645-V3645</f>
        <v>0</v>
      </c>
      <c r="X3645" s="72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5822</v>
      </c>
      <c r="C3646" s="11" t="s">
        <v>6527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2">
        <f>+M3646*P3646</f>
        <v>552</v>
      </c>
      <c r="S3646" s="72">
        <v>0</v>
      </c>
      <c r="T3646" s="72">
        <f>+M3646*S3646</f>
        <v>0</v>
      </c>
      <c r="U3646" s="72">
        <f t="shared" si="1668"/>
        <v>552</v>
      </c>
      <c r="V3646" s="72">
        <f>+U3646*0</f>
        <v>0</v>
      </c>
      <c r="W3646" s="72">
        <f t="shared" si="1669"/>
        <v>552</v>
      </c>
      <c r="X3646" s="72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6528</v>
      </c>
      <c r="C3647" s="11" t="s">
        <v>6529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2">
        <f>+M3647*P3647</f>
        <v>552</v>
      </c>
      <c r="S3647" s="72">
        <v>0</v>
      </c>
      <c r="T3647" s="72">
        <f>+M3647*S3647</f>
        <v>0</v>
      </c>
      <c r="U3647" s="72">
        <f t="shared" si="1668"/>
        <v>552</v>
      </c>
      <c r="V3647" s="72">
        <f>+U3647*0</f>
        <v>0</v>
      </c>
      <c r="W3647" s="72">
        <f t="shared" si="1669"/>
        <v>552</v>
      </c>
      <c r="X3647" s="72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6530</v>
      </c>
      <c r="C3648" s="11" t="s">
        <v>6531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4451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2">
        <f>L3648*O3648</f>
        <v>932.4</v>
      </c>
      <c r="S3648" s="72">
        <v>0</v>
      </c>
      <c r="T3648" s="72">
        <f>L3648*S3648</f>
        <v>0</v>
      </c>
      <c r="U3648" s="72">
        <f>R3648-T3648</f>
        <v>932.4</v>
      </c>
      <c r="V3648" s="72">
        <f>U3648*0</f>
        <v>0</v>
      </c>
      <c r="W3648" s="72">
        <f>U3648-V3648</f>
        <v>932.4</v>
      </c>
      <c r="X3648" s="72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6235</v>
      </c>
      <c r="C3649" s="11" t="s">
        <v>6532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4455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2">
        <f>+L3649*O3649</f>
        <v>1855.55</v>
      </c>
      <c r="S3649" s="72">
        <v>0</v>
      </c>
      <c r="T3649" s="72">
        <f>+L3649*S3649</f>
        <v>0</v>
      </c>
      <c r="U3649" s="72">
        <f>+R3649-T3649</f>
        <v>1855.55</v>
      </c>
      <c r="V3649" s="72">
        <f>+U3649*0.75</f>
        <v>1391.6624999999999</v>
      </c>
      <c r="W3649" s="72">
        <f>+U3649-V3649</f>
        <v>463.88750000000005</v>
      </c>
      <c r="X3649" s="72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703</v>
      </c>
      <c r="C3650" s="11" t="s">
        <v>6533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2">
        <f>+M3650*P3650</f>
        <v>1500</v>
      </c>
      <c r="S3650" s="72">
        <v>0</v>
      </c>
      <c r="T3650" s="72">
        <f>+M3650*S3650</f>
        <v>0</v>
      </c>
      <c r="U3650" s="72">
        <f t="shared" ref="U3650" si="1670">+R3650-T3650</f>
        <v>1500</v>
      </c>
      <c r="V3650" s="72">
        <f>+U3650*0</f>
        <v>0</v>
      </c>
      <c r="W3650" s="72">
        <f t="shared" ref="W3650" si="1671">+U3650-V3650</f>
        <v>1500</v>
      </c>
      <c r="X3650" s="72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6534</v>
      </c>
      <c r="C3651" s="11" t="s">
        <v>6535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2">
        <f>L3651*O3651</f>
        <v>1696</v>
      </c>
      <c r="S3651" s="72">
        <v>0</v>
      </c>
      <c r="T3651" s="72">
        <f>L3651*S3651</f>
        <v>0</v>
      </c>
      <c r="U3651" s="72">
        <f>R3651-T3651</f>
        <v>1696</v>
      </c>
      <c r="V3651" s="72">
        <f>U3651*0</f>
        <v>0</v>
      </c>
      <c r="W3651" s="72">
        <f>U3651-V3651</f>
        <v>1696</v>
      </c>
      <c r="X3651" s="72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6536</v>
      </c>
      <c r="C3652" s="11" t="s">
        <v>6537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4451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2">
        <f>L3652*O3652</f>
        <v>944.4</v>
      </c>
      <c r="S3652" s="72">
        <v>0</v>
      </c>
      <c r="T3652" s="72">
        <f>L3652*S3652</f>
        <v>0</v>
      </c>
      <c r="U3652" s="72">
        <f>R3652-T3652</f>
        <v>944.4</v>
      </c>
      <c r="V3652" s="72">
        <f>U3652*0</f>
        <v>0</v>
      </c>
      <c r="W3652" s="72">
        <f>U3652-V3652</f>
        <v>944.4</v>
      </c>
      <c r="X3652" s="72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6538</v>
      </c>
      <c r="D3653" s="11">
        <v>18209</v>
      </c>
      <c r="E3653" s="11" t="s">
        <v>4566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2">
        <f>(L3653*O3653)-Q3653</f>
        <v>728</v>
      </c>
      <c r="S3653" s="72">
        <v>0</v>
      </c>
      <c r="T3653" s="72">
        <f t="shared" ref="T3653" si="1672">+L3653*S3653</f>
        <v>0</v>
      </c>
      <c r="U3653" s="72">
        <f t="shared" ref="U3653" si="1673">+R3653-T3653</f>
        <v>728</v>
      </c>
      <c r="V3653" s="72">
        <f t="shared" ref="V3653" si="1674">+U3653*0</f>
        <v>0</v>
      </c>
      <c r="W3653" s="72">
        <f t="shared" ref="W3653" si="1675">+U3653-V3653</f>
        <v>728</v>
      </c>
      <c r="X3653" s="72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6539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4429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2">
        <f>L3654*O3654</f>
        <v>3577.3</v>
      </c>
      <c r="S3654" s="72">
        <v>38</v>
      </c>
      <c r="T3654" s="72">
        <f>L3654*S3654</f>
        <v>1637.8</v>
      </c>
      <c r="U3654" s="72">
        <f>R3654-T3654</f>
        <v>1939.5000000000002</v>
      </c>
      <c r="V3654" s="72">
        <f>U3654*1</f>
        <v>1939.5000000000002</v>
      </c>
      <c r="W3654" s="72">
        <f>U3654-V3654</f>
        <v>0</v>
      </c>
      <c r="X3654" s="72">
        <f>L3654*37</f>
        <v>1594.7</v>
      </c>
      <c r="Y3654" s="73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4142</v>
      </c>
      <c r="C3655" s="11" t="s">
        <v>6540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2">
        <f>+M3655*P3655</f>
        <v>600</v>
      </c>
      <c r="S3655" s="72">
        <v>0</v>
      </c>
      <c r="T3655" s="72">
        <f>+M3655*S3655</f>
        <v>0</v>
      </c>
      <c r="U3655" s="72">
        <f t="shared" ref="U3655" si="1676">+R3655-T3655</f>
        <v>600</v>
      </c>
      <c r="V3655" s="72">
        <f>+U3655*0</f>
        <v>0</v>
      </c>
      <c r="W3655" s="72">
        <f t="shared" ref="W3655" si="1677">+U3655-V3655</f>
        <v>600</v>
      </c>
      <c r="X3655" s="72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6541</v>
      </c>
      <c r="D3656" s="11">
        <v>18212</v>
      </c>
      <c r="E3656" s="11" t="s">
        <v>3793</v>
      </c>
      <c r="F3656" s="11" t="s">
        <v>26</v>
      </c>
      <c r="G3656" s="11">
        <v>24347</v>
      </c>
      <c r="H3656" s="12" t="s">
        <v>4455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2">
        <f>+L3656*O3656</f>
        <v>1806.25</v>
      </c>
      <c r="S3656" s="72">
        <v>0</v>
      </c>
      <c r="T3656" s="72">
        <f>+L3656*S3656</f>
        <v>0</v>
      </c>
      <c r="U3656" s="72">
        <f>+R3656-T3656</f>
        <v>1806.25</v>
      </c>
      <c r="V3656" s="72">
        <f>+U3656*0.75</f>
        <v>1354.6875</v>
      </c>
      <c r="W3656" s="72">
        <f>+U3656-V3656</f>
        <v>451.5625</v>
      </c>
      <c r="X3656" s="72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1344</v>
      </c>
      <c r="C3657" s="11" t="s">
        <v>6542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2">
        <f>+M3657*P3657</f>
        <v>600</v>
      </c>
      <c r="S3657" s="72">
        <v>0</v>
      </c>
      <c r="T3657" s="72">
        <f>+M3657*S3657</f>
        <v>0</v>
      </c>
      <c r="U3657" s="72">
        <f t="shared" ref="U3657" si="1679">+R3657-T3657</f>
        <v>600</v>
      </c>
      <c r="V3657" s="72">
        <f>+U3657*0</f>
        <v>0</v>
      </c>
      <c r="W3657" s="72">
        <f t="shared" ref="W3657" si="1680">+U3657-V3657</f>
        <v>600</v>
      </c>
      <c r="X3657" s="72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6543</v>
      </c>
      <c r="C3658" s="11" t="s">
        <v>6544</v>
      </c>
      <c r="D3658" s="11">
        <v>18214</v>
      </c>
      <c r="E3658" s="11" t="s">
        <v>1207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2">
        <f>M3658*P3658</f>
        <v>1500</v>
      </c>
      <c r="S3658" s="72">
        <v>0</v>
      </c>
      <c r="T3658" s="72">
        <f>M3658*S3658</f>
        <v>0</v>
      </c>
      <c r="U3658" s="72">
        <f>R3658-T3658</f>
        <v>1500</v>
      </c>
      <c r="V3658" s="72">
        <f>U3658*0</f>
        <v>0</v>
      </c>
      <c r="W3658" s="72">
        <f>U3658-V3658</f>
        <v>1500</v>
      </c>
      <c r="X3658" s="72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6545</v>
      </c>
      <c r="D3659" s="11">
        <v>18215</v>
      </c>
      <c r="E3659" s="11" t="s">
        <v>6061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2">
        <f>+L3659*O3659</f>
        <v>630</v>
      </c>
      <c r="S3659" s="72">
        <v>0</v>
      </c>
      <c r="T3659" s="72">
        <f>+L3659*S3659</f>
        <v>0</v>
      </c>
      <c r="U3659" s="72">
        <f>+R3659-T3659</f>
        <v>630</v>
      </c>
      <c r="V3659" s="72">
        <f t="shared" ref="V3659" si="1682">+U3659*0</f>
        <v>0</v>
      </c>
      <c r="W3659" s="72">
        <f>+U3659-V3659</f>
        <v>630</v>
      </c>
      <c r="X3659" s="72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3904</v>
      </c>
      <c r="C3660" s="11" t="s">
        <v>6546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4455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2">
        <f>+L3660*O3660</f>
        <v>1888.6999999999998</v>
      </c>
      <c r="S3660" s="72">
        <v>0</v>
      </c>
      <c r="T3660" s="72">
        <f>+L3660*S3660</f>
        <v>0</v>
      </c>
      <c r="U3660" s="72">
        <f>+R3660-T3660</f>
        <v>1888.6999999999998</v>
      </c>
      <c r="V3660" s="72">
        <f>+U3660*0.75</f>
        <v>1416.5249999999999</v>
      </c>
      <c r="W3660" s="72">
        <f>+U3660-V3660</f>
        <v>472.17499999999995</v>
      </c>
      <c r="X3660" s="72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3683</v>
      </c>
      <c r="C3661" s="11" t="s">
        <v>6547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2">
        <f>M3661*P3661</f>
        <v>1680</v>
      </c>
      <c r="S3661" s="72">
        <v>0</v>
      </c>
      <c r="T3661" s="72">
        <f>M3661*S3661</f>
        <v>0</v>
      </c>
      <c r="U3661" s="72">
        <f>R3661-T3661</f>
        <v>1680</v>
      </c>
      <c r="V3661" s="72">
        <f>U3661*0</f>
        <v>0</v>
      </c>
      <c r="W3661" s="72">
        <f>+U3661-V3661</f>
        <v>1680</v>
      </c>
      <c r="X3661" s="72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1782</v>
      </c>
      <c r="C3662" s="11" t="s">
        <v>6548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2">
        <f>L3662*O3662</f>
        <v>1572.8</v>
      </c>
      <c r="S3662" s="72">
        <v>0</v>
      </c>
      <c r="T3662" s="72">
        <f>L3662*S3662</f>
        <v>0</v>
      </c>
      <c r="U3662" s="72">
        <f>R3662-T3662</f>
        <v>1572.8</v>
      </c>
      <c r="V3662" s="72">
        <f>U3662*0</f>
        <v>0</v>
      </c>
      <c r="W3662" s="72">
        <f>U3662-V3662</f>
        <v>1572.8</v>
      </c>
      <c r="X3662" s="72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6549</v>
      </c>
      <c r="C3663" s="11" t="s">
        <v>6550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2">
        <f>L3663*O3663</f>
        <v>1004.5</v>
      </c>
      <c r="S3663" s="72">
        <v>0</v>
      </c>
      <c r="T3663" s="72">
        <f t="shared" ref="T3663" si="1683">L3663*S3663</f>
        <v>0</v>
      </c>
      <c r="U3663" s="72">
        <f>R3663-T3663</f>
        <v>1004.5</v>
      </c>
      <c r="V3663" s="72">
        <f>U3663*0</f>
        <v>0</v>
      </c>
      <c r="W3663" s="72">
        <f>U3663-V3663</f>
        <v>1004.5</v>
      </c>
      <c r="X3663" s="72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6551</v>
      </c>
      <c r="C3664" s="11" t="s">
        <v>6552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4430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2">
        <f>+L3664*O3664</f>
        <v>1582.1999999999998</v>
      </c>
      <c r="S3664" s="72">
        <v>0</v>
      </c>
      <c r="T3664" s="72">
        <f>+L3664*S3664</f>
        <v>0</v>
      </c>
      <c r="U3664" s="72">
        <f t="shared" ref="U3664" si="1684">+R3664-T3664</f>
        <v>1582.1999999999998</v>
      </c>
      <c r="V3664" s="72">
        <f>+U3664*1</f>
        <v>1582.1999999999998</v>
      </c>
      <c r="W3664" s="72">
        <f t="shared" ref="W3664" si="1685">+U3664-V3664</f>
        <v>0</v>
      </c>
      <c r="X3664" s="72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6553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2">
        <f>L3665*O3665</f>
        <v>1629.6000000000001</v>
      </c>
      <c r="S3665" s="72">
        <v>0</v>
      </c>
      <c r="T3665" s="72">
        <f>L3665*S3665</f>
        <v>0</v>
      </c>
      <c r="U3665" s="72">
        <f>R3665-T3665</f>
        <v>1629.6000000000001</v>
      </c>
      <c r="V3665" s="72">
        <f>U3665*0</f>
        <v>0</v>
      </c>
      <c r="W3665" s="72">
        <f>U3665-V3665</f>
        <v>1629.6000000000001</v>
      </c>
      <c r="X3665" s="72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6554</v>
      </c>
      <c r="C3666" s="11" t="s">
        <v>6555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2">
        <f>+M3666*P3666</f>
        <v>600</v>
      </c>
      <c r="S3666" s="72">
        <v>0</v>
      </c>
      <c r="T3666" s="72">
        <f>+M3666*S3666</f>
        <v>0</v>
      </c>
      <c r="U3666" s="72">
        <f t="shared" ref="U3666:U3667" si="1686">+R3666-T3666</f>
        <v>600</v>
      </c>
      <c r="V3666" s="72">
        <f>+U3666*0</f>
        <v>0</v>
      </c>
      <c r="W3666" s="72">
        <f t="shared" ref="W3666:W3667" si="1687">+U3666-V3666</f>
        <v>600</v>
      </c>
      <c r="X3666" s="72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6428</v>
      </c>
      <c r="C3667" s="11" t="s">
        <v>6556</v>
      </c>
      <c r="D3667" s="11">
        <v>18223</v>
      </c>
      <c r="E3667" s="11" t="s">
        <v>3644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2">
        <f>(L3667*O3667)-Q3667</f>
        <v>446.4</v>
      </c>
      <c r="S3667" s="72">
        <v>0</v>
      </c>
      <c r="T3667" s="72">
        <f t="shared" ref="T3667" si="1688">+L3667*S3667</f>
        <v>0</v>
      </c>
      <c r="U3667" s="72">
        <f t="shared" si="1686"/>
        <v>446.4</v>
      </c>
      <c r="V3667" s="72">
        <f>+U3667*0</f>
        <v>0</v>
      </c>
      <c r="W3667" s="72">
        <f t="shared" si="1687"/>
        <v>446.4</v>
      </c>
      <c r="X3667" s="72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1203</v>
      </c>
      <c r="C3668" s="11" t="s">
        <v>6557</v>
      </c>
      <c r="D3668" s="11">
        <v>18224</v>
      </c>
      <c r="E3668" s="11" t="s">
        <v>2133</v>
      </c>
      <c r="F3668" s="11" t="s">
        <v>26</v>
      </c>
      <c r="G3668" s="11">
        <v>112478</v>
      </c>
      <c r="H3668" s="12" t="s">
        <v>4453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2">
        <f t="shared" ref="R3668" si="1689">+L3668*O3668</f>
        <v>1575.1999999999998</v>
      </c>
      <c r="S3668" s="72">
        <v>0</v>
      </c>
      <c r="T3668" s="72">
        <f>+L3668*S3668</f>
        <v>0</v>
      </c>
      <c r="U3668" s="72">
        <f>+R3668-T3668</f>
        <v>1575.1999999999998</v>
      </c>
      <c r="V3668" s="72">
        <f>+U3668*1</f>
        <v>1575.1999999999998</v>
      </c>
      <c r="W3668" s="72">
        <f>+U3668-V3668</f>
        <v>0</v>
      </c>
      <c r="X3668" s="72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5440</v>
      </c>
      <c r="C3669" s="11" t="s">
        <v>6558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4429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2">
        <f t="shared" ref="R3669" si="1690">L3669*O3669</f>
        <v>3551.3</v>
      </c>
      <c r="S3669" s="72">
        <v>38</v>
      </c>
      <c r="T3669" s="72">
        <f t="shared" ref="T3669" si="1691">L3669*S3669</f>
        <v>1587.64</v>
      </c>
      <c r="U3669" s="72">
        <f t="shared" ref="U3669" si="1692">R3669-T3669</f>
        <v>1963.66</v>
      </c>
      <c r="V3669" s="72">
        <f>U3669*1</f>
        <v>1963.66</v>
      </c>
      <c r="W3669" s="72">
        <f t="shared" ref="W3669" si="1693">U3669-V3669</f>
        <v>0</v>
      </c>
      <c r="X3669" s="72">
        <f>L3669*36</f>
        <v>1504.08</v>
      </c>
      <c r="Y3669" s="73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6559</v>
      </c>
      <c r="C3670" s="11" t="s">
        <v>6560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4430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2">
        <f t="shared" ref="R3670" si="1695">+L3670*O3670</f>
        <v>1666.12</v>
      </c>
      <c r="S3670" s="72">
        <v>0</v>
      </c>
      <c r="T3670" s="72">
        <f t="shared" ref="T3670" si="1696">+L3670*S3670</f>
        <v>0</v>
      </c>
      <c r="U3670" s="72">
        <f t="shared" ref="U3670" si="1697">+R3670-T3670</f>
        <v>1666.12</v>
      </c>
      <c r="V3670" s="72">
        <f>+U3670*1</f>
        <v>1666.12</v>
      </c>
      <c r="W3670" s="72">
        <f t="shared" ref="W3670" si="1698">+U3670-V3670</f>
        <v>0</v>
      </c>
      <c r="X3670" s="72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1495</v>
      </c>
      <c r="C3671" s="11" t="s">
        <v>6561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2">
        <f>M3671*P3671</f>
        <v>1550</v>
      </c>
      <c r="S3671" s="72">
        <v>0</v>
      </c>
      <c r="T3671" s="72">
        <f>M3671*S3671</f>
        <v>0</v>
      </c>
      <c r="U3671" s="72">
        <f>R3671-T3671</f>
        <v>1550</v>
      </c>
      <c r="V3671" s="72">
        <f>U3671*0</f>
        <v>0</v>
      </c>
      <c r="W3671" s="72">
        <f>U3671-V3671</f>
        <v>1550</v>
      </c>
      <c r="X3671" s="72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6562</v>
      </c>
      <c r="C3672" s="11" t="s">
        <v>6563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4429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2">
        <f>L3672*O3672</f>
        <v>3401.3399999999997</v>
      </c>
      <c r="S3672" s="72">
        <v>38</v>
      </c>
      <c r="T3672" s="72">
        <f>L3672*S3672</f>
        <v>1557.2399999999998</v>
      </c>
      <c r="U3672" s="72">
        <f>R3672-T3672</f>
        <v>1844.1</v>
      </c>
      <c r="V3672" s="72">
        <f>U3672*1</f>
        <v>1844.1</v>
      </c>
      <c r="W3672" s="72">
        <f>U3672-V3672</f>
        <v>0</v>
      </c>
      <c r="X3672" s="72">
        <f>L3672*36</f>
        <v>1475.28</v>
      </c>
      <c r="Y3672" s="73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1060</v>
      </c>
      <c r="C3673" s="11" t="s">
        <v>6564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2">
        <f>M3673*P3673</f>
        <v>1550</v>
      </c>
      <c r="S3673" s="72">
        <v>0</v>
      </c>
      <c r="T3673" s="72">
        <f>M3673*S3673</f>
        <v>0</v>
      </c>
      <c r="U3673" s="72">
        <f>R3673-T3673</f>
        <v>1550</v>
      </c>
      <c r="V3673" s="72">
        <f>U3673*0</f>
        <v>0</v>
      </c>
      <c r="W3673" s="72">
        <f>U3673-V3673</f>
        <v>1550</v>
      </c>
      <c r="X3673" s="72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6565</v>
      </c>
      <c r="C3674" s="11" t="s">
        <v>6566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2">
        <f>M3674*P3674</f>
        <v>1500</v>
      </c>
      <c r="S3674" s="72">
        <v>0</v>
      </c>
      <c r="T3674" s="72">
        <f>M3674*S3674</f>
        <v>0</v>
      </c>
      <c r="U3674" s="72">
        <f>R3674-T3674</f>
        <v>1500</v>
      </c>
      <c r="V3674" s="72">
        <f>U3674*0</f>
        <v>0</v>
      </c>
      <c r="W3674" s="72">
        <f>U3674-V3674</f>
        <v>1500</v>
      </c>
      <c r="X3674" s="72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6567</v>
      </c>
      <c r="C3675" s="11" t="s">
        <v>6568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4429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2">
        <f t="shared" ref="R3675" si="1701">L3675*O3675</f>
        <v>3519</v>
      </c>
      <c r="S3675" s="72">
        <v>38</v>
      </c>
      <c r="T3675" s="72">
        <f t="shared" ref="T3675" si="1702">L3675*S3675</f>
        <v>1573.2</v>
      </c>
      <c r="U3675" s="72">
        <f t="shared" ref="U3675" si="1703">R3675-T3675</f>
        <v>1945.8</v>
      </c>
      <c r="V3675" s="72">
        <f>U3675*1</f>
        <v>1945.8</v>
      </c>
      <c r="W3675" s="72">
        <f t="shared" ref="W3675" si="1704">U3675-V3675</f>
        <v>0</v>
      </c>
      <c r="X3675" s="72">
        <f>L3675*36</f>
        <v>1490.3999999999999</v>
      </c>
      <c r="Y3675" s="73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6055</v>
      </c>
      <c r="C3676" s="11" t="s">
        <v>6569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2">
        <f>+M3676*P3676</f>
        <v>552</v>
      </c>
      <c r="S3676" s="72">
        <v>0</v>
      </c>
      <c r="T3676" s="72">
        <f>+M3676*S3676</f>
        <v>0</v>
      </c>
      <c r="U3676" s="72">
        <f t="shared" ref="U3676" si="1705">+R3676-T3676</f>
        <v>552</v>
      </c>
      <c r="V3676" s="72">
        <f>+U3676*0</f>
        <v>0</v>
      </c>
      <c r="W3676" s="72">
        <f t="shared" ref="W3676" si="1706">+U3676-V3676</f>
        <v>552</v>
      </c>
      <c r="X3676" s="72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6570</v>
      </c>
      <c r="C3677" s="11" t="s">
        <v>6571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2">
        <f>L3677*O3677</f>
        <v>1688.8</v>
      </c>
      <c r="S3677" s="72">
        <v>0</v>
      </c>
      <c r="T3677" s="72">
        <f>L3677*S3677</f>
        <v>0</v>
      </c>
      <c r="U3677" s="72">
        <f>R3677-T3677</f>
        <v>1688.8</v>
      </c>
      <c r="V3677" s="72">
        <f>U3677*0</f>
        <v>0</v>
      </c>
      <c r="W3677" s="72">
        <f>U3677-V3677</f>
        <v>1688.8</v>
      </c>
      <c r="X3677" s="72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6572</v>
      </c>
      <c r="C3678" s="11" t="s">
        <v>6573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2">
        <f>L3678*O3678</f>
        <v>1017.5000000000001</v>
      </c>
      <c r="S3678" s="72">
        <v>0</v>
      </c>
      <c r="T3678" s="72">
        <f t="shared" ref="T3678" si="1708">L3678*S3678</f>
        <v>0</v>
      </c>
      <c r="U3678" s="72">
        <f>R3678-T3678</f>
        <v>1017.5000000000001</v>
      </c>
      <c r="V3678" s="72">
        <f>U3678*0</f>
        <v>0</v>
      </c>
      <c r="W3678" s="72">
        <f>U3678-V3678</f>
        <v>1017.5000000000001</v>
      </c>
      <c r="X3678" s="72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3375</v>
      </c>
      <c r="C3679" s="11" t="s">
        <v>6574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2">
        <f>(L3679*O3679)-Q3679</f>
        <v>628</v>
      </c>
      <c r="S3679" s="72">
        <v>0</v>
      </c>
      <c r="T3679" s="72">
        <f t="shared" ref="T3679" si="1709">+L3679*S3679</f>
        <v>0</v>
      </c>
      <c r="U3679" s="72">
        <f t="shared" ref="U3679:U3680" si="1710">+R3679-T3679</f>
        <v>628</v>
      </c>
      <c r="V3679" s="72">
        <f t="shared" ref="V3679" si="1711">+U3679*0</f>
        <v>0</v>
      </c>
      <c r="W3679" s="72">
        <f t="shared" ref="W3679:W3680" si="1712">+U3679-V3679</f>
        <v>628</v>
      </c>
      <c r="X3679" s="72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6575</v>
      </c>
      <c r="C3680" s="11" t="s">
        <v>6576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2">
        <f>M3680*P3680</f>
        <v>1500</v>
      </c>
      <c r="S3680" s="72">
        <v>0</v>
      </c>
      <c r="T3680" s="72">
        <f>M3680*S3680</f>
        <v>0</v>
      </c>
      <c r="U3680" s="72">
        <f t="shared" si="1710"/>
        <v>1500</v>
      </c>
      <c r="V3680" s="72">
        <f>+U3680*0</f>
        <v>0</v>
      </c>
      <c r="W3680" s="72">
        <f t="shared" si="1712"/>
        <v>1500</v>
      </c>
      <c r="X3680" s="72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6577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4455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2">
        <f>+L3681*O3681</f>
        <v>1785.8500000000001</v>
      </c>
      <c r="S3681" s="72">
        <v>0</v>
      </c>
      <c r="T3681" s="72">
        <f>+L3681*S3681</f>
        <v>0</v>
      </c>
      <c r="U3681" s="72">
        <f>+R3681-T3681</f>
        <v>1785.8500000000001</v>
      </c>
      <c r="V3681" s="72">
        <f>+U3681*0.75</f>
        <v>1339.3875</v>
      </c>
      <c r="W3681" s="72">
        <f>+U3681-V3681</f>
        <v>446.46250000000009</v>
      </c>
      <c r="X3681" s="72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6578</v>
      </c>
      <c r="C3682" s="11" t="s">
        <v>6579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4455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2">
        <f>+L3682*O3682</f>
        <v>1762.8999999999999</v>
      </c>
      <c r="S3682" s="72">
        <v>0</v>
      </c>
      <c r="T3682" s="72">
        <f>+L3682*S3682</f>
        <v>0</v>
      </c>
      <c r="U3682" s="72">
        <f>+R3682-T3682</f>
        <v>1762.8999999999999</v>
      </c>
      <c r="V3682" s="72">
        <f>+U3682*0.75</f>
        <v>1322.175</v>
      </c>
      <c r="W3682" s="72">
        <f>+U3682-V3682</f>
        <v>440.72499999999991</v>
      </c>
      <c r="X3682" s="72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6580</v>
      </c>
      <c r="C3683" s="11" t="s">
        <v>6581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2">
        <f>+L3683*O3683</f>
        <v>1801.6</v>
      </c>
      <c r="S3683" s="72">
        <v>0</v>
      </c>
      <c r="T3683" s="72">
        <f>+L3683*S3683</f>
        <v>0</v>
      </c>
      <c r="U3683" s="72">
        <f>+R3683-T3683</f>
        <v>1801.6</v>
      </c>
      <c r="V3683" s="72">
        <f t="shared" ref="V3683" si="1713">+U3683*0</f>
        <v>0</v>
      </c>
      <c r="W3683" s="72">
        <f>+U3683-V3683</f>
        <v>1801.6</v>
      </c>
      <c r="X3683" s="72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6582</v>
      </c>
      <c r="C3684" s="11" t="s">
        <v>6583</v>
      </c>
      <c r="D3684" s="11">
        <v>18240</v>
      </c>
      <c r="E3684" s="11" t="s">
        <v>1207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2">
        <f>M3684*P3684</f>
        <v>1600</v>
      </c>
      <c r="S3684" s="72">
        <v>0</v>
      </c>
      <c r="T3684" s="72">
        <f>M3684*S3684</f>
        <v>0</v>
      </c>
      <c r="U3684" s="72">
        <f>R3684-T3684</f>
        <v>1600</v>
      </c>
      <c r="V3684" s="72">
        <f t="shared" ref="V3684" si="1714">U3684*0</f>
        <v>0</v>
      </c>
      <c r="W3684" s="72">
        <f t="shared" ref="W3684" si="1715">U3684-V3684</f>
        <v>1600</v>
      </c>
      <c r="X3684" s="72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6584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2">
        <f>+L3685*O3685</f>
        <v>1488.2</v>
      </c>
      <c r="S3685" s="72">
        <v>0</v>
      </c>
      <c r="T3685" s="72">
        <f>+L3685*S3685</f>
        <v>0</v>
      </c>
      <c r="U3685" s="72">
        <f>+R3685-T3685</f>
        <v>1488.2</v>
      </c>
      <c r="V3685" s="72">
        <f t="shared" ref="V3685" si="1716">+U3685*0</f>
        <v>0</v>
      </c>
      <c r="W3685" s="72">
        <f>+U3685-V3685</f>
        <v>1488.2</v>
      </c>
      <c r="X3685" s="72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6543</v>
      </c>
      <c r="C3686" s="11" t="s">
        <v>6585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2">
        <f>+M3686*P3686</f>
        <v>552</v>
      </c>
      <c r="S3686" s="72">
        <v>0</v>
      </c>
      <c r="T3686" s="72">
        <f>+M3686*S3686</f>
        <v>0</v>
      </c>
      <c r="U3686" s="72">
        <f t="shared" ref="U3686" si="1717">+R3686-T3686</f>
        <v>552</v>
      </c>
      <c r="V3686" s="72">
        <f>+U3686*0</f>
        <v>0</v>
      </c>
      <c r="W3686" s="72">
        <f t="shared" ref="W3686" si="1718">+U3686-V3686</f>
        <v>552</v>
      </c>
      <c r="X3686" s="72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6586</v>
      </c>
      <c r="D3687" s="11">
        <v>18243</v>
      </c>
      <c r="E3687" s="11" t="s">
        <v>2116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2">
        <f>+L3687*O3687</f>
        <v>1488.8999999999999</v>
      </c>
      <c r="S3687" s="72">
        <v>0</v>
      </c>
      <c r="T3687" s="72">
        <f>+L3687*S3687</f>
        <v>0</v>
      </c>
      <c r="U3687" s="72">
        <f>+R3687-T3687</f>
        <v>1488.8999999999999</v>
      </c>
      <c r="V3687" s="72">
        <f t="shared" ref="V3687:V3688" si="1719">+U3687*0</f>
        <v>0</v>
      </c>
      <c r="W3687" s="72">
        <f>+U3687-V3687</f>
        <v>1488.8999999999999</v>
      </c>
      <c r="X3687" s="72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6587</v>
      </c>
      <c r="C3688" s="11" t="s">
        <v>6588</v>
      </c>
      <c r="D3688" s="11">
        <v>18244</v>
      </c>
      <c r="E3688" s="11" t="s">
        <v>6589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2">
        <f>(L3688*O3688)-Q3688</f>
        <v>628.80000000000007</v>
      </c>
      <c r="S3688" s="72">
        <v>0</v>
      </c>
      <c r="T3688" s="72">
        <f t="shared" ref="T3688" si="1720">+L3688*S3688</f>
        <v>0</v>
      </c>
      <c r="U3688" s="72">
        <f t="shared" ref="U3688" si="1721">+R3688-T3688</f>
        <v>628.80000000000007</v>
      </c>
      <c r="V3688" s="72">
        <f t="shared" si="1719"/>
        <v>0</v>
      </c>
      <c r="W3688" s="72">
        <f t="shared" ref="W3688" si="1722">+U3688-V3688</f>
        <v>628.80000000000007</v>
      </c>
      <c r="X3688" s="72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6590</v>
      </c>
      <c r="C3689" s="11" t="s">
        <v>6591</v>
      </c>
      <c r="D3689" s="11">
        <v>18245</v>
      </c>
      <c r="E3689" s="11" t="s">
        <v>2133</v>
      </c>
      <c r="F3689" s="11" t="s">
        <v>26</v>
      </c>
      <c r="G3689" s="11">
        <v>112483</v>
      </c>
      <c r="H3689" s="12" t="s">
        <v>4453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2">
        <f t="shared" ref="R3689" si="1723">+L3689*O3689</f>
        <v>1536.48</v>
      </c>
      <c r="S3689" s="72">
        <v>0</v>
      </c>
      <c r="T3689" s="72">
        <f>+L3689*S3689</f>
        <v>0</v>
      </c>
      <c r="U3689" s="72">
        <f>+R3689-T3689</f>
        <v>1536.48</v>
      </c>
      <c r="V3689" s="72">
        <f>+U3689*1</f>
        <v>1536.48</v>
      </c>
      <c r="W3689" s="72">
        <f>+U3689-V3689</f>
        <v>0</v>
      </c>
      <c r="X3689" s="72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2538</v>
      </c>
      <c r="C3690" s="11" t="s">
        <v>6592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2">
        <f>(L3690*O3690)-Q3690</f>
        <v>438.3</v>
      </c>
      <c r="S3690" s="72">
        <v>0</v>
      </c>
      <c r="T3690" s="72">
        <f t="shared" ref="T3690" si="1724">+L3690*S3690</f>
        <v>0</v>
      </c>
      <c r="U3690" s="72">
        <f t="shared" ref="U3690" si="1725">+R3690-T3690</f>
        <v>438.3</v>
      </c>
      <c r="V3690" s="72">
        <f>+U3690*0</f>
        <v>0</v>
      </c>
      <c r="W3690" s="72">
        <f t="shared" ref="W3690" si="1726">+U3690-V3690</f>
        <v>438.3</v>
      </c>
      <c r="X3690" s="72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6435</v>
      </c>
      <c r="C3691" s="11" t="s">
        <v>6593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2">
        <f>+L3691*O3691</f>
        <v>1458.8</v>
      </c>
      <c r="S3691" s="72">
        <v>0</v>
      </c>
      <c r="T3691" s="72">
        <f>+L3691*S3691</f>
        <v>0</v>
      </c>
      <c r="U3691" s="72">
        <f>+R3691-T3691</f>
        <v>1458.8</v>
      </c>
      <c r="V3691" s="72">
        <f t="shared" ref="V3691" si="1727">+U3691*0</f>
        <v>0</v>
      </c>
      <c r="W3691" s="72">
        <f>+U3691-V3691</f>
        <v>1458.8</v>
      </c>
      <c r="X3691" s="72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6594</v>
      </c>
      <c r="C3692" s="11" t="s">
        <v>6595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2">
        <f>M3692*P3692</f>
        <v>1500</v>
      </c>
      <c r="S3692" s="72">
        <v>0</v>
      </c>
      <c r="T3692" s="72">
        <f>M3692*S3692</f>
        <v>0</v>
      </c>
      <c r="U3692" s="72">
        <f t="shared" ref="U3692" si="1728">+R3692-T3692</f>
        <v>1500</v>
      </c>
      <c r="V3692" s="72">
        <f>+U3692*0</f>
        <v>0</v>
      </c>
      <c r="W3692" s="72">
        <f t="shared" ref="W3692" si="1729">+U3692-V3692</f>
        <v>1500</v>
      </c>
      <c r="X3692" s="72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6596</v>
      </c>
      <c r="C3693" s="11" t="s">
        <v>6597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4429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2">
        <f t="shared" ref="R3693" si="1730">L3693*O3693</f>
        <v>3528.7200000000003</v>
      </c>
      <c r="S3693" s="72">
        <v>38</v>
      </c>
      <c r="T3693" s="72">
        <f t="shared" ref="T3693" si="1731">L3693*S3693</f>
        <v>1541.2800000000002</v>
      </c>
      <c r="U3693" s="72">
        <f t="shared" ref="U3693" si="1732">R3693-T3693</f>
        <v>1987.44</v>
      </c>
      <c r="V3693" s="72">
        <f>U3693*1</f>
        <v>1987.44</v>
      </c>
      <c r="W3693" s="72">
        <f t="shared" ref="W3693" si="1733">U3693-V3693</f>
        <v>0</v>
      </c>
      <c r="X3693" s="72">
        <f>L3693*37</f>
        <v>1500.72</v>
      </c>
      <c r="Y3693" s="73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6598</v>
      </c>
      <c r="C3694" s="11" t="s">
        <v>6599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2">
        <f>+L3694*O3694</f>
        <v>1572.8999999999999</v>
      </c>
      <c r="S3694" s="72">
        <v>0</v>
      </c>
      <c r="T3694" s="72">
        <f>+L3694*S3694</f>
        <v>0</v>
      </c>
      <c r="U3694" s="72">
        <f>+R3694-T3694</f>
        <v>1572.8999999999999</v>
      </c>
      <c r="V3694" s="72">
        <f t="shared" ref="V3694" si="1734">+U3694*0</f>
        <v>0</v>
      </c>
      <c r="W3694" s="72">
        <f>+U3694-V3694</f>
        <v>1572.8999999999999</v>
      </c>
      <c r="X3694" s="72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6600</v>
      </c>
      <c r="C3695" s="11" t="s">
        <v>6601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4430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2">
        <f t="shared" ref="R3695" si="1736">+L3695*O3695</f>
        <v>1409.52</v>
      </c>
      <c r="S3695" s="72">
        <v>0</v>
      </c>
      <c r="T3695" s="72">
        <f t="shared" ref="T3695" si="1737">+L3695*S3695</f>
        <v>0</v>
      </c>
      <c r="U3695" s="72">
        <f t="shared" ref="U3695:U3696" si="1738">+R3695-T3695</f>
        <v>1409.52</v>
      </c>
      <c r="V3695" s="72">
        <f>+U3695*1</f>
        <v>1409.52</v>
      </c>
      <c r="W3695" s="72">
        <f t="shared" ref="W3695:W3696" si="1739">+U3695-V3695</f>
        <v>0</v>
      </c>
      <c r="X3695" s="72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6602</v>
      </c>
      <c r="C3696" s="11" t="s">
        <v>6603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4430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2">
        <f>+L3696*O3696</f>
        <v>1532.7</v>
      </c>
      <c r="S3696" s="72">
        <v>0</v>
      </c>
      <c r="T3696" s="72">
        <f>+L3696*S3696</f>
        <v>0</v>
      </c>
      <c r="U3696" s="72">
        <f t="shared" si="1738"/>
        <v>1532.7</v>
      </c>
      <c r="V3696" s="72">
        <f>+U3696*1</f>
        <v>1532.7</v>
      </c>
      <c r="W3696" s="72">
        <f t="shared" si="1739"/>
        <v>0</v>
      </c>
      <c r="X3696" s="72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6604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2">
        <f>+L3697*O3697</f>
        <v>1484</v>
      </c>
      <c r="S3697" s="72">
        <v>0</v>
      </c>
      <c r="T3697" s="72">
        <f>+L3697*S3697</f>
        <v>0</v>
      </c>
      <c r="U3697" s="72">
        <f>+R3697-T3697</f>
        <v>1484</v>
      </c>
      <c r="V3697" s="72">
        <f t="shared" ref="V3697" si="1740">+U3697*0</f>
        <v>0</v>
      </c>
      <c r="W3697" s="72">
        <f>+U3697-V3697</f>
        <v>1484</v>
      </c>
      <c r="X3697" s="72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6605</v>
      </c>
      <c r="C3698" s="11" t="s">
        <v>6606</v>
      </c>
      <c r="D3698" s="11">
        <v>18255</v>
      </c>
      <c r="E3698" s="11" t="s">
        <v>6142</v>
      </c>
      <c r="F3698" s="11" t="s">
        <v>26</v>
      </c>
      <c r="G3698" s="11">
        <v>2964</v>
      </c>
      <c r="H3698" s="12" t="s">
        <v>4449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2">
        <f>L3698*O3698</f>
        <v>587.16</v>
      </c>
      <c r="S3698" s="72">
        <v>0</v>
      </c>
      <c r="T3698" s="72">
        <f>L3698*S3698</f>
        <v>0</v>
      </c>
      <c r="U3698" s="72">
        <f>R3698-T3698</f>
        <v>587.16</v>
      </c>
      <c r="V3698" s="72">
        <f>U3698*1</f>
        <v>587.16</v>
      </c>
      <c r="W3698" s="72">
        <f>U3698-V3698</f>
        <v>0</v>
      </c>
      <c r="X3698" s="72">
        <v>0</v>
      </c>
      <c r="Y3698" s="73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2513</v>
      </c>
      <c r="C3699" s="11" t="s">
        <v>6607</v>
      </c>
      <c r="D3699" s="11">
        <v>18256</v>
      </c>
      <c r="E3699" s="11" t="s">
        <v>1207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2">
        <f>M3699*P3699</f>
        <v>1500</v>
      </c>
      <c r="S3699" s="72">
        <v>0</v>
      </c>
      <c r="T3699" s="72">
        <f>M3699*S3699</f>
        <v>0</v>
      </c>
      <c r="U3699" s="72">
        <f>R3699-T3699</f>
        <v>1500</v>
      </c>
      <c r="V3699" s="72">
        <f>U3699*0</f>
        <v>0</v>
      </c>
      <c r="W3699" s="72">
        <f>U3699-V3699</f>
        <v>1500</v>
      </c>
      <c r="X3699" s="72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6608</v>
      </c>
      <c r="C3700" s="11" t="s">
        <v>6609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2">
        <f>+M3700*P3700</f>
        <v>1500</v>
      </c>
      <c r="S3700" s="72">
        <v>0</v>
      </c>
      <c r="T3700" s="72">
        <f>+M3700*S3700</f>
        <v>0</v>
      </c>
      <c r="U3700" s="72">
        <f t="shared" ref="U3700:U3702" si="1742">+R3700-T3700</f>
        <v>1500</v>
      </c>
      <c r="V3700" s="72">
        <f>+U3700*0</f>
        <v>0</v>
      </c>
      <c r="W3700" s="72">
        <f t="shared" ref="W3700:W3702" si="1743">+U3700-V3700</f>
        <v>1500</v>
      </c>
      <c r="X3700" s="72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1379</v>
      </c>
      <c r="C3701" s="11" t="s">
        <v>6610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2">
        <f>+M3701*P3701</f>
        <v>1600</v>
      </c>
      <c r="S3701" s="72">
        <v>0</v>
      </c>
      <c r="T3701" s="72">
        <f>+M3701*S3701</f>
        <v>0</v>
      </c>
      <c r="U3701" s="72">
        <f t="shared" si="1742"/>
        <v>1600</v>
      </c>
      <c r="V3701" s="72">
        <f t="shared" ref="V3701:V3702" si="1744">+U3701*0</f>
        <v>0</v>
      </c>
      <c r="W3701" s="72">
        <f t="shared" si="1743"/>
        <v>1600</v>
      </c>
      <c r="X3701" s="72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2795</v>
      </c>
      <c r="C3702" s="11" t="s">
        <v>6611</v>
      </c>
      <c r="D3702" s="11">
        <v>18259</v>
      </c>
      <c r="E3702" s="11" t="s">
        <v>6612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2">
        <f>(L3702*O3702)-Q3702</f>
        <v>803.99999999999989</v>
      </c>
      <c r="S3702" s="72">
        <v>0</v>
      </c>
      <c r="T3702" s="72">
        <f t="shared" ref="T3702" si="1745">+L3702*S3702</f>
        <v>0</v>
      </c>
      <c r="U3702" s="72">
        <f t="shared" si="1742"/>
        <v>803.99999999999989</v>
      </c>
      <c r="V3702" s="72">
        <f t="shared" si="1744"/>
        <v>0</v>
      </c>
      <c r="W3702" s="72">
        <f t="shared" si="1743"/>
        <v>803.99999999999989</v>
      </c>
      <c r="X3702" s="72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6613</v>
      </c>
      <c r="C3703" s="11" t="s">
        <v>6614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2">
        <f>M3703*P3703</f>
        <v>1500</v>
      </c>
      <c r="S3703" s="72">
        <v>0</v>
      </c>
      <c r="T3703" s="72">
        <f>M3703*S3703</f>
        <v>0</v>
      </c>
      <c r="U3703" s="72">
        <f>R3703-T3703</f>
        <v>1500</v>
      </c>
      <c r="V3703" s="72">
        <f>U3703*0</f>
        <v>0</v>
      </c>
      <c r="W3703" s="72">
        <f>U3703-V3703</f>
        <v>1500</v>
      </c>
      <c r="X3703" s="72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6551</v>
      </c>
      <c r="C3704" s="11" t="s">
        <v>6615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6335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2">
        <f>L3704*O3704</f>
        <v>1707.65</v>
      </c>
      <c r="S3704" s="72">
        <v>0</v>
      </c>
      <c r="T3704" s="72">
        <f>+L3704*S3704</f>
        <v>0</v>
      </c>
      <c r="U3704" s="72">
        <f>R3704-T3704</f>
        <v>1707.65</v>
      </c>
      <c r="V3704" s="72">
        <f>U3704*0</f>
        <v>0</v>
      </c>
      <c r="W3704" s="72">
        <f>U3704-V3704</f>
        <v>1707.65</v>
      </c>
      <c r="X3704" s="76">
        <f>L3704*0</f>
        <v>0</v>
      </c>
      <c r="Y3704" s="76">
        <f>T3704-X3704</f>
        <v>0</v>
      </c>
      <c r="Z3704" s="76" t="s">
        <v>26</v>
      </c>
      <c r="AA3704" s="12" t="s">
        <v>31</v>
      </c>
    </row>
    <row r="3705" spans="1:27" x14ac:dyDescent="0.25">
      <c r="A3705" s="10">
        <v>45714</v>
      </c>
      <c r="B3705" s="11" t="s">
        <v>6616</v>
      </c>
      <c r="C3705" s="11" t="s">
        <v>6617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2">
        <f>(L3705*O3705)-Q3705</f>
        <v>366.3</v>
      </c>
      <c r="S3705" s="72">
        <v>0</v>
      </c>
      <c r="T3705" s="72">
        <f t="shared" ref="T3705" si="1746">+L3705*S3705</f>
        <v>0</v>
      </c>
      <c r="U3705" s="72">
        <f t="shared" ref="U3705:U3708" si="1747">+R3705-T3705</f>
        <v>366.3</v>
      </c>
      <c r="V3705" s="72">
        <f>+U3705*0</f>
        <v>0</v>
      </c>
      <c r="W3705" s="72">
        <f t="shared" ref="W3705:W3708" si="1748">+U3705-V3705</f>
        <v>366.3</v>
      </c>
      <c r="X3705" s="72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6618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2">
        <f>+M3706*P3706</f>
        <v>600</v>
      </c>
      <c r="S3706" s="72">
        <v>0</v>
      </c>
      <c r="T3706" s="72">
        <f>+M3706*S3706</f>
        <v>0</v>
      </c>
      <c r="U3706" s="72">
        <f t="shared" si="1747"/>
        <v>600</v>
      </c>
      <c r="V3706" s="72">
        <f>+U3706*0</f>
        <v>0</v>
      </c>
      <c r="W3706" s="72">
        <f t="shared" si="1748"/>
        <v>600</v>
      </c>
      <c r="X3706" s="72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5435</v>
      </c>
      <c r="C3707" s="11" t="s">
        <v>6619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2">
        <f>+M3707*P3707</f>
        <v>1500</v>
      </c>
      <c r="S3707" s="72">
        <v>0</v>
      </c>
      <c r="T3707" s="72">
        <f>+M3707*S3707</f>
        <v>0</v>
      </c>
      <c r="U3707" s="72">
        <f t="shared" si="1747"/>
        <v>1500</v>
      </c>
      <c r="V3707" s="72">
        <f>+U3707*0</f>
        <v>0</v>
      </c>
      <c r="W3707" s="72">
        <f t="shared" si="1748"/>
        <v>1500</v>
      </c>
      <c r="X3707" s="72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6620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2">
        <f>+M3708*P3708</f>
        <v>600</v>
      </c>
      <c r="S3708" s="72">
        <v>0</v>
      </c>
      <c r="T3708" s="72">
        <f>+M3708*S3708</f>
        <v>0</v>
      </c>
      <c r="U3708" s="72">
        <f t="shared" si="1747"/>
        <v>600</v>
      </c>
      <c r="V3708" s="72">
        <f>+U3708*0</f>
        <v>0</v>
      </c>
      <c r="W3708" s="72">
        <f t="shared" si="1748"/>
        <v>600</v>
      </c>
      <c r="X3708" s="72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6621</v>
      </c>
      <c r="C3709" s="11" t="s">
        <v>6622</v>
      </c>
      <c r="D3709" s="11">
        <v>18266</v>
      </c>
      <c r="E3709" s="11" t="s">
        <v>2133</v>
      </c>
      <c r="F3709" s="11" t="s">
        <v>26</v>
      </c>
      <c r="G3709" s="11">
        <v>112488</v>
      </c>
      <c r="H3709" s="12" t="s">
        <v>4453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2">
        <f t="shared" ref="R3709" si="1750">+L3709*O3709</f>
        <v>1562</v>
      </c>
      <c r="S3709" s="72">
        <v>0</v>
      </c>
      <c r="T3709" s="72">
        <f>+L3709*S3709</f>
        <v>0</v>
      </c>
      <c r="U3709" s="72">
        <f>+R3709-T3709</f>
        <v>1562</v>
      </c>
      <c r="V3709" s="72">
        <f>+U3709*1</f>
        <v>1562</v>
      </c>
      <c r="W3709" s="72">
        <f>+U3709-V3709</f>
        <v>0</v>
      </c>
      <c r="X3709" s="72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6623</v>
      </c>
      <c r="C3710" s="11" t="s">
        <v>6624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2">
        <f>+M3710*P3710</f>
        <v>1500</v>
      </c>
      <c r="S3710" s="72">
        <v>0</v>
      </c>
      <c r="T3710" s="72">
        <f>+M3710*S3710</f>
        <v>0</v>
      </c>
      <c r="U3710" s="72">
        <f t="shared" ref="U3710" si="1751">+R3710-T3710</f>
        <v>1500</v>
      </c>
      <c r="V3710" s="72">
        <f>+U3710*0</f>
        <v>0</v>
      </c>
      <c r="W3710" s="72">
        <f t="shared" ref="W3710" si="1752">+U3710-V3710</f>
        <v>1500</v>
      </c>
      <c r="X3710" s="72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6625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2">
        <f>+L3711*O3711</f>
        <v>1461.6</v>
      </c>
      <c r="S3711" s="72">
        <v>0</v>
      </c>
      <c r="T3711" s="72">
        <f>+L3711*S3711</f>
        <v>0</v>
      </c>
      <c r="U3711" s="72">
        <f>+R3711-T3711</f>
        <v>1461.6</v>
      </c>
      <c r="V3711" s="72">
        <f t="shared" ref="V3711:V3713" si="1753">+U3711*0</f>
        <v>0</v>
      </c>
      <c r="W3711" s="72">
        <f>+U3711-V3711</f>
        <v>1461.6</v>
      </c>
      <c r="X3711" s="72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702</v>
      </c>
      <c r="C3712" s="11" t="s">
        <v>6626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2">
        <f>(L3712*O3712)-Q3712</f>
        <v>419.00000000000006</v>
      </c>
      <c r="S3712" s="72">
        <v>0</v>
      </c>
      <c r="T3712" s="72">
        <f t="shared" ref="T3712" si="1754">+L3712*S3712</f>
        <v>0</v>
      </c>
      <c r="U3712" s="72">
        <f t="shared" ref="U3712" si="1755">+R3712-T3712</f>
        <v>419.00000000000006</v>
      </c>
      <c r="V3712" s="72">
        <f t="shared" si="1753"/>
        <v>0</v>
      </c>
      <c r="W3712" s="72">
        <f t="shared" ref="W3712" si="1756">+U3712-V3712</f>
        <v>419.00000000000006</v>
      </c>
      <c r="X3712" s="72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6627</v>
      </c>
      <c r="C3713" s="11" t="s">
        <v>6628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2">
        <f>+L3713*O3713</f>
        <v>1648.8</v>
      </c>
      <c r="S3713" s="72">
        <v>0</v>
      </c>
      <c r="T3713" s="72">
        <f>+L3713*S3713</f>
        <v>0</v>
      </c>
      <c r="U3713" s="72">
        <f>+R3713-T3713</f>
        <v>1648.8</v>
      </c>
      <c r="V3713" s="72">
        <f t="shared" si="1753"/>
        <v>0</v>
      </c>
      <c r="W3713" s="72">
        <f>+U3713-V3713</f>
        <v>1648.8</v>
      </c>
      <c r="X3713" s="72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6629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2">
        <f>+M3714*P3714</f>
        <v>576</v>
      </c>
      <c r="S3714" s="72">
        <v>0</v>
      </c>
      <c r="T3714" s="72">
        <f>+M3714*S3714</f>
        <v>0</v>
      </c>
      <c r="U3714" s="72">
        <f t="shared" ref="U3714:U3715" si="1757">+R3714-T3714</f>
        <v>576</v>
      </c>
      <c r="V3714" s="72">
        <f>+U3714*0</f>
        <v>0</v>
      </c>
      <c r="W3714" s="72">
        <f t="shared" ref="W3714:W3715" si="1758">+U3714-V3714</f>
        <v>576</v>
      </c>
      <c r="X3714" s="72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6630</v>
      </c>
      <c r="C3715" s="11" t="s">
        <v>6631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4454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2">
        <f>+M3715*P3715</f>
        <v>852.8</v>
      </c>
      <c r="S3715" s="72">
        <v>0</v>
      </c>
      <c r="T3715" s="72">
        <f>+M3715*S3715</f>
        <v>0</v>
      </c>
      <c r="U3715" s="72">
        <f t="shared" si="1757"/>
        <v>852.8</v>
      </c>
      <c r="V3715" s="72">
        <f>+U3715*1</f>
        <v>852.8</v>
      </c>
      <c r="W3715" s="72">
        <f t="shared" si="1758"/>
        <v>0</v>
      </c>
      <c r="X3715" s="72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1817</v>
      </c>
      <c r="C3716" s="11" t="s">
        <v>6632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4429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2">
        <f>L3716*O3716</f>
        <v>3678.56</v>
      </c>
      <c r="S3716" s="72">
        <v>38</v>
      </c>
      <c r="T3716" s="72">
        <f>L3716*S3716</f>
        <v>1684.16</v>
      </c>
      <c r="U3716" s="72">
        <f>R3716-T3716</f>
        <v>1994.3999999999999</v>
      </c>
      <c r="V3716" s="72">
        <f>U3716*1</f>
        <v>1994.3999999999999</v>
      </c>
      <c r="W3716" s="72">
        <f>U3716-V3716</f>
        <v>0</v>
      </c>
      <c r="X3716" s="72">
        <f>L3716*37</f>
        <v>1639.84</v>
      </c>
      <c r="Y3716" s="73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6633</v>
      </c>
      <c r="C3717" s="11" t="s">
        <v>6634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4430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2">
        <f t="shared" ref="R3717" si="1759">+L3717*O3717</f>
        <v>1629.3200000000002</v>
      </c>
      <c r="S3717" s="72">
        <v>0</v>
      </c>
      <c r="T3717" s="72">
        <f t="shared" ref="T3717" si="1760">+L3717*S3717</f>
        <v>0</v>
      </c>
      <c r="U3717" s="72">
        <f t="shared" ref="U3717" si="1761">+R3717-T3717</f>
        <v>1629.3200000000002</v>
      </c>
      <c r="V3717" s="72">
        <f>+U3717*1</f>
        <v>1629.3200000000002</v>
      </c>
      <c r="W3717" s="72">
        <f t="shared" ref="W3717" si="1762">+U3717-V3717</f>
        <v>0</v>
      </c>
      <c r="X3717" s="72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3078</v>
      </c>
      <c r="C3718" s="11" t="s">
        <v>6635</v>
      </c>
      <c r="D3718" s="11">
        <v>18275</v>
      </c>
      <c r="E3718" s="11" t="s">
        <v>1207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2">
        <f>M3718*P3718</f>
        <v>1600</v>
      </c>
      <c r="S3718" s="72">
        <v>0</v>
      </c>
      <c r="T3718" s="72">
        <f>M3718*S3718</f>
        <v>0</v>
      </c>
      <c r="U3718" s="72">
        <f>R3718-T3718</f>
        <v>1600</v>
      </c>
      <c r="V3718" s="72">
        <f t="shared" ref="V3718" si="1764">U3718*0</f>
        <v>0</v>
      </c>
      <c r="W3718" s="72">
        <f t="shared" ref="W3718" si="1765">U3718-V3718</f>
        <v>1600</v>
      </c>
      <c r="X3718" s="72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4335</v>
      </c>
      <c r="C3719" s="11" t="s">
        <v>6636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2">
        <f>(L3719*O3719)-Q3719</f>
        <v>250.79999999999998</v>
      </c>
      <c r="S3719" s="72">
        <v>0</v>
      </c>
      <c r="T3719" s="72">
        <f t="shared" ref="T3719" si="1766">+L3719*S3719</f>
        <v>0</v>
      </c>
      <c r="U3719" s="72">
        <f t="shared" ref="U3719:U3724" si="1767">+R3719-T3719</f>
        <v>250.79999999999998</v>
      </c>
      <c r="V3719" s="72">
        <f t="shared" ref="V3719" si="1768">+U3719*0</f>
        <v>0</v>
      </c>
      <c r="W3719" s="72">
        <f t="shared" ref="W3719:W3724" si="1769">+U3719-V3719</f>
        <v>250.79999999999998</v>
      </c>
      <c r="X3719" s="72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3296</v>
      </c>
      <c r="C3720" s="11" t="s">
        <v>6637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4430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2">
        <f>+L3720*O3720</f>
        <v>1445.3999999999999</v>
      </c>
      <c r="S3720" s="72">
        <v>0</v>
      </c>
      <c r="T3720" s="72">
        <f>+L3720*S3720</f>
        <v>0</v>
      </c>
      <c r="U3720" s="72">
        <f t="shared" si="1767"/>
        <v>1445.3999999999999</v>
      </c>
      <c r="V3720" s="72">
        <f>+U3720*1</f>
        <v>1445.3999999999999</v>
      </c>
      <c r="W3720" s="72">
        <f t="shared" si="1769"/>
        <v>0</v>
      </c>
      <c r="X3720" s="72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6638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2">
        <f>+M3721*P3721</f>
        <v>1500</v>
      </c>
      <c r="S3721" s="72">
        <v>0</v>
      </c>
      <c r="T3721" s="72">
        <f>+M3721*S3721</f>
        <v>0</v>
      </c>
      <c r="U3721" s="72">
        <f t="shared" si="1767"/>
        <v>1500</v>
      </c>
      <c r="V3721" s="72">
        <f>+U3721*0</f>
        <v>0</v>
      </c>
      <c r="W3721" s="72">
        <f t="shared" si="1769"/>
        <v>1500</v>
      </c>
      <c r="X3721" s="72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3828</v>
      </c>
      <c r="C3722" s="11" t="s">
        <v>6639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2">
        <f>(L3722*O3722)-Q3722</f>
        <v>303</v>
      </c>
      <c r="S3722" s="72">
        <v>0</v>
      </c>
      <c r="T3722" s="72">
        <f t="shared" ref="T3722" si="1770">+L3722*S3722</f>
        <v>0</v>
      </c>
      <c r="U3722" s="72">
        <f t="shared" si="1767"/>
        <v>303</v>
      </c>
      <c r="V3722" s="72">
        <f t="shared" ref="V3722:V3724" si="1771">+U3722*0</f>
        <v>0</v>
      </c>
      <c r="W3722" s="72">
        <f t="shared" si="1769"/>
        <v>303</v>
      </c>
      <c r="X3722" s="72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1344</v>
      </c>
      <c r="C3723" s="11" t="s">
        <v>6640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2">
        <f>+M3723*P3723</f>
        <v>1600</v>
      </c>
      <c r="S3723" s="72">
        <v>0</v>
      </c>
      <c r="T3723" s="72">
        <f>+M3723*S3723</f>
        <v>0</v>
      </c>
      <c r="U3723" s="72">
        <f t="shared" si="1767"/>
        <v>1600</v>
      </c>
      <c r="V3723" s="72">
        <f t="shared" si="1771"/>
        <v>0</v>
      </c>
      <c r="W3723" s="72">
        <f t="shared" si="1769"/>
        <v>1600</v>
      </c>
      <c r="X3723" s="72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2677</v>
      </c>
      <c r="C3724" s="11" t="s">
        <v>6641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2">
        <f>(L3724*O3724)-Q3724</f>
        <v>676.4</v>
      </c>
      <c r="S3724" s="72">
        <v>0</v>
      </c>
      <c r="T3724" s="72">
        <f t="shared" ref="T3724" si="1772">+L3724*S3724</f>
        <v>0</v>
      </c>
      <c r="U3724" s="72">
        <f t="shared" si="1767"/>
        <v>676.4</v>
      </c>
      <c r="V3724" s="72">
        <f t="shared" si="1771"/>
        <v>0</v>
      </c>
      <c r="W3724" s="72">
        <f t="shared" si="1769"/>
        <v>676.4</v>
      </c>
      <c r="X3724" s="72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6642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4451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2">
        <f>L3725*O3725</f>
        <v>941.4</v>
      </c>
      <c r="S3725" s="72">
        <v>0</v>
      </c>
      <c r="T3725" s="72">
        <f>L3725*S3725</f>
        <v>0</v>
      </c>
      <c r="U3725" s="72">
        <f>R3725-T3725</f>
        <v>941.4</v>
      </c>
      <c r="V3725" s="72">
        <f>U3725*0</f>
        <v>0</v>
      </c>
      <c r="W3725" s="72">
        <f>U3725-V3725</f>
        <v>941.4</v>
      </c>
      <c r="X3725" s="72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6643</v>
      </c>
      <c r="C3726" s="11" t="s">
        <v>6644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4455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2">
        <f>+L3726*O3726</f>
        <v>1920.15</v>
      </c>
      <c r="S3726" s="72">
        <v>0</v>
      </c>
      <c r="T3726" s="72">
        <f>+L3726*S3726</f>
        <v>0</v>
      </c>
      <c r="U3726" s="72">
        <f>+R3726-T3726</f>
        <v>1920.15</v>
      </c>
      <c r="V3726" s="72">
        <f>+U3726*0.75</f>
        <v>1440.1125000000002</v>
      </c>
      <c r="W3726" s="72">
        <f>+U3726-V3726</f>
        <v>480.03749999999991</v>
      </c>
      <c r="X3726" s="72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6645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2">
        <f>+M3727*P3727</f>
        <v>600</v>
      </c>
      <c r="S3727" s="72">
        <v>0</v>
      </c>
      <c r="T3727" s="72">
        <f>+M3727*S3727</f>
        <v>0</v>
      </c>
      <c r="U3727" s="72">
        <f t="shared" ref="U3727" si="1773">+R3727-T3727</f>
        <v>600</v>
      </c>
      <c r="V3727" s="72">
        <f>+U3727*0</f>
        <v>0</v>
      </c>
      <c r="W3727" s="72">
        <f t="shared" ref="W3727" si="1774">+U3727-V3727</f>
        <v>600</v>
      </c>
      <c r="X3727" s="72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6646</v>
      </c>
      <c r="D3728" s="11">
        <v>18285</v>
      </c>
      <c r="E3728" s="11" t="s">
        <v>6151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2">
        <f>+L3728*O3728</f>
        <v>1398.4</v>
      </c>
      <c r="S3728" s="72">
        <v>0</v>
      </c>
      <c r="T3728" s="72">
        <f>+L3728*S3728</f>
        <v>0</v>
      </c>
      <c r="U3728" s="72">
        <f>+R3728-T3728</f>
        <v>1398.4</v>
      </c>
      <c r="V3728" s="72">
        <f t="shared" ref="V3728" si="1775">+U3728*0</f>
        <v>0</v>
      </c>
      <c r="W3728" s="72">
        <f>+U3728-V3728</f>
        <v>1398.4</v>
      </c>
      <c r="X3728" s="72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2745</v>
      </c>
      <c r="C3729" s="11" t="s">
        <v>6647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2">
        <f>L3729*O3729</f>
        <v>1653.6000000000001</v>
      </c>
      <c r="S3729" s="72">
        <v>0</v>
      </c>
      <c r="T3729" s="72">
        <f>L3729*S3729</f>
        <v>0</v>
      </c>
      <c r="U3729" s="72">
        <f>R3729-T3729</f>
        <v>1653.6000000000001</v>
      </c>
      <c r="V3729" s="72">
        <f>U3729*0</f>
        <v>0</v>
      </c>
      <c r="W3729" s="72">
        <f>U3729-V3729</f>
        <v>1653.6000000000001</v>
      </c>
      <c r="X3729" s="72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6648</v>
      </c>
      <c r="C3730" s="11" t="s">
        <v>6649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2">
        <f>M3730*P3730</f>
        <v>1500</v>
      </c>
      <c r="S3730" s="72">
        <v>0</v>
      </c>
      <c r="T3730" s="72">
        <f>M3730*S3730</f>
        <v>0</v>
      </c>
      <c r="U3730" s="72">
        <f>R3730-T3730</f>
        <v>1500</v>
      </c>
      <c r="V3730" s="72">
        <f>U3730*0</f>
        <v>0</v>
      </c>
      <c r="W3730" s="72">
        <f>U3730-V3730</f>
        <v>1500</v>
      </c>
      <c r="X3730" s="72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6650</v>
      </c>
      <c r="C3731" s="11" t="s">
        <v>6651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4451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2">
        <f>L3731*O3731</f>
        <v>936.59999999999991</v>
      </c>
      <c r="S3731" s="72">
        <v>0</v>
      </c>
      <c r="T3731" s="72">
        <f>L3731*S3731</f>
        <v>0</v>
      </c>
      <c r="U3731" s="72">
        <f>R3731-T3731</f>
        <v>936.59999999999991</v>
      </c>
      <c r="V3731" s="72">
        <f>U3731*0</f>
        <v>0</v>
      </c>
      <c r="W3731" s="72">
        <f>U3731-V3731</f>
        <v>936.59999999999991</v>
      </c>
      <c r="X3731" s="72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6652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4454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2">
        <f>+M3732*P3732</f>
        <v>852.8</v>
      </c>
      <c r="S3732" s="72">
        <v>0</v>
      </c>
      <c r="T3732" s="72">
        <f>+M3732*S3732</f>
        <v>0</v>
      </c>
      <c r="U3732" s="72">
        <f t="shared" ref="U3732" si="1776">+R3732-T3732</f>
        <v>852.8</v>
      </c>
      <c r="V3732" s="72">
        <f>+U3732*1</f>
        <v>852.8</v>
      </c>
      <c r="W3732" s="72">
        <f t="shared" ref="W3732" si="1777">+U3732-V3732</f>
        <v>0</v>
      </c>
      <c r="X3732" s="72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6653</v>
      </c>
      <c r="C3733" s="11" t="s">
        <v>6654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2">
        <f>L3733*O3733</f>
        <v>1659.1999999999998</v>
      </c>
      <c r="S3733" s="72">
        <v>0</v>
      </c>
      <c r="T3733" s="72">
        <f>L3733*S3733</f>
        <v>0</v>
      </c>
      <c r="U3733" s="72">
        <f>R3733-T3733</f>
        <v>1659.1999999999998</v>
      </c>
      <c r="V3733" s="72">
        <f>U3733*0</f>
        <v>0</v>
      </c>
      <c r="W3733" s="72">
        <f>U3733-V3733</f>
        <v>1659.1999999999998</v>
      </c>
      <c r="X3733" s="72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6655</v>
      </c>
      <c r="C3734" s="11" t="s">
        <v>6656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2">
        <f>L3734*O3734</f>
        <v>1641.6</v>
      </c>
      <c r="S3734" s="72">
        <v>0</v>
      </c>
      <c r="T3734" s="72">
        <f>L3734*S3734</f>
        <v>0</v>
      </c>
      <c r="U3734" s="72">
        <f>R3734-T3734</f>
        <v>1641.6</v>
      </c>
      <c r="V3734" s="72">
        <f>U3734*0</f>
        <v>0</v>
      </c>
      <c r="W3734" s="72">
        <f>U3734-V3734</f>
        <v>1641.6</v>
      </c>
      <c r="X3734" s="72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6657</v>
      </c>
      <c r="C3735" s="11" t="s">
        <v>6658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4451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2">
        <f>L3735*O3735</f>
        <v>909</v>
      </c>
      <c r="S3735" s="72">
        <v>0</v>
      </c>
      <c r="T3735" s="72">
        <f>L3735*S3735</f>
        <v>0</v>
      </c>
      <c r="U3735" s="72">
        <f>R3735-T3735</f>
        <v>909</v>
      </c>
      <c r="V3735" s="72">
        <f>U3735*0</f>
        <v>0</v>
      </c>
      <c r="W3735" s="72">
        <f>U3735-V3735</f>
        <v>909</v>
      </c>
      <c r="X3735" s="72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6659</v>
      </c>
      <c r="C3736" s="11" t="s">
        <v>6660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2">
        <f>+M3736*P3736</f>
        <v>600</v>
      </c>
      <c r="S3736" s="72">
        <v>0</v>
      </c>
      <c r="T3736" s="72">
        <f>+M3736*S3736</f>
        <v>0</v>
      </c>
      <c r="U3736" s="72">
        <f t="shared" ref="U3736:U3737" si="1779">+R3736-T3736</f>
        <v>600</v>
      </c>
      <c r="V3736" s="72">
        <f>+U3736*0</f>
        <v>0</v>
      </c>
      <c r="W3736" s="72">
        <f t="shared" ref="W3736:W3737" si="1780">+U3736-V3736</f>
        <v>600</v>
      </c>
      <c r="X3736" s="72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6661</v>
      </c>
      <c r="C3737" s="11" t="s">
        <v>6662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2">
        <f>+M3737*P3737</f>
        <v>600</v>
      </c>
      <c r="S3737" s="72">
        <v>0</v>
      </c>
      <c r="T3737" s="72">
        <f>+M3737*S3737</f>
        <v>0</v>
      </c>
      <c r="U3737" s="72">
        <f t="shared" si="1779"/>
        <v>600</v>
      </c>
      <c r="V3737" s="72">
        <f>+U3737*0</f>
        <v>0</v>
      </c>
      <c r="W3737" s="72">
        <f t="shared" si="1780"/>
        <v>600</v>
      </c>
      <c r="X3737" s="72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6663</v>
      </c>
      <c r="C3738" s="11" t="s">
        <v>6664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2">
        <f>M3738*P3738</f>
        <v>1600</v>
      </c>
      <c r="S3738" s="72">
        <v>0</v>
      </c>
      <c r="T3738" s="72">
        <f>M3738*S3738</f>
        <v>0</v>
      </c>
      <c r="U3738" s="72">
        <f>+R3738-T3738</f>
        <v>1600</v>
      </c>
      <c r="V3738" s="72">
        <f t="shared" ref="V3738" si="1781">+U3738*0</f>
        <v>0</v>
      </c>
      <c r="W3738" s="72">
        <f>+U3738-V3738</f>
        <v>1600</v>
      </c>
      <c r="X3738" s="72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6665</v>
      </c>
      <c r="C3739" s="11" t="s">
        <v>6666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4429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2">
        <f>L3739*O3739</f>
        <v>3590.58</v>
      </c>
      <c r="S3739" s="72">
        <v>38</v>
      </c>
      <c r="T3739" s="72">
        <f>L3739*S3739</f>
        <v>1643.8799999999999</v>
      </c>
      <c r="U3739" s="72">
        <f>R3739-T3739</f>
        <v>1946.7</v>
      </c>
      <c r="V3739" s="72">
        <f>U3739*1</f>
        <v>1946.7</v>
      </c>
      <c r="W3739" s="72">
        <f>U3739-V3739</f>
        <v>0</v>
      </c>
      <c r="X3739" s="72">
        <f>L3739*37</f>
        <v>1600.62</v>
      </c>
      <c r="Y3739" s="73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6667</v>
      </c>
      <c r="C3740" s="11" t="s">
        <v>6668</v>
      </c>
      <c r="D3740" s="11">
        <v>18298</v>
      </c>
      <c r="E3740" s="11" t="s">
        <v>1207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2">
        <f>M3740*P3740</f>
        <v>625</v>
      </c>
      <c r="S3740" s="72">
        <v>0</v>
      </c>
      <c r="T3740" s="72">
        <f>M3740*S3740</f>
        <v>0</v>
      </c>
      <c r="U3740" s="72">
        <f>R3740-T3740</f>
        <v>625</v>
      </c>
      <c r="V3740" s="72">
        <f>U3740*0</f>
        <v>0</v>
      </c>
      <c r="W3740" s="72">
        <f>U3740-V3740</f>
        <v>625</v>
      </c>
      <c r="X3740" s="72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3024</v>
      </c>
      <c r="C3741" s="11" t="s">
        <v>6669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4430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2">
        <f>+L3741*O3741</f>
        <v>1566.9</v>
      </c>
      <c r="S3741" s="72">
        <v>0</v>
      </c>
      <c r="T3741" s="72">
        <f>+L3741*S3741</f>
        <v>0</v>
      </c>
      <c r="U3741" s="72">
        <f t="shared" ref="U3741:U3744" si="1783">+R3741-T3741</f>
        <v>1566.9</v>
      </c>
      <c r="V3741" s="72">
        <f>+U3741*1</f>
        <v>1566.9</v>
      </c>
      <c r="W3741" s="72">
        <f t="shared" ref="W3741:W3744" si="1784">+U3741-V3741</f>
        <v>0</v>
      </c>
      <c r="X3741" s="72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1649</v>
      </c>
      <c r="C3742" s="11" t="s">
        <v>6670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2">
        <f>(L3742*O3742)-Q3742</f>
        <v>748.40000000000009</v>
      </c>
      <c r="S3742" s="72">
        <v>0</v>
      </c>
      <c r="T3742" s="72">
        <f t="shared" ref="T3742:T3744" si="1785">+L3742*S3742</f>
        <v>0</v>
      </c>
      <c r="U3742" s="72">
        <f t="shared" si="1783"/>
        <v>748.40000000000009</v>
      </c>
      <c r="V3742" s="72">
        <f t="shared" ref="V3742" si="1786">+U3742*0</f>
        <v>0</v>
      </c>
      <c r="W3742" s="72">
        <f t="shared" si="1784"/>
        <v>748.40000000000009</v>
      </c>
      <c r="X3742" s="72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6684</v>
      </c>
      <c r="C3743" s="11" t="s">
        <v>6685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4430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2">
        <f t="shared" ref="R3743:R3744" si="1787">+L3743*O3743</f>
        <v>1573.2</v>
      </c>
      <c r="S3743" s="72">
        <v>0</v>
      </c>
      <c r="T3743" s="72">
        <f t="shared" si="1785"/>
        <v>0</v>
      </c>
      <c r="U3743" s="72">
        <f t="shared" si="1783"/>
        <v>1573.2</v>
      </c>
      <c r="V3743" s="72">
        <f>+U3743*1</f>
        <v>1573.2</v>
      </c>
      <c r="W3743" s="72">
        <f t="shared" si="1784"/>
        <v>0</v>
      </c>
      <c r="X3743" s="72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6686</v>
      </c>
      <c r="C3744" s="11" t="s">
        <v>6687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4430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2">
        <f t="shared" si="1787"/>
        <v>1623.8</v>
      </c>
      <c r="S3744" s="72">
        <v>0</v>
      </c>
      <c r="T3744" s="72">
        <f t="shared" si="1785"/>
        <v>0</v>
      </c>
      <c r="U3744" s="72">
        <f t="shared" si="1783"/>
        <v>1623.8</v>
      </c>
      <c r="V3744" s="72">
        <f>+U3744*1</f>
        <v>1623.8</v>
      </c>
      <c r="W3744" s="72">
        <f t="shared" si="1784"/>
        <v>0</v>
      </c>
      <c r="X3744" s="72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1826</v>
      </c>
      <c r="C3745" s="11" t="s">
        <v>6688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2">
        <f>M3745*P3745</f>
        <v>1500</v>
      </c>
      <c r="S3745" s="72">
        <v>0</v>
      </c>
      <c r="T3745" s="72">
        <f>M3745*S3745</f>
        <v>0</v>
      </c>
      <c r="U3745" s="72">
        <f>R3745-T3745</f>
        <v>1500</v>
      </c>
      <c r="V3745" s="72">
        <f>U3745*0</f>
        <v>0</v>
      </c>
      <c r="W3745" s="72">
        <f>U3745-V3745</f>
        <v>1500</v>
      </c>
      <c r="X3745" s="72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3916</v>
      </c>
      <c r="C3746" s="11" t="s">
        <v>6689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2">
        <f>+L3746*O3746</f>
        <v>1748.8</v>
      </c>
      <c r="S3746" s="72">
        <v>0</v>
      </c>
      <c r="T3746" s="72">
        <f>+L3746*S3746</f>
        <v>0</v>
      </c>
      <c r="U3746" s="72">
        <f>+R3746-T3746</f>
        <v>1748.8</v>
      </c>
      <c r="V3746" s="72">
        <f t="shared" ref="V3746:V3747" si="1789">+U3746*0</f>
        <v>0</v>
      </c>
      <c r="W3746" s="72">
        <f>+U3746-V3746</f>
        <v>1748.8</v>
      </c>
      <c r="X3746" s="72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661</v>
      </c>
      <c r="C3747" s="11" t="s">
        <v>6690</v>
      </c>
      <c r="D3747" s="11">
        <v>18305</v>
      </c>
      <c r="E3747" s="11" t="s">
        <v>2116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2">
        <f>+L3747*O3747</f>
        <v>1802.4</v>
      </c>
      <c r="S3747" s="72">
        <v>0</v>
      </c>
      <c r="T3747" s="72">
        <f>+L3747*S3747</f>
        <v>0</v>
      </c>
      <c r="U3747" s="72">
        <f>+R3747-T3747</f>
        <v>1802.4</v>
      </c>
      <c r="V3747" s="72">
        <f t="shared" si="1789"/>
        <v>0</v>
      </c>
      <c r="W3747" s="72">
        <f>+U3747-V3747</f>
        <v>1802.4</v>
      </c>
      <c r="X3747" s="72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6691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4429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2">
        <f t="shared" ref="R3748" si="1790">L3748*O3748</f>
        <v>3644.8</v>
      </c>
      <c r="S3748" s="72">
        <v>38</v>
      </c>
      <c r="T3748" s="72">
        <f t="shared" ref="T3748:T3749" si="1791">L3748*S3748</f>
        <v>1629.44</v>
      </c>
      <c r="U3748" s="72">
        <f t="shared" ref="U3748:U3754" si="1792">R3748-T3748</f>
        <v>2015.3600000000001</v>
      </c>
      <c r="V3748" s="72">
        <f>U3748*1</f>
        <v>2015.3600000000001</v>
      </c>
      <c r="W3748" s="72">
        <f t="shared" ref="W3748" si="1793">U3748-V3748</f>
        <v>0</v>
      </c>
      <c r="X3748" s="72">
        <f>L3748*36</f>
        <v>1543.68</v>
      </c>
      <c r="Y3748" s="73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4147</v>
      </c>
      <c r="C3749" s="11" t="s">
        <v>6692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2">
        <f>L3749*O3749</f>
        <v>1056.5</v>
      </c>
      <c r="S3749" s="72">
        <v>0</v>
      </c>
      <c r="T3749" s="72">
        <f t="shared" si="1791"/>
        <v>0</v>
      </c>
      <c r="U3749" s="72">
        <f t="shared" si="1792"/>
        <v>1056.5</v>
      </c>
      <c r="V3749" s="72">
        <f>U3749*0</f>
        <v>0</v>
      </c>
      <c r="W3749" s="72">
        <f>U3749-V3749</f>
        <v>1056.5</v>
      </c>
      <c r="X3749" s="72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6693</v>
      </c>
      <c r="C3750" s="11" t="s">
        <v>6694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2">
        <f>M3750*P3750</f>
        <v>1550</v>
      </c>
      <c r="S3750" s="72">
        <v>0</v>
      </c>
      <c r="T3750" s="72">
        <f>M3750*S3750</f>
        <v>0</v>
      </c>
      <c r="U3750" s="72">
        <f t="shared" si="1792"/>
        <v>1550</v>
      </c>
      <c r="V3750" s="72">
        <f>U3750*0</f>
        <v>0</v>
      </c>
      <c r="W3750" s="72">
        <f>U3750-V3750</f>
        <v>1550</v>
      </c>
      <c r="X3750" s="72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6695</v>
      </c>
      <c r="C3751" s="11" t="s">
        <v>6696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2">
        <f>L3751*O3751</f>
        <v>1031.5</v>
      </c>
      <c r="S3751" s="72">
        <v>0</v>
      </c>
      <c r="T3751" s="72">
        <f t="shared" ref="T3751" si="1795">L3751*S3751</f>
        <v>0</v>
      </c>
      <c r="U3751" s="72">
        <f t="shared" si="1792"/>
        <v>1031.5</v>
      </c>
      <c r="V3751" s="72">
        <f>U3751*0</f>
        <v>0</v>
      </c>
      <c r="W3751" s="72">
        <f>U3751-V3751</f>
        <v>1031.5</v>
      </c>
      <c r="X3751" s="72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4154</v>
      </c>
      <c r="C3752" s="11" t="s">
        <v>6697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2">
        <f>M3752*P3752</f>
        <v>1450</v>
      </c>
      <c r="S3752" s="72">
        <v>0</v>
      </c>
      <c r="T3752" s="72">
        <f>M3752*S3752</f>
        <v>0</v>
      </c>
      <c r="U3752" s="72">
        <f t="shared" si="1792"/>
        <v>1450</v>
      </c>
      <c r="V3752" s="72">
        <f t="shared" ref="V3752" si="1796">U3752*0</f>
        <v>0</v>
      </c>
      <c r="W3752" s="72">
        <f t="shared" ref="W3752" si="1797">U3752-V3752</f>
        <v>1450</v>
      </c>
      <c r="X3752" s="72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6698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2">
        <f>L3753*O3753</f>
        <v>1022.0000000000001</v>
      </c>
      <c r="S3753" s="72">
        <v>0</v>
      </c>
      <c r="T3753" s="72">
        <f t="shared" ref="T3753" si="1798">L3753*S3753</f>
        <v>0</v>
      </c>
      <c r="U3753" s="72">
        <f t="shared" si="1792"/>
        <v>1022.0000000000001</v>
      </c>
      <c r="V3753" s="72">
        <f>U3753*0</f>
        <v>0</v>
      </c>
      <c r="W3753" s="72">
        <f>U3753-V3753</f>
        <v>1022.0000000000001</v>
      </c>
      <c r="X3753" s="72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6699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2">
        <f>M3754*P3754</f>
        <v>1450</v>
      </c>
      <c r="S3754" s="72">
        <v>0</v>
      </c>
      <c r="T3754" s="72">
        <f>M3754*S3754</f>
        <v>0</v>
      </c>
      <c r="U3754" s="72">
        <f t="shared" si="1792"/>
        <v>1450</v>
      </c>
      <c r="V3754" s="72">
        <f t="shared" ref="V3754" si="1799">U3754*0</f>
        <v>0</v>
      </c>
      <c r="W3754" s="72">
        <f t="shared" ref="W3754" si="1800">U3754-V3754</f>
        <v>1450</v>
      </c>
      <c r="X3754" s="72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6700</v>
      </c>
      <c r="C3755" s="11" t="s">
        <v>6701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2">
        <f>+L3755*O3755</f>
        <v>1590.3999999999999</v>
      </c>
      <c r="S3755" s="72">
        <v>0</v>
      </c>
      <c r="T3755" s="72">
        <f>+L3755*S3755</f>
        <v>0</v>
      </c>
      <c r="U3755" s="72">
        <f>+R3755-T3755</f>
        <v>1590.3999999999999</v>
      </c>
      <c r="V3755" s="72">
        <f t="shared" ref="V3755" si="1801">+U3755*0</f>
        <v>0</v>
      </c>
      <c r="W3755" s="72">
        <f>+U3755-V3755</f>
        <v>1590.3999999999999</v>
      </c>
      <c r="X3755" s="72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6702</v>
      </c>
      <c r="C3756" s="11" t="s">
        <v>6703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2">
        <f>L3756*O3756</f>
        <v>1036</v>
      </c>
      <c r="S3756" s="72">
        <v>0</v>
      </c>
      <c r="T3756" s="72">
        <f t="shared" ref="T3756:T3757" si="1802">L3756*S3756</f>
        <v>0</v>
      </c>
      <c r="U3756" s="72">
        <f>R3756-T3756</f>
        <v>1036</v>
      </c>
      <c r="V3756" s="72">
        <f>U3756*0</f>
        <v>0</v>
      </c>
      <c r="W3756" s="72">
        <f>U3756-V3756</f>
        <v>1036</v>
      </c>
      <c r="X3756" s="72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6704</v>
      </c>
      <c r="C3757" s="11" t="s">
        <v>6705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2">
        <f>L3757*O3757</f>
        <v>1010.5</v>
      </c>
      <c r="S3757" s="72">
        <v>0</v>
      </c>
      <c r="T3757" s="72">
        <f t="shared" si="1802"/>
        <v>0</v>
      </c>
      <c r="U3757" s="72">
        <f>R3757-T3757</f>
        <v>1010.5</v>
      </c>
      <c r="V3757" s="72">
        <f>U3757*0</f>
        <v>0</v>
      </c>
      <c r="W3757" s="72">
        <f>U3757-V3757</f>
        <v>1010.5</v>
      </c>
      <c r="X3757" s="72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6706</v>
      </c>
      <c r="C3758" s="11" t="s">
        <v>6707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4430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2">
        <f t="shared" ref="R3758" si="1803">+L3758*O3758</f>
        <v>1663.36</v>
      </c>
      <c r="S3758" s="72">
        <v>0</v>
      </c>
      <c r="T3758" s="72">
        <f t="shared" ref="T3758" si="1804">+L3758*S3758</f>
        <v>0</v>
      </c>
      <c r="U3758" s="72">
        <f t="shared" ref="U3758" si="1805">+R3758-T3758</f>
        <v>1663.36</v>
      </c>
      <c r="V3758" s="72">
        <f>+U3758*1</f>
        <v>1663.36</v>
      </c>
      <c r="W3758" s="72">
        <f t="shared" ref="W3758" si="1806">+U3758-V3758</f>
        <v>0</v>
      </c>
      <c r="X3758" s="72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4341</v>
      </c>
      <c r="C3759" s="11" t="s">
        <v>6708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2">
        <f>+L3759*O3759</f>
        <v>1704</v>
      </c>
      <c r="S3759" s="72">
        <v>0</v>
      </c>
      <c r="T3759" s="72">
        <f>+L3759*S3759</f>
        <v>0</v>
      </c>
      <c r="U3759" s="72">
        <f>+R3759-T3759</f>
        <v>1704</v>
      </c>
      <c r="V3759" s="72">
        <f t="shared" ref="V3759" si="1807">+U3759*0</f>
        <v>0</v>
      </c>
      <c r="W3759" s="72">
        <f>+U3759-V3759</f>
        <v>1704</v>
      </c>
      <c r="X3759" s="72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6709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4429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2">
        <f>L3760*O3760</f>
        <v>3691.8399999999997</v>
      </c>
      <c r="S3760" s="72">
        <v>38</v>
      </c>
      <c r="T3760" s="72">
        <f>L3760*S3760</f>
        <v>1690.2399999999998</v>
      </c>
      <c r="U3760" s="72">
        <f>R3760-T3760</f>
        <v>2001.6</v>
      </c>
      <c r="V3760" s="72">
        <f>U3760*1</f>
        <v>2001.6</v>
      </c>
      <c r="W3760" s="72">
        <f>U3760-V3760</f>
        <v>0</v>
      </c>
      <c r="X3760" s="72">
        <f>L3760*37</f>
        <v>1645.76</v>
      </c>
      <c r="Y3760" s="73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6710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4430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2">
        <f t="shared" ref="R3761" si="1808">+L3761*O3761</f>
        <v>1597.12</v>
      </c>
      <c r="S3761" s="72">
        <v>0</v>
      </c>
      <c r="T3761" s="72">
        <f t="shared" ref="T3761" si="1809">+L3761*S3761</f>
        <v>0</v>
      </c>
      <c r="U3761" s="72">
        <f t="shared" ref="U3761" si="1810">+R3761-T3761</f>
        <v>1597.12</v>
      </c>
      <c r="V3761" s="72">
        <f>+U3761*1</f>
        <v>1597.12</v>
      </c>
      <c r="W3761" s="72">
        <f t="shared" ref="W3761" si="1811">+U3761-V3761</f>
        <v>0</v>
      </c>
      <c r="X3761" s="72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6711</v>
      </c>
      <c r="D3762" s="11">
        <v>18320</v>
      </c>
      <c r="E3762" s="11" t="s">
        <v>1207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2">
        <f>M3762*P3762</f>
        <v>1050</v>
      </c>
      <c r="S3762" s="72">
        <v>0</v>
      </c>
      <c r="T3762" s="72">
        <f>M3762*S3762</f>
        <v>0</v>
      </c>
      <c r="U3762" s="72">
        <f>R3762-T3762</f>
        <v>1050</v>
      </c>
      <c r="V3762" s="72">
        <f>U3762*0</f>
        <v>0</v>
      </c>
      <c r="W3762" s="72">
        <f>U3762-V3762</f>
        <v>1050</v>
      </c>
      <c r="X3762" s="72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6706</v>
      </c>
      <c r="C3763" s="11" t="s">
        <v>6712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4453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2">
        <f t="shared" ref="R3763:R3765" si="1813">+L3763*O3763</f>
        <v>1598.96</v>
      </c>
      <c r="S3763" s="72">
        <v>0</v>
      </c>
      <c r="T3763" s="72">
        <f>+L3763*S3763</f>
        <v>0</v>
      </c>
      <c r="U3763" s="72">
        <f>+R3763-T3763</f>
        <v>1598.96</v>
      </c>
      <c r="V3763" s="72">
        <f>+U3763*1</f>
        <v>1598.96</v>
      </c>
      <c r="W3763" s="72">
        <f>+U3763-V3763</f>
        <v>0</v>
      </c>
      <c r="X3763" s="72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6713</v>
      </c>
      <c r="C3764" s="11" t="s">
        <v>6714</v>
      </c>
      <c r="D3764" s="11">
        <v>18322</v>
      </c>
      <c r="E3764" s="11" t="s">
        <v>2133</v>
      </c>
      <c r="F3764" s="11" t="s">
        <v>26</v>
      </c>
      <c r="G3764" s="11">
        <v>112496</v>
      </c>
      <c r="H3764" s="12" t="s">
        <v>4453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2">
        <f t="shared" si="1813"/>
        <v>1511.84</v>
      </c>
      <c r="S3764" s="72">
        <v>0</v>
      </c>
      <c r="T3764" s="72">
        <f>+L3764*S3764</f>
        <v>0</v>
      </c>
      <c r="U3764" s="72">
        <f>+R3764-T3764</f>
        <v>1511.84</v>
      </c>
      <c r="V3764" s="72">
        <f>+U3764*1</f>
        <v>1511.84</v>
      </c>
      <c r="W3764" s="72">
        <f>+U3764-V3764</f>
        <v>0</v>
      </c>
      <c r="X3764" s="72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5435</v>
      </c>
      <c r="C3765" s="11" t="s">
        <v>6715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4453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2">
        <f t="shared" si="1813"/>
        <v>1617</v>
      </c>
      <c r="S3765" s="72">
        <v>0</v>
      </c>
      <c r="T3765" s="72">
        <f>+L3765*S3765</f>
        <v>0</v>
      </c>
      <c r="U3765" s="72">
        <f t="shared" ref="U3765:U3766" si="1814">+R3765-T3765</f>
        <v>1617</v>
      </c>
      <c r="V3765" s="72">
        <f>+U3765*1</f>
        <v>1617</v>
      </c>
      <c r="W3765" s="72">
        <f t="shared" ref="W3765:W3766" si="1815">+U3765-V3765</f>
        <v>0</v>
      </c>
      <c r="X3765" s="72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6716</v>
      </c>
      <c r="C3766" s="11" t="s">
        <v>6717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2">
        <f>(L3766*O3766)-Q3766</f>
        <v>143.6</v>
      </c>
      <c r="S3766" s="72">
        <v>0</v>
      </c>
      <c r="T3766" s="72">
        <f t="shared" ref="T3766" si="1816">+L3766*S3766</f>
        <v>0</v>
      </c>
      <c r="U3766" s="72">
        <f t="shared" si="1814"/>
        <v>143.6</v>
      </c>
      <c r="V3766" s="72">
        <f t="shared" ref="V3766" si="1817">+U3766*0</f>
        <v>0</v>
      </c>
      <c r="W3766" s="72">
        <f t="shared" si="1815"/>
        <v>143.6</v>
      </c>
      <c r="X3766" s="72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6297</v>
      </c>
      <c r="C3767" s="11" t="s">
        <v>6718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2">
        <f>M3767*P3767</f>
        <v>1680</v>
      </c>
      <c r="S3767" s="72">
        <v>0</v>
      </c>
      <c r="T3767" s="72">
        <f>M3767*S3767</f>
        <v>0</v>
      </c>
      <c r="U3767" s="72">
        <f>R3767-T3767</f>
        <v>1680</v>
      </c>
      <c r="V3767" s="72">
        <f>U3767*0</f>
        <v>0</v>
      </c>
      <c r="W3767" s="72">
        <f>+U3767-V3767</f>
        <v>1680</v>
      </c>
      <c r="X3767" s="72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6719</v>
      </c>
      <c r="C3768" s="11" t="s">
        <v>6720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4430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2">
        <f>+L3768*O3768</f>
        <v>1426.5</v>
      </c>
      <c r="S3768" s="72">
        <v>0</v>
      </c>
      <c r="T3768" s="72">
        <f>+L3768*S3768</f>
        <v>0</v>
      </c>
      <c r="U3768" s="72">
        <f t="shared" ref="U3768:U3769" si="1818">+R3768-T3768</f>
        <v>1426.5</v>
      </c>
      <c r="V3768" s="72">
        <f>+U3768*1</f>
        <v>1426.5</v>
      </c>
      <c r="W3768" s="72">
        <f t="shared" ref="W3768:W3769" si="1819">+U3768-V3768</f>
        <v>0</v>
      </c>
      <c r="X3768" s="72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5352</v>
      </c>
      <c r="C3769" s="11" t="s">
        <v>6721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2">
        <f>(L3769*O3769)-Q3769</f>
        <v>446</v>
      </c>
      <c r="S3769" s="72">
        <v>0</v>
      </c>
      <c r="T3769" s="72">
        <f t="shared" ref="T3769" si="1820">+L3769*S3769</f>
        <v>0</v>
      </c>
      <c r="U3769" s="72">
        <f t="shared" si="1818"/>
        <v>446</v>
      </c>
      <c r="V3769" s="72">
        <f t="shared" ref="V3769:V3770" si="1821">+U3769*0</f>
        <v>0</v>
      </c>
      <c r="W3769" s="72">
        <f t="shared" si="1819"/>
        <v>446</v>
      </c>
      <c r="X3769" s="72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1675</v>
      </c>
      <c r="C3770" s="11" t="s">
        <v>6722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2">
        <f>+L3770*O3770</f>
        <v>1483.3000000000002</v>
      </c>
      <c r="S3770" s="72">
        <v>0</v>
      </c>
      <c r="T3770" s="72">
        <f>+L3770*S3770</f>
        <v>0</v>
      </c>
      <c r="U3770" s="72">
        <f>+R3770-T3770</f>
        <v>1483.3000000000002</v>
      </c>
      <c r="V3770" s="72">
        <f t="shared" si="1821"/>
        <v>0</v>
      </c>
      <c r="W3770" s="72">
        <f>+U3770-V3770</f>
        <v>1483.3000000000002</v>
      </c>
      <c r="X3770" s="72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6457</v>
      </c>
      <c r="C3771" s="11" t="s">
        <v>6723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2">
        <f>M3771*P3771</f>
        <v>1450</v>
      </c>
      <c r="S3771" s="72">
        <v>0</v>
      </c>
      <c r="T3771" s="72">
        <f>M3771*S3771</f>
        <v>0</v>
      </c>
      <c r="U3771" s="72">
        <f>R3771-T3771</f>
        <v>1450</v>
      </c>
      <c r="V3771" s="72">
        <f t="shared" ref="V3771" si="1822">U3771*0</f>
        <v>0</v>
      </c>
      <c r="W3771" s="72">
        <f t="shared" ref="W3771" si="1823">U3771-V3771</f>
        <v>1450</v>
      </c>
      <c r="X3771" s="72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6724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2">
        <f>+L3772*O3772</f>
        <v>1490.3</v>
      </c>
      <c r="S3772" s="72">
        <v>0</v>
      </c>
      <c r="T3772" s="72">
        <f>+L3772*S3772</f>
        <v>0</v>
      </c>
      <c r="U3772" s="72">
        <f>+R3772-T3772</f>
        <v>1490.3</v>
      </c>
      <c r="V3772" s="72">
        <f t="shared" ref="V3772" si="1824">+U3772*0</f>
        <v>0</v>
      </c>
      <c r="W3772" s="72">
        <f>+U3772-V3772</f>
        <v>1490.3</v>
      </c>
      <c r="X3772" s="72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1434</v>
      </c>
      <c r="C3773" s="11" t="s">
        <v>6725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2">
        <f>M3773*P3773</f>
        <v>1500</v>
      </c>
      <c r="S3773" s="72">
        <v>0</v>
      </c>
      <c r="T3773" s="72">
        <f>M3773*S3773</f>
        <v>0</v>
      </c>
      <c r="U3773" s="72">
        <f>R3773-T3773</f>
        <v>1500</v>
      </c>
      <c r="V3773" s="72">
        <f>U3773*0</f>
        <v>0</v>
      </c>
      <c r="W3773" s="72">
        <f>U3773-V3773</f>
        <v>1500</v>
      </c>
      <c r="X3773" s="72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3730</v>
      </c>
      <c r="C3774" s="11" t="s">
        <v>6726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4430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2">
        <f t="shared" ref="R3774" si="1825">+L3774*O3774</f>
        <v>1607.2399999999998</v>
      </c>
      <c r="S3774" s="72">
        <v>0</v>
      </c>
      <c r="T3774" s="72">
        <f t="shared" ref="T3774" si="1826">+L3774*S3774</f>
        <v>0</v>
      </c>
      <c r="U3774" s="72">
        <f t="shared" ref="U3774" si="1827">+R3774-T3774</f>
        <v>1607.2399999999998</v>
      </c>
      <c r="V3774" s="72">
        <f>+U3774*1</f>
        <v>1607.2399999999998</v>
      </c>
      <c r="W3774" s="72">
        <f t="shared" ref="W3774" si="1828">+U3774-V3774</f>
        <v>0</v>
      </c>
      <c r="X3774" s="72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1649</v>
      </c>
      <c r="C3775" s="11" t="s">
        <v>6727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2">
        <f>L3775*O3775</f>
        <v>1041.5</v>
      </c>
      <c r="S3775" s="72">
        <v>0</v>
      </c>
      <c r="T3775" s="72">
        <f t="shared" ref="T3775" si="1829">L3775*S3775</f>
        <v>0</v>
      </c>
      <c r="U3775" s="72">
        <f>R3775-T3775</f>
        <v>1041.5</v>
      </c>
      <c r="V3775" s="72">
        <f>U3775*0</f>
        <v>0</v>
      </c>
      <c r="W3775" s="72">
        <f>U3775-V3775</f>
        <v>1041.5</v>
      </c>
      <c r="X3775" s="72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1171</v>
      </c>
      <c r="C3776" s="11" t="s">
        <v>6728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4430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2">
        <f>+L3776*O3776</f>
        <v>1527.3</v>
      </c>
      <c r="S3776" s="72">
        <v>0</v>
      </c>
      <c r="T3776" s="72">
        <f>+L3776*S3776</f>
        <v>0</v>
      </c>
      <c r="U3776" s="72">
        <f t="shared" ref="U3776" si="1830">+R3776-T3776</f>
        <v>1527.3</v>
      </c>
      <c r="V3776" s="72">
        <f>+U3776*1</f>
        <v>1527.3</v>
      </c>
      <c r="W3776" s="72">
        <f t="shared" ref="W3776" si="1831">+U3776-V3776</f>
        <v>0</v>
      </c>
      <c r="X3776" s="72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3741</v>
      </c>
      <c r="C3777" s="11" t="s">
        <v>6729</v>
      </c>
      <c r="D3777" s="11">
        <v>18335</v>
      </c>
      <c r="E3777" s="11" t="s">
        <v>6142</v>
      </c>
      <c r="F3777" s="11" t="s">
        <v>26</v>
      </c>
      <c r="G3777" s="11">
        <v>2965</v>
      </c>
      <c r="H3777" s="12" t="s">
        <v>4449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2">
        <f>L3777*O3777</f>
        <v>695.36</v>
      </c>
      <c r="S3777" s="72">
        <v>0</v>
      </c>
      <c r="T3777" s="72">
        <f>L3777*S3777</f>
        <v>0</v>
      </c>
      <c r="U3777" s="72">
        <f>R3777-T3777</f>
        <v>695.36</v>
      </c>
      <c r="V3777" s="72">
        <f>U3777*1</f>
        <v>695.36</v>
      </c>
      <c r="W3777" s="72">
        <f>U3777-V3777</f>
        <v>0</v>
      </c>
      <c r="X3777" s="72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6730</v>
      </c>
      <c r="C3778" s="11" t="s">
        <v>6731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2">
        <f>+L3778*O3778</f>
        <v>3834.7400000000002</v>
      </c>
      <c r="S3778" s="72">
        <v>40</v>
      </c>
      <c r="T3778" s="72">
        <f>L3778*S3778</f>
        <v>1685.6</v>
      </c>
      <c r="U3778" s="72">
        <f t="shared" ref="U3778" si="1832">R3778-T3778</f>
        <v>2149.1400000000003</v>
      </c>
      <c r="V3778" s="72">
        <f>U3778*1</f>
        <v>2149.1400000000003</v>
      </c>
      <c r="W3778" s="72">
        <f t="shared" ref="W3778" si="1833">U3778-V3778</f>
        <v>0</v>
      </c>
      <c r="X3778" s="72">
        <f>L3778*37</f>
        <v>1559.18</v>
      </c>
      <c r="Y3778" s="73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5428</v>
      </c>
      <c r="C3779" s="11" t="s">
        <v>6732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2">
        <f>+L3779*O3779</f>
        <v>1707.2</v>
      </c>
      <c r="S3779" s="72">
        <v>0</v>
      </c>
      <c r="T3779" s="72">
        <f>+L3779*S3779</f>
        <v>0</v>
      </c>
      <c r="U3779" s="72">
        <f>+R3779-T3779</f>
        <v>1707.2</v>
      </c>
      <c r="V3779" s="72">
        <f t="shared" ref="V3779" si="1834">+U3779*0</f>
        <v>0</v>
      </c>
      <c r="W3779" s="72">
        <f>+U3779-V3779</f>
        <v>1707.2</v>
      </c>
      <c r="X3779" s="72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6733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2">
        <f>+M3780*P3780</f>
        <v>504</v>
      </c>
      <c r="S3780" s="72">
        <v>0</v>
      </c>
      <c r="T3780" s="72">
        <f>+M3780*S3780</f>
        <v>0</v>
      </c>
      <c r="U3780" s="72">
        <f t="shared" ref="U3780:U3783" si="1836">+R3780-T3780</f>
        <v>504</v>
      </c>
      <c r="V3780" s="72">
        <f>+U3780*0</f>
        <v>0</v>
      </c>
      <c r="W3780" s="72">
        <f t="shared" ref="W3780:W3783" si="1837">+U3780-V3780</f>
        <v>504</v>
      </c>
      <c r="X3780" s="72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6600</v>
      </c>
      <c r="C3781" s="11" t="s">
        <v>6734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4430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2">
        <f>+L3781*O3781</f>
        <v>1595.7</v>
      </c>
      <c r="S3781" s="72">
        <v>0</v>
      </c>
      <c r="T3781" s="72">
        <f>+L3781*S3781</f>
        <v>0</v>
      </c>
      <c r="U3781" s="72">
        <f t="shared" si="1836"/>
        <v>1595.7</v>
      </c>
      <c r="V3781" s="72">
        <f>+U3781*1</f>
        <v>1595.7</v>
      </c>
      <c r="W3781" s="72">
        <f t="shared" si="1837"/>
        <v>0</v>
      </c>
      <c r="X3781" s="72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5437</v>
      </c>
      <c r="C3782" s="11" t="s">
        <v>6735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2">
        <f>+M3782*P3782</f>
        <v>576</v>
      </c>
      <c r="S3782" s="72">
        <v>0</v>
      </c>
      <c r="T3782" s="72">
        <f>+M3782*S3782</f>
        <v>0</v>
      </c>
      <c r="U3782" s="72">
        <f t="shared" si="1836"/>
        <v>576</v>
      </c>
      <c r="V3782" s="72">
        <f>+U3782*0</f>
        <v>0</v>
      </c>
      <c r="W3782" s="72">
        <f t="shared" si="1837"/>
        <v>576</v>
      </c>
      <c r="X3782" s="72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6736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2">
        <f>+M3783*P3783</f>
        <v>576</v>
      </c>
      <c r="S3783" s="72">
        <v>0</v>
      </c>
      <c r="T3783" s="72">
        <f>+M3783*S3783</f>
        <v>0</v>
      </c>
      <c r="U3783" s="72">
        <f t="shared" si="1836"/>
        <v>576</v>
      </c>
      <c r="V3783" s="72">
        <f>+U3783*0</f>
        <v>0</v>
      </c>
      <c r="W3783" s="72">
        <f t="shared" si="1837"/>
        <v>576</v>
      </c>
      <c r="X3783" s="72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6737</v>
      </c>
      <c r="D3784" s="11">
        <v>18342</v>
      </c>
      <c r="E3784" s="11" t="s">
        <v>1207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2">
        <f>M3784*P3784</f>
        <v>1500</v>
      </c>
      <c r="S3784" s="72">
        <v>0</v>
      </c>
      <c r="T3784" s="72">
        <f>M3784*S3784</f>
        <v>0</v>
      </c>
      <c r="U3784" s="72">
        <f>R3784-T3784</f>
        <v>1500</v>
      </c>
      <c r="V3784" s="72">
        <f>U3784*0</f>
        <v>0</v>
      </c>
      <c r="W3784" s="72">
        <f>U3784-V3784</f>
        <v>1500</v>
      </c>
      <c r="X3784" s="72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6738</v>
      </c>
      <c r="C3785" s="11" t="s">
        <v>6739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4453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2">
        <f t="shared" ref="R3785" si="1838">+L3785*O3785</f>
        <v>1598.08</v>
      </c>
      <c r="S3785" s="72">
        <v>0</v>
      </c>
      <c r="T3785" s="72">
        <f>+L3785*S3785</f>
        <v>0</v>
      </c>
      <c r="U3785" s="72">
        <f>+R3785-T3785</f>
        <v>1598.08</v>
      </c>
      <c r="V3785" s="72">
        <f>+U3785*1</f>
        <v>1598.08</v>
      </c>
      <c r="W3785" s="72">
        <f>+U3785-V3785</f>
        <v>0</v>
      </c>
      <c r="X3785" s="72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4193</v>
      </c>
      <c r="C3786" s="11" t="s">
        <v>6740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6741</v>
      </c>
      <c r="K3786" s="12" t="s">
        <v>6742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6587</v>
      </c>
      <c r="C3787" s="11" t="s">
        <v>6743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2">
        <f>M3787*P3787</f>
        <v>1000</v>
      </c>
      <c r="S3787" s="72">
        <v>0</v>
      </c>
      <c r="T3787" s="72">
        <f>M3787*S3787</f>
        <v>0</v>
      </c>
      <c r="U3787" s="72">
        <f>R3787-T3787</f>
        <v>1000</v>
      </c>
      <c r="V3787" s="72">
        <f>U3787*0</f>
        <v>0</v>
      </c>
      <c r="W3787" s="72">
        <f>U3787-V3787</f>
        <v>1000</v>
      </c>
      <c r="X3787" s="72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6744</v>
      </c>
      <c r="C3788" s="11" t="s">
        <v>6745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4430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2">
        <f>+L3788*O3788</f>
        <v>1587.6000000000001</v>
      </c>
      <c r="S3788" s="72">
        <v>0</v>
      </c>
      <c r="T3788" s="72">
        <f>+L3788*S3788</f>
        <v>0</v>
      </c>
      <c r="U3788" s="72">
        <f t="shared" ref="U3788" si="1840">+R3788-T3788</f>
        <v>1587.6000000000001</v>
      </c>
      <c r="V3788" s="72">
        <f>+U3788*1</f>
        <v>1587.6000000000001</v>
      </c>
      <c r="W3788" s="72">
        <f t="shared" ref="W3788" si="1841">+U3788-V3788</f>
        <v>0</v>
      </c>
      <c r="X3788" s="72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6746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2">
        <f>M3789*P3789</f>
        <v>1600</v>
      </c>
      <c r="S3789" s="72">
        <v>0</v>
      </c>
      <c r="T3789" s="72">
        <f>M3789*S3789</f>
        <v>0</v>
      </c>
      <c r="U3789" s="72">
        <f>R3789-T3789</f>
        <v>1600</v>
      </c>
      <c r="V3789" s="72">
        <f t="shared" ref="V3789" si="1842">U3789*0</f>
        <v>0</v>
      </c>
      <c r="W3789" s="72">
        <f t="shared" ref="W3789" si="1843">U3789-V3789</f>
        <v>1600</v>
      </c>
      <c r="X3789" s="72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6189</v>
      </c>
      <c r="C3790" s="11" t="s">
        <v>6747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4430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2">
        <f t="shared" ref="R3790" si="1844">+L3790*O3790</f>
        <v>1615.52</v>
      </c>
      <c r="S3790" s="72">
        <v>0</v>
      </c>
      <c r="T3790" s="72">
        <f t="shared" ref="T3790" si="1845">+L3790*S3790</f>
        <v>0</v>
      </c>
      <c r="U3790" s="72">
        <f t="shared" ref="U3790" si="1846">+R3790-T3790</f>
        <v>1615.52</v>
      </c>
      <c r="V3790" s="72">
        <f>+U3790*1</f>
        <v>1615.52</v>
      </c>
      <c r="W3790" s="72">
        <f t="shared" ref="W3790" si="1847">+U3790-V3790</f>
        <v>0</v>
      </c>
      <c r="X3790" s="72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6748</v>
      </c>
      <c r="C3791" s="11" t="s">
        <v>6749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4429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2">
        <f t="shared" ref="R3791" si="1848">L3791*O3791</f>
        <v>3706</v>
      </c>
      <c r="S3791" s="72">
        <v>38</v>
      </c>
      <c r="T3791" s="72">
        <f t="shared" ref="T3791" si="1849">L3791*S3791</f>
        <v>1656.8</v>
      </c>
      <c r="U3791" s="72">
        <f t="shared" ref="U3791" si="1850">R3791-T3791</f>
        <v>2049.1999999999998</v>
      </c>
      <c r="V3791" s="72">
        <f>U3791*1</f>
        <v>2049.1999999999998</v>
      </c>
      <c r="W3791" s="72">
        <f t="shared" ref="W3791" si="1851">U3791-V3791</f>
        <v>0</v>
      </c>
      <c r="X3791" s="72">
        <f>L3791*36</f>
        <v>1569.6000000000001</v>
      </c>
      <c r="Y3791" s="73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6750</v>
      </c>
      <c r="C3792" s="11" t="s">
        <v>6751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6741</v>
      </c>
      <c r="K3792" s="12" t="s">
        <v>6742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742</v>
      </c>
      <c r="C3793" s="11" t="s">
        <v>6752</v>
      </c>
      <c r="D3793" s="11">
        <v>18351</v>
      </c>
      <c r="E3793" s="11" t="s">
        <v>5110</v>
      </c>
      <c r="F3793" s="11" t="s">
        <v>26</v>
      </c>
      <c r="G3793" s="11">
        <v>78108</v>
      </c>
      <c r="H3793" s="12" t="s">
        <v>4455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2">
        <f>+L3793*O3793</f>
        <v>1864.9</v>
      </c>
      <c r="S3793" s="72">
        <v>0</v>
      </c>
      <c r="T3793" s="72">
        <f>+L3793*S3793</f>
        <v>0</v>
      </c>
      <c r="U3793" s="72">
        <f>+R3793-T3793</f>
        <v>1864.9</v>
      </c>
      <c r="V3793" s="72">
        <f>+U3793*0.75</f>
        <v>1398.6750000000002</v>
      </c>
      <c r="W3793" s="72">
        <f>+U3793-V3793</f>
        <v>466.22499999999991</v>
      </c>
      <c r="X3793" s="72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6753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4429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2">
        <f t="shared" ref="R3794" si="1853">L3794*O3794</f>
        <v>3683.5800000000004</v>
      </c>
      <c r="S3794" s="72">
        <v>38</v>
      </c>
      <c r="T3794" s="72">
        <f t="shared" ref="T3794" si="1854">L3794*S3794</f>
        <v>1608.92</v>
      </c>
      <c r="U3794" s="72">
        <f t="shared" ref="U3794" si="1855">R3794-T3794</f>
        <v>2074.6600000000003</v>
      </c>
      <c r="V3794" s="72">
        <f>U3794*1</f>
        <v>2074.6600000000003</v>
      </c>
      <c r="W3794" s="72">
        <f t="shared" ref="W3794" si="1856">U3794-V3794</f>
        <v>0</v>
      </c>
      <c r="X3794" s="72">
        <f>L3794*36</f>
        <v>1524.2400000000002</v>
      </c>
      <c r="Y3794" s="73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6754</v>
      </c>
      <c r="C3795" s="11" t="s">
        <v>6755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4429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2">
        <f>L3795*O3795</f>
        <v>3509.2400000000002</v>
      </c>
      <c r="S3795" s="72">
        <v>38</v>
      </c>
      <c r="T3795" s="72">
        <f>L3795*S3795</f>
        <v>1606.64</v>
      </c>
      <c r="U3795" s="72">
        <f>R3795-T3795</f>
        <v>1902.6000000000001</v>
      </c>
      <c r="V3795" s="72">
        <f>U3795*1</f>
        <v>1902.6000000000001</v>
      </c>
      <c r="W3795" s="72">
        <f>U3795-V3795</f>
        <v>0</v>
      </c>
      <c r="X3795" s="72">
        <f>L3795*36</f>
        <v>1522.08</v>
      </c>
      <c r="Y3795" s="73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6756</v>
      </c>
      <c r="C3796" s="11" t="s">
        <v>6757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4430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2">
        <f>+L3796*O3796</f>
        <v>1478.7</v>
      </c>
      <c r="S3796" s="72">
        <v>0</v>
      </c>
      <c r="T3796" s="72">
        <f>+L3796*S3796</f>
        <v>0</v>
      </c>
      <c r="U3796" s="72">
        <f t="shared" ref="U3796:U3798" si="1857">+R3796-T3796</f>
        <v>1478.7</v>
      </c>
      <c r="V3796" s="72">
        <f>+U3796*1</f>
        <v>1478.7</v>
      </c>
      <c r="W3796" s="72">
        <f t="shared" ref="W3796:W3798" si="1858">+U3796-V3796</f>
        <v>0</v>
      </c>
      <c r="X3796" s="72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6758</v>
      </c>
      <c r="C3797" s="11" t="s">
        <v>6759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4430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2">
        <f t="shared" ref="R3797" si="1860">+L3797*O3797</f>
        <v>1486.72</v>
      </c>
      <c r="S3797" s="72">
        <v>0</v>
      </c>
      <c r="T3797" s="72">
        <f t="shared" ref="T3797:T3798" si="1861">+L3797*S3797</f>
        <v>0</v>
      </c>
      <c r="U3797" s="72">
        <f t="shared" si="1857"/>
        <v>1486.72</v>
      </c>
      <c r="V3797" s="72">
        <f>+U3797*1</f>
        <v>1486.72</v>
      </c>
      <c r="W3797" s="72">
        <f t="shared" si="1858"/>
        <v>0</v>
      </c>
      <c r="X3797" s="72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6760</v>
      </c>
      <c r="C3798" s="11" t="s">
        <v>6761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2">
        <f>(L3798*O3798)-Q3798</f>
        <v>416</v>
      </c>
      <c r="S3798" s="72">
        <v>0</v>
      </c>
      <c r="T3798" s="72">
        <f t="shared" si="1861"/>
        <v>0</v>
      </c>
      <c r="U3798" s="72">
        <f t="shared" si="1857"/>
        <v>416</v>
      </c>
      <c r="V3798" s="72">
        <f t="shared" ref="V3798" si="1862">+U3798*0</f>
        <v>0</v>
      </c>
      <c r="W3798" s="72">
        <f t="shared" si="1858"/>
        <v>416</v>
      </c>
      <c r="X3798" s="72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1786</v>
      </c>
      <c r="C3799" s="11" t="s">
        <v>6762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4455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2">
        <f>+L3799*O3799</f>
        <v>1813.9</v>
      </c>
      <c r="S3799" s="72">
        <v>0</v>
      </c>
      <c r="T3799" s="72">
        <f>+L3799*S3799</f>
        <v>0</v>
      </c>
      <c r="U3799" s="72">
        <f>+R3799-T3799</f>
        <v>1813.9</v>
      </c>
      <c r="V3799" s="72">
        <f>+U3799*0.75</f>
        <v>1360.4250000000002</v>
      </c>
      <c r="W3799" s="72">
        <f>+U3799-V3799</f>
        <v>453.47499999999991</v>
      </c>
      <c r="X3799" s="72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5992</v>
      </c>
      <c r="C3800" s="11" t="s">
        <v>6763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4429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2">
        <f t="shared" ref="R3800" si="1863">L3800*O3800</f>
        <v>3593.1</v>
      </c>
      <c r="S3800" s="72">
        <v>38</v>
      </c>
      <c r="T3800" s="72">
        <f t="shared" ref="T3800" si="1864">L3800*S3800</f>
        <v>1569.3999999999999</v>
      </c>
      <c r="U3800" s="72">
        <f t="shared" ref="U3800" si="1865">R3800-T3800</f>
        <v>2023.7</v>
      </c>
      <c r="V3800" s="72">
        <f>U3800*1</f>
        <v>2023.7</v>
      </c>
      <c r="W3800" s="72">
        <f t="shared" ref="W3800" si="1866">U3800-V3800</f>
        <v>0</v>
      </c>
      <c r="X3800" s="72">
        <f>L3800*36</f>
        <v>1486.8</v>
      </c>
      <c r="Y3800" s="73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5917</v>
      </c>
      <c r="C3801" s="11" t="s">
        <v>6764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2">
        <f>+M3801*P3801</f>
        <v>1600</v>
      </c>
      <c r="S3801" s="72">
        <v>0</v>
      </c>
      <c r="T3801" s="72">
        <f>+M3801*S3801</f>
        <v>0</v>
      </c>
      <c r="U3801" s="72">
        <f t="shared" ref="U3801" si="1867">+R3801-T3801</f>
        <v>1600</v>
      </c>
      <c r="V3801" s="72">
        <f t="shared" ref="V3801" si="1868">+U3801*0</f>
        <v>0</v>
      </c>
      <c r="W3801" s="72">
        <f t="shared" ref="W3801" si="1869">+U3801-V3801</f>
        <v>1600</v>
      </c>
      <c r="X3801" s="72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6765</v>
      </c>
      <c r="C3802" s="11" t="s">
        <v>6766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4429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2">
        <f t="shared" ref="R3802" si="1871">L3802*O3802</f>
        <v>3650.52</v>
      </c>
      <c r="S3802" s="72">
        <v>38</v>
      </c>
      <c r="T3802" s="72">
        <f t="shared" ref="T3802" si="1872">L3802*S3802</f>
        <v>1594.48</v>
      </c>
      <c r="U3802" s="72">
        <f t="shared" ref="U3802" si="1873">R3802-T3802</f>
        <v>2056.04</v>
      </c>
      <c r="V3802" s="72">
        <f>U3802*1</f>
        <v>2056.04</v>
      </c>
      <c r="W3802" s="72">
        <f t="shared" ref="W3802" si="1874">U3802-V3802</f>
        <v>0</v>
      </c>
      <c r="X3802" s="72">
        <f>L3802*36</f>
        <v>1510.56</v>
      </c>
      <c r="Y3802" s="73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6767</v>
      </c>
      <c r="C3803" s="11" t="s">
        <v>6768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2">
        <f>L3803*O3803</f>
        <v>1516.8000000000002</v>
      </c>
      <c r="S3803" s="72">
        <v>0</v>
      </c>
      <c r="T3803" s="72">
        <f>L3803*S3803</f>
        <v>0</v>
      </c>
      <c r="U3803" s="72">
        <f>R3803-T3803</f>
        <v>1516.8000000000002</v>
      </c>
      <c r="V3803" s="72">
        <f>U3803*0</f>
        <v>0</v>
      </c>
      <c r="W3803" s="72">
        <f>U3803-V3803</f>
        <v>1516.8000000000002</v>
      </c>
      <c r="X3803" s="72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6769</v>
      </c>
      <c r="C3804" s="11" t="s">
        <v>6770</v>
      </c>
      <c r="D3804" s="11">
        <v>18362</v>
      </c>
      <c r="E3804" s="11" t="s">
        <v>1207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2">
        <f>M3804*P3804</f>
        <v>1500</v>
      </c>
      <c r="S3804" s="72">
        <v>0</v>
      </c>
      <c r="T3804" s="72">
        <f>M3804*S3804</f>
        <v>0</v>
      </c>
      <c r="U3804" s="72">
        <f>R3804-T3804</f>
        <v>1500</v>
      </c>
      <c r="V3804" s="72">
        <f>U3804*0</f>
        <v>0</v>
      </c>
      <c r="W3804" s="72">
        <f>U3804-V3804</f>
        <v>1500</v>
      </c>
      <c r="X3804" s="72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1514</v>
      </c>
      <c r="C3805" s="11" t="s">
        <v>6771</v>
      </c>
      <c r="D3805" s="11">
        <v>18363</v>
      </c>
      <c r="E3805" s="11" t="s">
        <v>5039</v>
      </c>
      <c r="F3805" s="11" t="s">
        <v>26</v>
      </c>
      <c r="G3805" s="11" t="s">
        <v>26</v>
      </c>
      <c r="H3805" s="12" t="s">
        <v>4429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2">
        <f>L3805*O3805</f>
        <v>3532.48</v>
      </c>
      <c r="S3805" s="72">
        <v>38</v>
      </c>
      <c r="T3805" s="72">
        <f>L3805*S3805</f>
        <v>1617.2800000000002</v>
      </c>
      <c r="U3805" s="72">
        <f>R3805-T3805</f>
        <v>1915.1999999999998</v>
      </c>
      <c r="V3805" s="72">
        <f>U3805*1</f>
        <v>1915.1999999999998</v>
      </c>
      <c r="W3805" s="72">
        <f>U3805-V3805</f>
        <v>0</v>
      </c>
      <c r="X3805" s="72">
        <f>L3805*36</f>
        <v>1532.16</v>
      </c>
      <c r="Y3805" s="73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6772</v>
      </c>
      <c r="C3806" s="11" t="s">
        <v>6773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2">
        <f>M3806*P3806</f>
        <v>1600</v>
      </c>
      <c r="S3806" s="72">
        <v>0</v>
      </c>
      <c r="T3806" s="72">
        <f>M3806*S3806</f>
        <v>0</v>
      </c>
      <c r="U3806" s="72">
        <f>R3806-T3806</f>
        <v>1600</v>
      </c>
      <c r="V3806" s="72">
        <f t="shared" ref="V3806" si="1876">U3806*0</f>
        <v>0</v>
      </c>
      <c r="W3806" s="72">
        <f t="shared" ref="W3806" si="1877">U3806-V3806</f>
        <v>1600</v>
      </c>
      <c r="X3806" s="72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3026</v>
      </c>
      <c r="C3807" s="11" t="s">
        <v>6774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4453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2">
        <f t="shared" ref="R3807" si="1879">+L3807*O3807</f>
        <v>1727.88</v>
      </c>
      <c r="S3807" s="72">
        <v>0</v>
      </c>
      <c r="T3807" s="72">
        <f>+L3807*S3807</f>
        <v>0</v>
      </c>
      <c r="U3807" s="72">
        <f t="shared" ref="U3807" si="1880">+R3807-T3807</f>
        <v>1727.88</v>
      </c>
      <c r="V3807" s="72">
        <f>+U3807*1</f>
        <v>1727.88</v>
      </c>
      <c r="W3807" s="72">
        <f t="shared" ref="W3807" si="1881">+U3807-V3807</f>
        <v>0</v>
      </c>
      <c r="X3807" s="72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6775</v>
      </c>
      <c r="C3808" s="11" t="s">
        <v>6776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2">
        <f t="shared" ref="R3808" si="1883">L3808*O3808</f>
        <v>1051.5</v>
      </c>
      <c r="S3808" s="72">
        <v>0</v>
      </c>
      <c r="T3808" s="72">
        <f t="shared" ref="T3808" si="1884">L3808*S3808</f>
        <v>0</v>
      </c>
      <c r="U3808" s="72">
        <f t="shared" ref="U3808" si="1885">R3808-T3808</f>
        <v>1051.5</v>
      </c>
      <c r="V3808" s="72">
        <f>U3808*0</f>
        <v>0</v>
      </c>
      <c r="W3808" s="72">
        <f t="shared" ref="W3808" si="1886">U3808-V3808</f>
        <v>1051.5</v>
      </c>
      <c r="X3808" s="72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3509</v>
      </c>
      <c r="C3809" s="11" t="s">
        <v>6777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2">
        <f>(L3809*O3809)-Q3809</f>
        <v>788</v>
      </c>
      <c r="S3809" s="72">
        <v>0</v>
      </c>
      <c r="T3809" s="72">
        <f t="shared" ref="T3809" si="1887">+L3809*S3809</f>
        <v>0</v>
      </c>
      <c r="U3809" s="72">
        <f t="shared" ref="U3809" si="1888">+R3809-T3809</f>
        <v>788</v>
      </c>
      <c r="V3809" s="72">
        <f t="shared" ref="V3809" si="1889">+U3809*0</f>
        <v>0</v>
      </c>
      <c r="W3809" s="72">
        <f t="shared" ref="W3809" si="1890">+U3809-V3809</f>
        <v>788</v>
      </c>
      <c r="X3809" s="72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5385</v>
      </c>
      <c r="C3810" s="11" t="s">
        <v>6778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4429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2">
        <f t="shared" ref="R3810" si="1891">L3810*O3810</f>
        <v>3634.6</v>
      </c>
      <c r="S3810" s="72">
        <v>38</v>
      </c>
      <c r="T3810" s="72">
        <f t="shared" ref="T3810" si="1892">L3810*S3810</f>
        <v>1624.8799999999999</v>
      </c>
      <c r="U3810" s="72">
        <f t="shared" ref="U3810" si="1893">R3810-T3810</f>
        <v>2009.72</v>
      </c>
      <c r="V3810" s="72">
        <f>U3810*1</f>
        <v>2009.72</v>
      </c>
      <c r="W3810" s="72">
        <f t="shared" ref="W3810" si="1894">U3810-V3810</f>
        <v>0</v>
      </c>
      <c r="X3810" s="72">
        <f>L3810*36</f>
        <v>1539.36</v>
      </c>
      <c r="Y3810" s="73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6779</v>
      </c>
      <c r="C3811" s="11" t="s">
        <v>6780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4453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2">
        <f t="shared" ref="R3811" si="1895">+L3811*O3811</f>
        <v>1738.8</v>
      </c>
      <c r="S3811" s="72">
        <v>0</v>
      </c>
      <c r="T3811" s="72">
        <f>+L3811*S3811</f>
        <v>0</v>
      </c>
      <c r="U3811" s="72">
        <f t="shared" ref="U3811" si="1896">+R3811-T3811</f>
        <v>1738.8</v>
      </c>
      <c r="V3811" s="72">
        <f>+U3811*1</f>
        <v>1738.8</v>
      </c>
      <c r="W3811" s="72">
        <f t="shared" ref="W3811" si="1897">+U3811-V3811</f>
        <v>0</v>
      </c>
      <c r="X3811" s="72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6781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4430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2">
        <f>L3812*O3812</f>
        <v>3747.04</v>
      </c>
      <c r="S3812" s="72">
        <v>43</v>
      </c>
      <c r="T3812" s="72">
        <f>L3812*S3812</f>
        <v>1830.9399999999998</v>
      </c>
      <c r="U3812" s="72">
        <f>R3812-T3812</f>
        <v>1916.1000000000001</v>
      </c>
      <c r="V3812" s="72">
        <f>U3812*1</f>
        <v>1916.1000000000001</v>
      </c>
      <c r="W3812" s="72">
        <f>U3812-V3812</f>
        <v>0</v>
      </c>
      <c r="X3812" s="72">
        <f>L3812*42</f>
        <v>1788.36</v>
      </c>
      <c r="Y3812" s="14">
        <f>T3812-X3812</f>
        <v>42.579999999999927</v>
      </c>
      <c r="Z3812" s="12" t="s">
        <v>141</v>
      </c>
      <c r="AA3812" s="12" t="s">
        <v>6037</v>
      </c>
    </row>
    <row r="3813" spans="1:27" x14ac:dyDescent="0.25">
      <c r="A3813" s="10">
        <v>45715</v>
      </c>
      <c r="B3813" s="11" t="s">
        <v>4113</v>
      </c>
      <c r="C3813" s="11" t="s">
        <v>6782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4430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2">
        <f>L3813*O3813</f>
        <v>3588.6400000000003</v>
      </c>
      <c r="S3813" s="72">
        <v>43</v>
      </c>
      <c r="T3813" s="72">
        <f>L3813*S3813</f>
        <v>1753.54</v>
      </c>
      <c r="U3813" s="72">
        <f>R3813-T3813</f>
        <v>1835.1000000000004</v>
      </c>
      <c r="V3813" s="72">
        <f>U3813*1</f>
        <v>1835.1000000000004</v>
      </c>
      <c r="W3813" s="72">
        <f>U3813-V3813</f>
        <v>0</v>
      </c>
      <c r="X3813" s="72">
        <f>L3813*42</f>
        <v>1712.76</v>
      </c>
      <c r="Y3813" s="14">
        <f>T3813-X3813</f>
        <v>40.779999999999973</v>
      </c>
      <c r="Z3813" s="12" t="s">
        <v>141</v>
      </c>
      <c r="AA3813" s="12" t="s">
        <v>6037</v>
      </c>
    </row>
  </sheetData>
  <autoFilter ref="A1:AA3813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topLeftCell="A75" workbookViewId="0">
      <selection activeCell="B53" sqref="B53:B103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910</v>
      </c>
      <c r="G2" s="51" t="s">
        <v>4406</v>
      </c>
    </row>
    <row r="3" spans="1:7" hidden="1" x14ac:dyDescent="0.25">
      <c r="A3" s="20" t="s">
        <v>4453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1016</v>
      </c>
      <c r="G3" s="51" t="s">
        <v>4407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903</v>
      </c>
      <c r="G4" s="51" t="s">
        <v>4433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903</v>
      </c>
      <c r="G5" s="51" t="s">
        <v>4434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903</v>
      </c>
      <c r="G6" s="51" t="s">
        <v>4434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903</v>
      </c>
      <c r="G7" s="51" t="s">
        <v>4434</v>
      </c>
    </row>
    <row r="8" spans="1:7" hidden="1" x14ac:dyDescent="0.25">
      <c r="A8" s="20" t="s">
        <v>4451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903</v>
      </c>
      <c r="G8" s="51" t="s">
        <v>4435</v>
      </c>
    </row>
    <row r="9" spans="1:7" hidden="1" x14ac:dyDescent="0.25">
      <c r="A9" s="20" t="s">
        <v>4452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910</v>
      </c>
      <c r="G9" s="51" t="s">
        <v>4408</v>
      </c>
    </row>
    <row r="10" spans="1:7" hidden="1" x14ac:dyDescent="0.25">
      <c r="A10" s="20" t="s">
        <v>4452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910</v>
      </c>
      <c r="G10" s="51" t="s">
        <v>4409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910</v>
      </c>
      <c r="G11" s="51" t="s">
        <v>4406</v>
      </c>
    </row>
    <row r="12" spans="1:7" hidden="1" x14ac:dyDescent="0.25">
      <c r="A12" s="20" t="s">
        <v>4455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903</v>
      </c>
      <c r="G12" s="51" t="s">
        <v>4436</v>
      </c>
    </row>
    <row r="13" spans="1:7" hidden="1" x14ac:dyDescent="0.25">
      <c r="A13" s="20" t="s">
        <v>4429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1016</v>
      </c>
      <c r="G13" s="51" t="s">
        <v>4410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903</v>
      </c>
      <c r="G14" s="51" t="s">
        <v>4437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910</v>
      </c>
      <c r="G15" s="51" t="s">
        <v>4406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903</v>
      </c>
      <c r="G16" s="51" t="s">
        <v>4438</v>
      </c>
    </row>
    <row r="17" spans="1:7" hidden="1" x14ac:dyDescent="0.25">
      <c r="A17" s="20" t="s">
        <v>4430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1016</v>
      </c>
      <c r="G17" s="51" t="s">
        <v>4411</v>
      </c>
    </row>
    <row r="18" spans="1:7" hidden="1" x14ac:dyDescent="0.25">
      <c r="A18" s="20" t="s">
        <v>4430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1016</v>
      </c>
      <c r="G18" s="51" t="s">
        <v>4412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1016</v>
      </c>
      <c r="G19" s="51" t="s">
        <v>4413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910</v>
      </c>
      <c r="G20" s="51" t="s">
        <v>4406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903</v>
      </c>
      <c r="G21" s="51" t="s">
        <v>4434</v>
      </c>
    </row>
    <row r="22" spans="1:7" hidden="1" x14ac:dyDescent="0.25">
      <c r="A22" s="20" t="s">
        <v>4455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1016</v>
      </c>
      <c r="G22" s="51" t="s">
        <v>4414</v>
      </c>
    </row>
    <row r="23" spans="1:7" hidden="1" x14ac:dyDescent="0.25">
      <c r="A23" s="20" t="s">
        <v>4455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1016</v>
      </c>
      <c r="G23" s="51" t="s">
        <v>4415</v>
      </c>
    </row>
    <row r="24" spans="1:7" hidden="1" x14ac:dyDescent="0.25">
      <c r="A24" s="20" t="s">
        <v>4455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1016</v>
      </c>
      <c r="G24" s="51" t="s">
        <v>4416</v>
      </c>
    </row>
    <row r="25" spans="1:7" hidden="1" x14ac:dyDescent="0.25">
      <c r="A25" s="20" t="s">
        <v>4455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1016</v>
      </c>
      <c r="G25" s="51" t="s">
        <v>4417</v>
      </c>
    </row>
    <row r="26" spans="1:7" hidden="1" x14ac:dyDescent="0.25">
      <c r="A26" s="20" t="s">
        <v>4455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1016</v>
      </c>
      <c r="G26" s="51" t="s">
        <v>4418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903</v>
      </c>
      <c r="G27" s="51" t="s">
        <v>4434</v>
      </c>
    </row>
    <row r="28" spans="1:7" hidden="1" x14ac:dyDescent="0.25">
      <c r="A28" s="20" t="s">
        <v>4455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1016</v>
      </c>
      <c r="G28" s="51" t="s">
        <v>4439</v>
      </c>
    </row>
    <row r="29" spans="1:7" hidden="1" x14ac:dyDescent="0.25">
      <c r="A29" s="20" t="s">
        <v>4455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1016</v>
      </c>
      <c r="G29" s="51" t="s">
        <v>4440</v>
      </c>
    </row>
    <row r="30" spans="1:7" hidden="1" x14ac:dyDescent="0.25">
      <c r="A30" s="20" t="s">
        <v>4455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1016</v>
      </c>
      <c r="G30" s="51" t="s">
        <v>4441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903</v>
      </c>
      <c r="G31" s="51" t="s">
        <v>4434</v>
      </c>
    </row>
    <row r="32" spans="1:7" hidden="1" x14ac:dyDescent="0.25">
      <c r="A32" s="20" t="s">
        <v>4456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910</v>
      </c>
      <c r="G32" s="51" t="s">
        <v>4419</v>
      </c>
    </row>
    <row r="33" spans="1:7" hidden="1" x14ac:dyDescent="0.25">
      <c r="A33" s="20" t="s">
        <v>4431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903</v>
      </c>
      <c r="G33" s="51" t="s">
        <v>4442</v>
      </c>
    </row>
    <row r="34" spans="1:7" hidden="1" x14ac:dyDescent="0.25">
      <c r="A34" s="20" t="s">
        <v>4431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903</v>
      </c>
      <c r="G34" s="51" t="s">
        <v>4443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903</v>
      </c>
      <c r="G35" s="51" t="s">
        <v>4434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903</v>
      </c>
      <c r="G36" s="51" t="s">
        <v>4434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903</v>
      </c>
      <c r="G37" s="51" t="s">
        <v>4434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903</v>
      </c>
      <c r="G38" s="51" t="s">
        <v>4444</v>
      </c>
    </row>
    <row r="39" spans="1:7" hidden="1" x14ac:dyDescent="0.25">
      <c r="A39" s="20" t="s">
        <v>4430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1016</v>
      </c>
      <c r="G39" s="51" t="s">
        <v>4420</v>
      </c>
    </row>
    <row r="40" spans="1:7" hidden="1" x14ac:dyDescent="0.25">
      <c r="A40" s="20" t="s">
        <v>4430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1016</v>
      </c>
      <c r="G40" s="51" t="s">
        <v>4421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903</v>
      </c>
      <c r="G41" s="51" t="s">
        <v>4434</v>
      </c>
    </row>
    <row r="42" spans="1:7" hidden="1" x14ac:dyDescent="0.25">
      <c r="A42" s="20" t="s">
        <v>4453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1016</v>
      </c>
      <c r="G42" s="51" t="s">
        <v>4422</v>
      </c>
    </row>
    <row r="43" spans="1:7" hidden="1" x14ac:dyDescent="0.25">
      <c r="A43" s="20" t="s">
        <v>4453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1016</v>
      </c>
      <c r="G43" s="51" t="s">
        <v>4423</v>
      </c>
    </row>
    <row r="44" spans="1:7" hidden="1" x14ac:dyDescent="0.25">
      <c r="A44" s="20" t="s">
        <v>4453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1016</v>
      </c>
      <c r="G44" s="51" t="s">
        <v>4424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903</v>
      </c>
      <c r="G45" s="51" t="s">
        <v>4434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910</v>
      </c>
      <c r="G46" s="51" t="s">
        <v>4425</v>
      </c>
    </row>
    <row r="47" spans="1:7" hidden="1" x14ac:dyDescent="0.25">
      <c r="A47" s="20" t="s">
        <v>4431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910</v>
      </c>
      <c r="G47" s="51" t="s">
        <v>4426</v>
      </c>
    </row>
    <row r="48" spans="1:7" hidden="1" x14ac:dyDescent="0.25">
      <c r="A48" s="20" t="s">
        <v>4430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1016</v>
      </c>
      <c r="G48" s="51" t="s">
        <v>4427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903</v>
      </c>
      <c r="G49" s="51" t="s">
        <v>4434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903</v>
      </c>
      <c r="G50" s="51" t="s">
        <v>4434</v>
      </c>
    </row>
    <row r="51" spans="1:7" hidden="1" x14ac:dyDescent="0.25">
      <c r="A51" s="20" t="s">
        <v>4449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910</v>
      </c>
      <c r="G51" s="51" t="s">
        <v>4428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903</v>
      </c>
      <c r="G52" s="51" t="s">
        <v>4434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903</v>
      </c>
      <c r="G53" s="51" t="s">
        <v>4434</v>
      </c>
    </row>
    <row r="54" spans="1:7" x14ac:dyDescent="0.25">
      <c r="A54" s="20" t="s">
        <v>4455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903</v>
      </c>
      <c r="G54" s="51" t="s">
        <v>4498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910</v>
      </c>
      <c r="G55" s="51" t="s">
        <v>4501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903</v>
      </c>
      <c r="G56" s="51" t="s">
        <v>4434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903</v>
      </c>
      <c r="G57" s="51" t="s">
        <v>4502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903</v>
      </c>
      <c r="G58" s="51" t="s">
        <v>4445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4432</v>
      </c>
      <c r="G59" s="51" t="s">
        <v>4446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4432</v>
      </c>
      <c r="G60" s="51" t="s">
        <v>4446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4432</v>
      </c>
      <c r="G61" s="51" t="s">
        <v>4446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4432</v>
      </c>
      <c r="G62" s="51" t="s">
        <v>4446</v>
      </c>
    </row>
    <row r="63" spans="1:7" hidden="1" x14ac:dyDescent="0.25">
      <c r="A63" s="20" t="s">
        <v>6335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4432</v>
      </c>
      <c r="G63" s="51" t="s">
        <v>4446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4432</v>
      </c>
      <c r="G64" s="51" t="s">
        <v>4446</v>
      </c>
    </row>
    <row r="65" spans="1:7" hidden="1" x14ac:dyDescent="0.25">
      <c r="A65" s="20" t="s">
        <v>1039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4432</v>
      </c>
      <c r="G65" s="51" t="s">
        <v>4446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4432</v>
      </c>
      <c r="G66" s="51" t="s">
        <v>4446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903</v>
      </c>
      <c r="G67" s="51" t="s">
        <v>4516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903</v>
      </c>
      <c r="G68" s="51" t="s">
        <v>4437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910</v>
      </c>
      <c r="G69" s="51" t="s">
        <v>4425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903</v>
      </c>
      <c r="G70" s="51" t="s">
        <v>4516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903</v>
      </c>
      <c r="G71" s="51" t="s">
        <v>4437</v>
      </c>
    </row>
    <row r="72" spans="1:7" x14ac:dyDescent="0.25">
      <c r="A72" s="20" t="s">
        <v>4429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1016</v>
      </c>
      <c r="G72" s="51" t="s">
        <v>4518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1016</v>
      </c>
      <c r="G73" s="51" t="s">
        <v>4520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1016</v>
      </c>
      <c r="G74" s="51" t="s">
        <v>4521</v>
      </c>
    </row>
    <row r="75" spans="1:7" x14ac:dyDescent="0.25">
      <c r="A75" s="20" t="s">
        <v>4431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903</v>
      </c>
      <c r="G75" s="51" t="s">
        <v>4437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903</v>
      </c>
      <c r="G76" s="51" t="s">
        <v>4437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903</v>
      </c>
      <c r="G77" s="51" t="s">
        <v>4522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903</v>
      </c>
      <c r="G78" s="51" t="s">
        <v>4523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903</v>
      </c>
      <c r="G79" s="51" t="s">
        <v>4524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903</v>
      </c>
      <c r="G80" s="51" t="s">
        <v>4524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903</v>
      </c>
      <c r="G81" s="51" t="s">
        <v>4524</v>
      </c>
    </row>
    <row r="82" spans="1:7" x14ac:dyDescent="0.25">
      <c r="A82" s="20" t="s">
        <v>4455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1016</v>
      </c>
      <c r="G82" s="51" t="s">
        <v>4525</v>
      </c>
    </row>
    <row r="83" spans="1:7" x14ac:dyDescent="0.25">
      <c r="A83" s="20" t="s">
        <v>4455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1016</v>
      </c>
      <c r="G83" s="51" t="s">
        <v>4526</v>
      </c>
    </row>
    <row r="84" spans="1:7" x14ac:dyDescent="0.25">
      <c r="A84" s="20" t="s">
        <v>4455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1016</v>
      </c>
      <c r="G84" s="51" t="s">
        <v>4527</v>
      </c>
    </row>
    <row r="85" spans="1:7" x14ac:dyDescent="0.25">
      <c r="A85" s="20" t="s">
        <v>4455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1016</v>
      </c>
      <c r="G85" s="51" t="s">
        <v>4528</v>
      </c>
    </row>
    <row r="86" spans="1:7" x14ac:dyDescent="0.25">
      <c r="A86" s="20" t="s">
        <v>4455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1016</v>
      </c>
      <c r="G86" s="51" t="s">
        <v>4529</v>
      </c>
    </row>
    <row r="87" spans="1:7" x14ac:dyDescent="0.25">
      <c r="A87" s="20" t="s">
        <v>4455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1016</v>
      </c>
      <c r="G87" s="51" t="s">
        <v>4530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903</v>
      </c>
      <c r="G88" s="51" t="s">
        <v>4524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903</v>
      </c>
      <c r="G89" s="51" t="s">
        <v>4524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4493</v>
      </c>
      <c r="G90" s="51" t="s">
        <v>4532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910</v>
      </c>
      <c r="G91" s="51" t="s">
        <v>4425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903</v>
      </c>
      <c r="G92" s="51" t="s">
        <v>4524</v>
      </c>
    </row>
    <row r="93" spans="1:7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4493</v>
      </c>
      <c r="G93" s="51" t="s">
        <v>6671</v>
      </c>
    </row>
    <row r="94" spans="1:7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4493</v>
      </c>
      <c r="G94" s="51" t="s">
        <v>6672</v>
      </c>
    </row>
    <row r="95" spans="1:7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903</v>
      </c>
      <c r="G95" s="51" t="s">
        <v>4524</v>
      </c>
    </row>
    <row r="96" spans="1:7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903</v>
      </c>
      <c r="G96" s="51" t="s">
        <v>4524</v>
      </c>
    </row>
    <row r="97" spans="1:7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903</v>
      </c>
      <c r="G97" s="51" t="s">
        <v>4524</v>
      </c>
    </row>
    <row r="98" spans="1:7" x14ac:dyDescent="0.25">
      <c r="A98" s="20" t="s">
        <v>4451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903</v>
      </c>
      <c r="G98" s="51" t="s">
        <v>4524</v>
      </c>
    </row>
    <row r="99" spans="1:7" x14ac:dyDescent="0.25">
      <c r="A99" s="20" t="s">
        <v>4430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1016</v>
      </c>
      <c r="G99" s="51" t="s">
        <v>6673</v>
      </c>
    </row>
    <row r="100" spans="1:7" x14ac:dyDescent="0.25">
      <c r="A100" s="20" t="s">
        <v>4430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1016</v>
      </c>
      <c r="G100" s="51" t="s">
        <v>6674</v>
      </c>
    </row>
    <row r="101" spans="1:7" x14ac:dyDescent="0.25">
      <c r="A101" s="20" t="s">
        <v>4455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903</v>
      </c>
      <c r="G101" s="51" t="s">
        <v>6676</v>
      </c>
    </row>
    <row r="102" spans="1:7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910</v>
      </c>
      <c r="G102" s="51" t="s">
        <v>4425</v>
      </c>
    </row>
    <row r="103" spans="1:7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903</v>
      </c>
      <c r="G103" s="51" t="s">
        <v>4524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210" workbookViewId="0">
      <selection activeCell="C238" sqref="C238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4476</v>
      </c>
      <c r="D1" s="55" t="s">
        <v>4477</v>
      </c>
      <c r="E1" s="55" t="s">
        <v>4478</v>
      </c>
      <c r="F1" s="56" t="s">
        <v>4479</v>
      </c>
      <c r="G1" s="56" t="s">
        <v>4533</v>
      </c>
      <c r="H1" s="52" t="s">
        <v>4480</v>
      </c>
      <c r="I1" s="56" t="s">
        <v>155</v>
      </c>
      <c r="J1" s="56" t="s">
        <v>4481</v>
      </c>
      <c r="K1" s="57" t="s">
        <v>4482</v>
      </c>
      <c r="L1" s="58" t="s">
        <v>4483</v>
      </c>
    </row>
    <row r="2" spans="1:12" x14ac:dyDescent="0.25">
      <c r="A2" s="60">
        <v>45657</v>
      </c>
      <c r="B2" s="61" t="s">
        <v>146</v>
      </c>
      <c r="C2" s="62" t="s">
        <v>4484</v>
      </c>
      <c r="D2" s="62" t="s">
        <v>26</v>
      </c>
      <c r="E2" s="62" t="s">
        <v>26</v>
      </c>
      <c r="F2" s="60">
        <v>45747</v>
      </c>
      <c r="G2" s="62" t="s">
        <v>6337</v>
      </c>
      <c r="H2" s="62" t="s">
        <v>157</v>
      </c>
      <c r="I2" s="61" t="s">
        <v>4484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4457</v>
      </c>
      <c r="C3" s="62" t="s">
        <v>4484</v>
      </c>
      <c r="D3" s="62" t="s">
        <v>26</v>
      </c>
      <c r="E3" s="62" t="s">
        <v>26</v>
      </c>
      <c r="F3" s="60">
        <v>45381</v>
      </c>
      <c r="G3" s="62" t="s">
        <v>6338</v>
      </c>
      <c r="H3" s="66" t="s">
        <v>157</v>
      </c>
      <c r="I3" s="61" t="s">
        <v>4484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911</v>
      </c>
      <c r="C4" s="62" t="s">
        <v>4484</v>
      </c>
      <c r="D4" s="62" t="s">
        <v>26</v>
      </c>
      <c r="E4" s="62" t="s">
        <v>26</v>
      </c>
      <c r="F4" s="60">
        <v>45381</v>
      </c>
      <c r="G4" s="62" t="s">
        <v>6338</v>
      </c>
      <c r="H4" s="66" t="s">
        <v>157</v>
      </c>
      <c r="I4" s="61" t="s">
        <v>4484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4484</v>
      </c>
      <c r="D5" s="62" t="s">
        <v>26</v>
      </c>
      <c r="E5" s="62" t="s">
        <v>26</v>
      </c>
      <c r="F5" s="60">
        <v>45381</v>
      </c>
      <c r="G5" s="62" t="s">
        <v>6338</v>
      </c>
      <c r="H5" s="66" t="s">
        <v>157</v>
      </c>
      <c r="I5" s="61" t="s">
        <v>4484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912</v>
      </c>
      <c r="C6" s="62" t="s">
        <v>4484</v>
      </c>
      <c r="D6" s="62" t="s">
        <v>26</v>
      </c>
      <c r="E6" s="62" t="s">
        <v>26</v>
      </c>
      <c r="F6" s="60">
        <v>45351</v>
      </c>
      <c r="G6" s="62" t="s">
        <v>6338</v>
      </c>
      <c r="H6" s="66" t="s">
        <v>157</v>
      </c>
      <c r="I6" s="61" t="s">
        <v>4484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4484</v>
      </c>
      <c r="D7" s="62" t="s">
        <v>26</v>
      </c>
      <c r="E7" s="62" t="s">
        <v>26</v>
      </c>
      <c r="F7" s="60">
        <v>45381</v>
      </c>
      <c r="G7" s="62" t="s">
        <v>6338</v>
      </c>
      <c r="H7" s="66" t="s">
        <v>157</v>
      </c>
      <c r="I7" s="61" t="s">
        <v>4484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4430</v>
      </c>
      <c r="C8" s="62" t="s">
        <v>4484</v>
      </c>
      <c r="D8" s="62" t="s">
        <v>26</v>
      </c>
      <c r="E8" s="62" t="s">
        <v>26</v>
      </c>
      <c r="F8" s="60">
        <v>45777</v>
      </c>
      <c r="G8" s="62" t="s">
        <v>6337</v>
      </c>
      <c r="H8" s="66" t="s">
        <v>157</v>
      </c>
      <c r="I8" s="61" t="s">
        <v>4484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4454</v>
      </c>
      <c r="C9" s="62" t="s">
        <v>4484</v>
      </c>
      <c r="D9" s="62" t="s">
        <v>26</v>
      </c>
      <c r="E9" s="62" t="s">
        <v>26</v>
      </c>
      <c r="F9" s="60">
        <v>45657</v>
      </c>
      <c r="G9" s="62" t="s">
        <v>6338</v>
      </c>
      <c r="H9" s="66" t="s">
        <v>157</v>
      </c>
      <c r="I9" s="61" t="s">
        <v>4484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4458</v>
      </c>
      <c r="C10" s="62" t="s">
        <v>4484</v>
      </c>
      <c r="D10" s="62" t="s">
        <v>26</v>
      </c>
      <c r="E10" s="62" t="s">
        <v>26</v>
      </c>
      <c r="F10" s="60">
        <v>45351</v>
      </c>
      <c r="G10" s="62" t="s">
        <v>6338</v>
      </c>
      <c r="H10" s="66" t="s">
        <v>157</v>
      </c>
      <c r="I10" s="61" t="s">
        <v>4484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4484</v>
      </c>
      <c r="D11" s="62" t="s">
        <v>26</v>
      </c>
      <c r="E11" s="62" t="s">
        <v>26</v>
      </c>
      <c r="F11" s="60">
        <v>45381</v>
      </c>
      <c r="G11" s="62" t="s">
        <v>6338</v>
      </c>
      <c r="H11" s="66" t="s">
        <v>157</v>
      </c>
      <c r="I11" s="61" t="s">
        <v>4484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4484</v>
      </c>
      <c r="D12" s="62" t="s">
        <v>26</v>
      </c>
      <c r="E12" s="62" t="s">
        <v>26</v>
      </c>
      <c r="F12" s="60">
        <v>45381</v>
      </c>
      <c r="G12" s="62" t="s">
        <v>6338</v>
      </c>
      <c r="H12" s="66" t="s">
        <v>157</v>
      </c>
      <c r="I12" s="61" t="s">
        <v>4484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1039</v>
      </c>
      <c r="C13" s="62" t="s">
        <v>4484</v>
      </c>
      <c r="D13" s="62" t="s">
        <v>26</v>
      </c>
      <c r="E13" s="62" t="s">
        <v>26</v>
      </c>
      <c r="F13" s="60">
        <v>45381</v>
      </c>
      <c r="G13" s="62" t="s">
        <v>6338</v>
      </c>
      <c r="H13" s="66" t="s">
        <v>157</v>
      </c>
      <c r="I13" s="61" t="s">
        <v>4484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4484</v>
      </c>
      <c r="D14" s="62" t="s">
        <v>26</v>
      </c>
      <c r="E14" s="62" t="s">
        <v>26</v>
      </c>
      <c r="F14" s="60">
        <v>45381</v>
      </c>
      <c r="G14" s="62" t="s">
        <v>6338</v>
      </c>
      <c r="H14" s="66" t="s">
        <v>157</v>
      </c>
      <c r="I14" s="61" t="s">
        <v>4484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4459</v>
      </c>
      <c r="C15" s="62" t="s">
        <v>4484</v>
      </c>
      <c r="D15" s="62" t="s">
        <v>26</v>
      </c>
      <c r="E15" s="62" t="s">
        <v>26</v>
      </c>
      <c r="F15" s="60">
        <v>45381</v>
      </c>
      <c r="G15" s="62" t="s">
        <v>6338</v>
      </c>
      <c r="H15" s="66" t="s">
        <v>157</v>
      </c>
      <c r="I15" s="61" t="s">
        <v>4484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4460</v>
      </c>
      <c r="C16" s="62" t="s">
        <v>4484</v>
      </c>
      <c r="D16" s="62" t="s">
        <v>26</v>
      </c>
      <c r="E16" s="62" t="s">
        <v>26</v>
      </c>
      <c r="F16" s="60">
        <v>45351</v>
      </c>
      <c r="G16" s="62" t="s">
        <v>6338</v>
      </c>
      <c r="H16" s="66" t="s">
        <v>157</v>
      </c>
      <c r="I16" s="61" t="s">
        <v>4484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913</v>
      </c>
      <c r="C17" s="62" t="s">
        <v>4484</v>
      </c>
      <c r="D17" s="62" t="s">
        <v>26</v>
      </c>
      <c r="E17" s="62" t="s">
        <v>26</v>
      </c>
      <c r="F17" s="60">
        <v>45351</v>
      </c>
      <c r="G17" s="62" t="s">
        <v>6338</v>
      </c>
      <c r="H17" s="66" t="s">
        <v>157</v>
      </c>
      <c r="I17" s="61" t="s">
        <v>4484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914</v>
      </c>
      <c r="C18" s="62" t="s">
        <v>4484</v>
      </c>
      <c r="D18" s="62" t="s">
        <v>26</v>
      </c>
      <c r="E18" s="62" t="s">
        <v>26</v>
      </c>
      <c r="F18" s="60">
        <v>45381</v>
      </c>
      <c r="G18" s="62" t="s">
        <v>6338</v>
      </c>
      <c r="H18" s="66" t="s">
        <v>157</v>
      </c>
      <c r="I18" s="61" t="s">
        <v>4484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4461</v>
      </c>
      <c r="C19" s="62" t="s">
        <v>4484</v>
      </c>
      <c r="D19" s="62" t="s">
        <v>26</v>
      </c>
      <c r="E19" s="62" t="s">
        <v>26</v>
      </c>
      <c r="F19" s="60">
        <v>45381</v>
      </c>
      <c r="G19" s="62" t="s">
        <v>6338</v>
      </c>
      <c r="H19" s="66" t="s">
        <v>157</v>
      </c>
      <c r="I19" s="61" t="s">
        <v>4484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4462</v>
      </c>
      <c r="C20" s="66" t="s">
        <v>4484</v>
      </c>
      <c r="D20" s="62" t="s">
        <v>26</v>
      </c>
      <c r="E20" s="62" t="s">
        <v>26</v>
      </c>
      <c r="F20" s="60">
        <v>45381</v>
      </c>
      <c r="G20" s="62" t="s">
        <v>6338</v>
      </c>
      <c r="H20" s="66" t="s">
        <v>157</v>
      </c>
      <c r="I20" s="61" t="s">
        <v>4484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4429</v>
      </c>
      <c r="C21" s="66" t="s">
        <v>4484</v>
      </c>
      <c r="D21" s="62" t="s">
        <v>26</v>
      </c>
      <c r="E21" s="62" t="s">
        <v>26</v>
      </c>
      <c r="F21" s="60">
        <v>45717</v>
      </c>
      <c r="G21" s="62" t="s">
        <v>6337</v>
      </c>
      <c r="H21" s="66" t="s">
        <v>157</v>
      </c>
      <c r="I21" s="61" t="s">
        <v>4484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4463</v>
      </c>
      <c r="C22" s="66" t="s">
        <v>4484</v>
      </c>
      <c r="D22" s="62" t="s">
        <v>26</v>
      </c>
      <c r="E22" s="62" t="s">
        <v>26</v>
      </c>
      <c r="F22" s="60">
        <v>45351</v>
      </c>
      <c r="G22" s="62" t="s">
        <v>6338</v>
      </c>
      <c r="H22" s="66" t="s">
        <v>157</v>
      </c>
      <c r="I22" s="61" t="s">
        <v>4484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4455</v>
      </c>
      <c r="C23" s="66" t="s">
        <v>4484</v>
      </c>
      <c r="D23" s="62" t="s">
        <v>26</v>
      </c>
      <c r="E23" s="62" t="s">
        <v>26</v>
      </c>
      <c r="F23" s="60">
        <v>45747</v>
      </c>
      <c r="G23" s="62" t="s">
        <v>6337</v>
      </c>
      <c r="H23" s="66" t="s">
        <v>157</v>
      </c>
      <c r="I23" s="61" t="s">
        <v>4484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4464</v>
      </c>
      <c r="C24" s="66" t="s">
        <v>4484</v>
      </c>
      <c r="D24" s="62" t="s">
        <v>26</v>
      </c>
      <c r="E24" s="62" t="s">
        <v>26</v>
      </c>
      <c r="F24" s="60">
        <v>45291</v>
      </c>
      <c r="G24" s="62" t="s">
        <v>6338</v>
      </c>
      <c r="H24" s="66" t="s">
        <v>157</v>
      </c>
      <c r="I24" s="61" t="s">
        <v>4484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4484</v>
      </c>
      <c r="D25" s="62" t="s">
        <v>26</v>
      </c>
      <c r="E25" s="62" t="s">
        <v>26</v>
      </c>
      <c r="F25" s="60">
        <v>45747</v>
      </c>
      <c r="G25" s="62" t="s">
        <v>6337</v>
      </c>
      <c r="H25" s="66" t="s">
        <v>157</v>
      </c>
      <c r="I25" s="61" t="s">
        <v>4484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4465</v>
      </c>
      <c r="C26" s="66" t="s">
        <v>4484</v>
      </c>
      <c r="D26" s="62" t="s">
        <v>26</v>
      </c>
      <c r="E26" s="62" t="s">
        <v>26</v>
      </c>
      <c r="F26" s="60">
        <v>45381</v>
      </c>
      <c r="G26" s="62" t="s">
        <v>6338</v>
      </c>
      <c r="H26" s="66" t="s">
        <v>157</v>
      </c>
      <c r="I26" s="61" t="s">
        <v>4484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4466</v>
      </c>
      <c r="C27" s="66" t="s">
        <v>4484</v>
      </c>
      <c r="D27" s="62" t="s">
        <v>26</v>
      </c>
      <c r="E27" s="62" t="s">
        <v>26</v>
      </c>
      <c r="F27" s="60">
        <v>45381</v>
      </c>
      <c r="G27" s="62" t="s">
        <v>6338</v>
      </c>
      <c r="H27" s="66" t="s">
        <v>157</v>
      </c>
      <c r="I27" s="61" t="s">
        <v>4484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4484</v>
      </c>
      <c r="D28" s="62" t="s">
        <v>26</v>
      </c>
      <c r="E28" s="62" t="s">
        <v>26</v>
      </c>
      <c r="F28" s="60">
        <v>45381</v>
      </c>
      <c r="G28" s="62" t="s">
        <v>6338</v>
      </c>
      <c r="H28" s="66" t="s">
        <v>157</v>
      </c>
      <c r="I28" s="61" t="s">
        <v>4484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915</v>
      </c>
      <c r="C29" s="66" t="s">
        <v>4484</v>
      </c>
      <c r="D29" s="62" t="s">
        <v>26</v>
      </c>
      <c r="E29" s="62" t="s">
        <v>26</v>
      </c>
      <c r="F29" s="60">
        <v>45291</v>
      </c>
      <c r="G29" s="62" t="s">
        <v>6338</v>
      </c>
      <c r="H29" s="66" t="s">
        <v>157</v>
      </c>
      <c r="I29" s="61" t="s">
        <v>4484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4484</v>
      </c>
      <c r="D30" s="62" t="s">
        <v>26</v>
      </c>
      <c r="E30" s="62" t="s">
        <v>26</v>
      </c>
      <c r="F30" s="60">
        <v>45502</v>
      </c>
      <c r="G30" s="62" t="s">
        <v>6338</v>
      </c>
      <c r="H30" s="66" t="s">
        <v>157</v>
      </c>
      <c r="I30" s="61" t="s">
        <v>4484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4452</v>
      </c>
      <c r="C31" s="66" t="s">
        <v>4484</v>
      </c>
      <c r="D31" s="62" t="s">
        <v>26</v>
      </c>
      <c r="E31" s="62" t="s">
        <v>26</v>
      </c>
      <c r="F31" s="60">
        <v>45657</v>
      </c>
      <c r="G31" s="62" t="s">
        <v>6338</v>
      </c>
      <c r="H31" s="66" t="s">
        <v>157</v>
      </c>
      <c r="I31" s="61" t="s">
        <v>4484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4467</v>
      </c>
      <c r="C32" s="66" t="s">
        <v>4484</v>
      </c>
      <c r="D32" s="62" t="s">
        <v>26</v>
      </c>
      <c r="E32" s="62" t="s">
        <v>26</v>
      </c>
      <c r="F32" s="60">
        <v>45657</v>
      </c>
      <c r="G32" s="62" t="s">
        <v>6338</v>
      </c>
      <c r="H32" s="66" t="s">
        <v>157</v>
      </c>
      <c r="I32" s="61" t="s">
        <v>4484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917</v>
      </c>
      <c r="C33" s="66" t="s">
        <v>4484</v>
      </c>
      <c r="D33" s="62" t="s">
        <v>26</v>
      </c>
      <c r="E33" s="62" t="s">
        <v>26</v>
      </c>
      <c r="F33" s="60">
        <v>45657</v>
      </c>
      <c r="G33" s="62" t="s">
        <v>6338</v>
      </c>
      <c r="H33" s="66" t="s">
        <v>157</v>
      </c>
      <c r="I33" s="61" t="s">
        <v>4484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4468</v>
      </c>
      <c r="C34" s="66" t="s">
        <v>4484</v>
      </c>
      <c r="D34" s="62" t="s">
        <v>26</v>
      </c>
      <c r="E34" s="62" t="s">
        <v>26</v>
      </c>
      <c r="F34" s="60">
        <v>45655</v>
      </c>
      <c r="G34" s="62" t="s">
        <v>6338</v>
      </c>
      <c r="H34" s="66" t="s">
        <v>157</v>
      </c>
      <c r="I34" s="61" t="s">
        <v>4484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4468</v>
      </c>
      <c r="C35" s="66" t="s">
        <v>4485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4486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4453</v>
      </c>
      <c r="C36" s="66" t="s">
        <v>4484</v>
      </c>
      <c r="D36" s="62" t="s">
        <v>26</v>
      </c>
      <c r="E36" s="62" t="s">
        <v>26</v>
      </c>
      <c r="F36" s="60">
        <v>45777</v>
      </c>
      <c r="G36" s="62" t="s">
        <v>6337</v>
      </c>
      <c r="H36" s="66" t="s">
        <v>157</v>
      </c>
      <c r="I36" s="61" t="s">
        <v>4484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4469</v>
      </c>
      <c r="C37" s="66" t="s">
        <v>4484</v>
      </c>
      <c r="D37" s="62" t="s">
        <v>26</v>
      </c>
      <c r="E37" s="62" t="s">
        <v>26</v>
      </c>
      <c r="F37" s="60">
        <v>45016</v>
      </c>
      <c r="G37" s="62" t="s">
        <v>6338</v>
      </c>
      <c r="H37" s="66" t="s">
        <v>157</v>
      </c>
      <c r="I37" s="61" t="s">
        <v>4484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4470</v>
      </c>
      <c r="C38" s="66" t="s">
        <v>4484</v>
      </c>
      <c r="D38" s="62" t="s">
        <v>26</v>
      </c>
      <c r="E38" s="62" t="s">
        <v>26</v>
      </c>
      <c r="F38" s="60">
        <v>45047</v>
      </c>
      <c r="G38" s="62" t="s">
        <v>6338</v>
      </c>
      <c r="H38" s="66" t="s">
        <v>157</v>
      </c>
      <c r="I38" s="61" t="s">
        <v>4484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918</v>
      </c>
      <c r="C39" s="66" t="s">
        <v>4484</v>
      </c>
      <c r="D39" s="62" t="s">
        <v>26</v>
      </c>
      <c r="E39" s="62" t="s">
        <v>26</v>
      </c>
      <c r="F39" s="60">
        <v>44651</v>
      </c>
      <c r="G39" s="62" t="s">
        <v>6338</v>
      </c>
      <c r="H39" s="66" t="s">
        <v>157</v>
      </c>
      <c r="I39" s="61" t="s">
        <v>4484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919</v>
      </c>
      <c r="C40" s="66" t="s">
        <v>4484</v>
      </c>
      <c r="D40" s="62" t="s">
        <v>26</v>
      </c>
      <c r="E40" s="62" t="s">
        <v>26</v>
      </c>
      <c r="F40" s="60">
        <v>44651</v>
      </c>
      <c r="G40" s="62" t="s">
        <v>6338</v>
      </c>
      <c r="H40" s="66" t="s">
        <v>157</v>
      </c>
      <c r="I40" s="61" t="s">
        <v>4484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4431</v>
      </c>
      <c r="C41" s="66" t="s">
        <v>4484</v>
      </c>
      <c r="D41" s="62" t="s">
        <v>26</v>
      </c>
      <c r="E41" s="62" t="s">
        <v>26</v>
      </c>
      <c r="F41" s="60">
        <v>45717</v>
      </c>
      <c r="G41" s="62" t="s">
        <v>6337</v>
      </c>
      <c r="H41" s="66" t="s">
        <v>157</v>
      </c>
      <c r="I41" s="61" t="s">
        <v>4484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4471</v>
      </c>
      <c r="C42" s="66" t="s">
        <v>4484</v>
      </c>
      <c r="D42" s="62" t="s">
        <v>26</v>
      </c>
      <c r="E42" s="62" t="s">
        <v>26</v>
      </c>
      <c r="F42" s="60">
        <v>45016</v>
      </c>
      <c r="G42" s="62" t="s">
        <v>6338</v>
      </c>
      <c r="H42" s="66" t="s">
        <v>157</v>
      </c>
      <c r="I42" s="61" t="s">
        <v>4484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4472</v>
      </c>
      <c r="C43" s="66" t="s">
        <v>4484</v>
      </c>
      <c r="D43" s="62" t="s">
        <v>26</v>
      </c>
      <c r="E43" s="62" t="s">
        <v>26</v>
      </c>
      <c r="F43" s="60">
        <v>44955</v>
      </c>
      <c r="G43" s="62" t="s">
        <v>6338</v>
      </c>
      <c r="H43" s="66" t="s">
        <v>157</v>
      </c>
      <c r="I43" s="61" t="s">
        <v>4484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4473</v>
      </c>
      <c r="C44" s="66" t="s">
        <v>4484</v>
      </c>
      <c r="D44" s="62" t="s">
        <v>26</v>
      </c>
      <c r="E44" s="62" t="s">
        <v>26</v>
      </c>
      <c r="F44" s="60">
        <v>45593</v>
      </c>
      <c r="G44" s="62" t="s">
        <v>6338</v>
      </c>
      <c r="H44" s="66" t="s">
        <v>157</v>
      </c>
      <c r="I44" s="61" t="s">
        <v>4484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1">
        <v>45659</v>
      </c>
      <c r="B45" s="61" t="s">
        <v>146</v>
      </c>
      <c r="C45" s="11" t="s">
        <v>4487</v>
      </c>
      <c r="D45" s="11" t="s">
        <v>4488</v>
      </c>
      <c r="E45" s="11" t="s">
        <v>910</v>
      </c>
      <c r="F45" s="60">
        <v>45749</v>
      </c>
      <c r="G45" s="82" t="s">
        <v>26</v>
      </c>
      <c r="H45" s="11" t="s">
        <v>157</v>
      </c>
      <c r="I45" s="69" t="s">
        <v>4406</v>
      </c>
      <c r="J45" s="78">
        <v>0</v>
      </c>
      <c r="K45" s="78">
        <v>30000</v>
      </c>
      <c r="L45" s="83">
        <v>-30000</v>
      </c>
    </row>
    <row r="46" spans="1:12" x14ac:dyDescent="0.25">
      <c r="A46" s="81">
        <v>45664</v>
      </c>
      <c r="B46" s="67" t="s">
        <v>4453</v>
      </c>
      <c r="C46" s="11" t="s">
        <v>4487</v>
      </c>
      <c r="D46" s="11" t="s">
        <v>4488</v>
      </c>
      <c r="E46" s="11" t="s">
        <v>1016</v>
      </c>
      <c r="F46" s="60">
        <v>45784</v>
      </c>
      <c r="G46" s="82" t="s">
        <v>26</v>
      </c>
      <c r="H46" s="11" t="s">
        <v>157</v>
      </c>
      <c r="I46" s="69" t="s">
        <v>4407</v>
      </c>
      <c r="J46" s="78"/>
      <c r="K46" s="78">
        <v>76388.929999999993</v>
      </c>
      <c r="L46" s="83">
        <v>-76388.929999999993</v>
      </c>
    </row>
    <row r="47" spans="1:12" x14ac:dyDescent="0.25">
      <c r="A47" s="65">
        <v>45657</v>
      </c>
      <c r="B47" s="67" t="s">
        <v>4454</v>
      </c>
      <c r="C47" s="66" t="s">
        <v>4484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4484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4484</v>
      </c>
      <c r="D48" s="62" t="s">
        <v>26</v>
      </c>
      <c r="E48" s="62" t="s">
        <v>26</v>
      </c>
      <c r="F48" s="60">
        <v>45381</v>
      </c>
      <c r="G48" s="62" t="s">
        <v>6338</v>
      </c>
      <c r="H48" s="66" t="s">
        <v>160</v>
      </c>
      <c r="I48" s="67" t="s">
        <v>4484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4484</v>
      </c>
      <c r="D49" s="62" t="s">
        <v>26</v>
      </c>
      <c r="E49" s="62" t="s">
        <v>26</v>
      </c>
      <c r="F49" s="60">
        <v>45351</v>
      </c>
      <c r="G49" s="62" t="s">
        <v>6338</v>
      </c>
      <c r="H49" s="66" t="s">
        <v>160</v>
      </c>
      <c r="I49" s="67" t="s">
        <v>4484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1040</v>
      </c>
      <c r="C50" s="66" t="s">
        <v>4484</v>
      </c>
      <c r="D50" s="62" t="s">
        <v>26</v>
      </c>
      <c r="E50" s="62" t="s">
        <v>26</v>
      </c>
      <c r="F50" s="60">
        <v>45291</v>
      </c>
      <c r="G50" s="62" t="s">
        <v>6338</v>
      </c>
      <c r="H50" s="66" t="s">
        <v>160</v>
      </c>
      <c r="I50" s="67" t="s">
        <v>4484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4484</v>
      </c>
      <c r="D51" s="62" t="s">
        <v>26</v>
      </c>
      <c r="E51" s="62" t="s">
        <v>26</v>
      </c>
      <c r="F51" s="60">
        <v>45381</v>
      </c>
      <c r="G51" s="62" t="s">
        <v>6338</v>
      </c>
      <c r="H51" s="66" t="s">
        <v>160</v>
      </c>
      <c r="I51" s="67" t="s">
        <v>4484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4459</v>
      </c>
      <c r="C52" s="66" t="s">
        <v>4484</v>
      </c>
      <c r="D52" s="62" t="s">
        <v>26</v>
      </c>
      <c r="E52" s="62" t="s">
        <v>26</v>
      </c>
      <c r="F52" s="60">
        <v>45381</v>
      </c>
      <c r="G52" s="62" t="s">
        <v>6338</v>
      </c>
      <c r="H52" s="66" t="s">
        <v>160</v>
      </c>
      <c r="I52" s="67" t="s">
        <v>4484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4489</v>
      </c>
      <c r="C53" s="66" t="s">
        <v>4484</v>
      </c>
      <c r="D53" s="62" t="s">
        <v>26</v>
      </c>
      <c r="E53" s="62" t="s">
        <v>26</v>
      </c>
      <c r="F53" s="60">
        <v>45291</v>
      </c>
      <c r="G53" s="62" t="s">
        <v>6338</v>
      </c>
      <c r="H53" s="66" t="s">
        <v>160</v>
      </c>
      <c r="I53" s="67" t="s">
        <v>4484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4455</v>
      </c>
      <c r="C54" s="66" t="s">
        <v>4484</v>
      </c>
      <c r="D54" s="62" t="s">
        <v>26</v>
      </c>
      <c r="E54" s="62" t="s">
        <v>26</v>
      </c>
      <c r="F54" s="60">
        <v>45747</v>
      </c>
      <c r="G54" s="62" t="s">
        <v>6337</v>
      </c>
      <c r="H54" s="66" t="s">
        <v>160</v>
      </c>
      <c r="I54" s="67" t="s">
        <v>4484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4490</v>
      </c>
      <c r="C55" s="66" t="s">
        <v>4484</v>
      </c>
      <c r="D55" s="62" t="s">
        <v>26</v>
      </c>
      <c r="E55" s="62" t="s">
        <v>26</v>
      </c>
      <c r="F55" s="60">
        <v>45291</v>
      </c>
      <c r="G55" s="62" t="s">
        <v>6338</v>
      </c>
      <c r="H55" s="66" t="s">
        <v>160</v>
      </c>
      <c r="I55" s="67" t="s">
        <v>4484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4484</v>
      </c>
      <c r="D56" s="62" t="s">
        <v>26</v>
      </c>
      <c r="E56" s="62" t="s">
        <v>26</v>
      </c>
      <c r="F56" s="60">
        <v>45381</v>
      </c>
      <c r="G56" s="62" t="s">
        <v>6338</v>
      </c>
      <c r="H56" s="66" t="s">
        <v>160</v>
      </c>
      <c r="I56" s="67" t="s">
        <v>4484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4458</v>
      </c>
      <c r="C57" s="66" t="s">
        <v>4484</v>
      </c>
      <c r="D57" s="62" t="s">
        <v>26</v>
      </c>
      <c r="E57" s="62" t="s">
        <v>26</v>
      </c>
      <c r="F57" s="60">
        <v>45351</v>
      </c>
      <c r="G57" s="62" t="s">
        <v>6338</v>
      </c>
      <c r="H57" s="66" t="s">
        <v>160</v>
      </c>
      <c r="I57" s="67" t="s">
        <v>4484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1039</v>
      </c>
      <c r="C58" s="66" t="s">
        <v>4484</v>
      </c>
      <c r="D58" s="62" t="s">
        <v>26</v>
      </c>
      <c r="E58" s="62" t="s">
        <v>26</v>
      </c>
      <c r="F58" s="60">
        <v>45747</v>
      </c>
      <c r="G58" s="62" t="s">
        <v>6337</v>
      </c>
      <c r="H58" s="66" t="s">
        <v>160</v>
      </c>
      <c r="I58" s="67" t="s">
        <v>4484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4484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4484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912</v>
      </c>
      <c r="C60" s="66" t="s">
        <v>4484</v>
      </c>
      <c r="D60" s="62" t="s">
        <v>26</v>
      </c>
      <c r="E60" s="62" t="s">
        <v>26</v>
      </c>
      <c r="F60" s="60">
        <v>45351</v>
      </c>
      <c r="G60" s="62" t="s">
        <v>6338</v>
      </c>
      <c r="H60" s="66" t="s">
        <v>160</v>
      </c>
      <c r="I60" s="67" t="s">
        <v>4484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4484</v>
      </c>
      <c r="D61" s="62" t="s">
        <v>26</v>
      </c>
      <c r="E61" s="62" t="s">
        <v>26</v>
      </c>
      <c r="F61" s="60">
        <v>45412</v>
      </c>
      <c r="G61" s="62" t="s">
        <v>6338</v>
      </c>
      <c r="H61" s="66" t="s">
        <v>160</v>
      </c>
      <c r="I61" s="67" t="s">
        <v>4484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4484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4484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4491</v>
      </c>
      <c r="C63" s="66" t="s">
        <v>4484</v>
      </c>
      <c r="D63" s="62" t="s">
        <v>26</v>
      </c>
      <c r="E63" s="62" t="s">
        <v>26</v>
      </c>
      <c r="F63" s="60">
        <v>45291</v>
      </c>
      <c r="G63" s="62" t="s">
        <v>6338</v>
      </c>
      <c r="H63" s="66" t="s">
        <v>160</v>
      </c>
      <c r="I63" s="67" t="s">
        <v>4484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913</v>
      </c>
      <c r="C64" s="66" t="s">
        <v>4484</v>
      </c>
      <c r="D64" s="62" t="s">
        <v>26</v>
      </c>
      <c r="E64" s="62" t="s">
        <v>26</v>
      </c>
      <c r="F64" s="60">
        <v>45351</v>
      </c>
      <c r="G64" s="62" t="s">
        <v>6338</v>
      </c>
      <c r="H64" s="66" t="s">
        <v>160</v>
      </c>
      <c r="I64" s="67" t="s">
        <v>4484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914</v>
      </c>
      <c r="C65" s="66" t="s">
        <v>4484</v>
      </c>
      <c r="D65" s="62" t="s">
        <v>26</v>
      </c>
      <c r="E65" s="62" t="s">
        <v>26</v>
      </c>
      <c r="F65" s="60">
        <v>45381</v>
      </c>
      <c r="G65" s="62" t="s">
        <v>6338</v>
      </c>
      <c r="H65" s="66" t="s">
        <v>160</v>
      </c>
      <c r="I65" s="67" t="s">
        <v>4484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4484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4484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4484</v>
      </c>
      <c r="D67" s="62" t="s">
        <v>26</v>
      </c>
      <c r="E67" s="62" t="s">
        <v>26</v>
      </c>
      <c r="F67" s="60">
        <v>45381</v>
      </c>
      <c r="G67" s="62" t="s">
        <v>6338</v>
      </c>
      <c r="H67" s="66" t="s">
        <v>160</v>
      </c>
      <c r="I67" s="67" t="s">
        <v>4484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4461</v>
      </c>
      <c r="C68" s="66" t="s">
        <v>4484</v>
      </c>
      <c r="D68" s="62" t="s">
        <v>26</v>
      </c>
      <c r="E68" s="62" t="s">
        <v>26</v>
      </c>
      <c r="F68" s="60">
        <v>45381</v>
      </c>
      <c r="G68" s="62" t="s">
        <v>6338</v>
      </c>
      <c r="H68" s="66" t="s">
        <v>160</v>
      </c>
      <c r="I68" s="67" t="s">
        <v>4484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4484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4484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4484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4484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4484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4484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4484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4484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6335</v>
      </c>
      <c r="C73" s="66" t="s">
        <v>4484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4484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916</v>
      </c>
      <c r="C74" s="66" t="s">
        <v>4484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4484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4475</v>
      </c>
      <c r="C75" s="66" t="s">
        <v>4484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4484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4484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4484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4484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4484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4451</v>
      </c>
      <c r="C78" s="66" t="s">
        <v>4484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4484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4492</v>
      </c>
      <c r="D79" s="62" t="s">
        <v>26</v>
      </c>
      <c r="E79" s="62" t="s">
        <v>4493</v>
      </c>
      <c r="F79" s="60">
        <v>45659</v>
      </c>
      <c r="G79" s="62" t="s">
        <v>26</v>
      </c>
      <c r="H79" s="66" t="s">
        <v>160</v>
      </c>
      <c r="I79" s="67" t="s">
        <v>758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4487</v>
      </c>
      <c r="D80" s="62" t="s">
        <v>4437</v>
      </c>
      <c r="E80" s="62" t="s">
        <v>903</v>
      </c>
      <c r="F80" s="60">
        <v>45659</v>
      </c>
      <c r="G80" s="62" t="s">
        <v>26</v>
      </c>
      <c r="H80" s="66" t="s">
        <v>160</v>
      </c>
      <c r="I80" s="67" t="s">
        <v>4433</v>
      </c>
      <c r="J80" s="63"/>
      <c r="K80" s="63">
        <v>50000</v>
      </c>
      <c r="L80" s="64">
        <v>-50000</v>
      </c>
    </row>
    <row r="81" spans="1:12" x14ac:dyDescent="0.25">
      <c r="A81" s="81">
        <v>45664</v>
      </c>
      <c r="B81" s="69" t="s">
        <v>45</v>
      </c>
      <c r="C81" s="11" t="s">
        <v>4487</v>
      </c>
      <c r="D81" s="62" t="s">
        <v>4437</v>
      </c>
      <c r="E81" s="11" t="s">
        <v>903</v>
      </c>
      <c r="F81" s="60">
        <v>45664</v>
      </c>
      <c r="G81" s="82" t="s">
        <v>26</v>
      </c>
      <c r="H81" s="11" t="s">
        <v>160</v>
      </c>
      <c r="I81" s="69" t="s">
        <v>4434</v>
      </c>
      <c r="J81" s="78"/>
      <c r="K81" s="78">
        <v>80000</v>
      </c>
      <c r="L81" s="83">
        <v>-80000</v>
      </c>
    </row>
    <row r="82" spans="1:12" x14ac:dyDescent="0.25">
      <c r="A82" s="81">
        <v>45664</v>
      </c>
      <c r="B82" s="67" t="s">
        <v>565</v>
      </c>
      <c r="C82" s="11" t="s">
        <v>4487</v>
      </c>
      <c r="D82" s="62" t="s">
        <v>4437</v>
      </c>
      <c r="E82" s="11" t="s">
        <v>903</v>
      </c>
      <c r="F82" s="60">
        <v>45664</v>
      </c>
      <c r="G82" s="82" t="s">
        <v>26</v>
      </c>
      <c r="H82" s="11" t="s">
        <v>160</v>
      </c>
      <c r="I82" s="69" t="s">
        <v>4434</v>
      </c>
      <c r="J82" s="78"/>
      <c r="K82" s="78">
        <v>40000</v>
      </c>
      <c r="L82" s="83">
        <v>-40000</v>
      </c>
    </row>
    <row r="83" spans="1:12" x14ac:dyDescent="0.25">
      <c r="A83" s="81">
        <v>45664</v>
      </c>
      <c r="B83" s="67" t="s">
        <v>163</v>
      </c>
      <c r="C83" s="11" t="s">
        <v>4487</v>
      </c>
      <c r="D83" s="62" t="s">
        <v>4437</v>
      </c>
      <c r="E83" s="11" t="s">
        <v>903</v>
      </c>
      <c r="F83" s="60">
        <v>45664</v>
      </c>
      <c r="G83" s="82" t="s">
        <v>26</v>
      </c>
      <c r="H83" s="11" t="s">
        <v>160</v>
      </c>
      <c r="I83" s="69" t="s">
        <v>4434</v>
      </c>
      <c r="J83" s="78"/>
      <c r="K83" s="78">
        <v>110000</v>
      </c>
      <c r="L83" s="83">
        <v>-110000</v>
      </c>
    </row>
    <row r="84" spans="1:12" x14ac:dyDescent="0.25">
      <c r="A84" s="81">
        <v>45665</v>
      </c>
      <c r="B84" s="67" t="s">
        <v>4451</v>
      </c>
      <c r="C84" s="11" t="s">
        <v>4487</v>
      </c>
      <c r="D84" s="62" t="s">
        <v>4437</v>
      </c>
      <c r="E84" s="82" t="s">
        <v>903</v>
      </c>
      <c r="F84" s="60">
        <v>45665</v>
      </c>
      <c r="G84" s="82" t="s">
        <v>26</v>
      </c>
      <c r="H84" s="11" t="s">
        <v>160</v>
      </c>
      <c r="I84" s="69" t="s">
        <v>4435</v>
      </c>
      <c r="J84" s="78"/>
      <c r="K84" s="78">
        <v>30000</v>
      </c>
      <c r="L84" s="83">
        <v>-30000</v>
      </c>
    </row>
    <row r="85" spans="1:12" x14ac:dyDescent="0.25">
      <c r="A85" s="81">
        <v>45665</v>
      </c>
      <c r="B85" s="67" t="s">
        <v>4452</v>
      </c>
      <c r="C85" s="11" t="s">
        <v>4487</v>
      </c>
      <c r="D85" s="82" t="s">
        <v>4437</v>
      </c>
      <c r="E85" s="82" t="s">
        <v>910</v>
      </c>
      <c r="F85" s="60">
        <v>45665</v>
      </c>
      <c r="G85" s="82" t="s">
        <v>26</v>
      </c>
      <c r="H85" s="11" t="s">
        <v>157</v>
      </c>
      <c r="I85" s="69" t="s">
        <v>4408</v>
      </c>
      <c r="J85" s="78"/>
      <c r="K85" s="78">
        <v>4910.3999999999996</v>
      </c>
      <c r="L85" s="83">
        <v>-4910.3999999999996</v>
      </c>
    </row>
    <row r="86" spans="1:12" x14ac:dyDescent="0.25">
      <c r="A86" s="81">
        <v>45665</v>
      </c>
      <c r="B86" s="67" t="s">
        <v>4452</v>
      </c>
      <c r="C86" s="11" t="s">
        <v>4487</v>
      </c>
      <c r="D86" s="82" t="s">
        <v>4437</v>
      </c>
      <c r="E86" s="82" t="s">
        <v>910</v>
      </c>
      <c r="F86" s="60">
        <v>45665</v>
      </c>
      <c r="G86" s="82" t="s">
        <v>26</v>
      </c>
      <c r="H86" s="11" t="s">
        <v>157</v>
      </c>
      <c r="I86" s="69" t="s">
        <v>4409</v>
      </c>
      <c r="J86" s="78"/>
      <c r="K86" s="78">
        <v>1636.8</v>
      </c>
      <c r="L86" s="83">
        <v>-1636.8</v>
      </c>
    </row>
    <row r="87" spans="1:12" x14ac:dyDescent="0.25">
      <c r="A87" s="81">
        <v>45666</v>
      </c>
      <c r="B87" s="61" t="s">
        <v>146</v>
      </c>
      <c r="C87" s="11" t="s">
        <v>4487</v>
      </c>
      <c r="D87" s="11" t="s">
        <v>4488</v>
      </c>
      <c r="E87" s="82" t="s">
        <v>910</v>
      </c>
      <c r="F87" s="84">
        <v>45666</v>
      </c>
      <c r="G87" s="82" t="s">
        <v>26</v>
      </c>
      <c r="H87" s="11" t="s">
        <v>157</v>
      </c>
      <c r="I87" s="69" t="s">
        <v>4406</v>
      </c>
      <c r="J87" s="78"/>
      <c r="K87" s="78">
        <v>50000</v>
      </c>
      <c r="L87" s="83">
        <v>-50000</v>
      </c>
    </row>
    <row r="88" spans="1:12" x14ac:dyDescent="0.25">
      <c r="A88" s="81">
        <v>45666</v>
      </c>
      <c r="B88" s="67" t="s">
        <v>4455</v>
      </c>
      <c r="C88" s="66" t="s">
        <v>4492</v>
      </c>
      <c r="D88" s="62" t="s">
        <v>26</v>
      </c>
      <c r="E88" s="82" t="s">
        <v>1016</v>
      </c>
      <c r="F88" s="84">
        <v>45647</v>
      </c>
      <c r="G88" s="82" t="s">
        <v>26</v>
      </c>
      <c r="H88" s="11" t="s">
        <v>160</v>
      </c>
      <c r="I88" s="69" t="s">
        <v>158</v>
      </c>
      <c r="J88" s="78">
        <v>40000</v>
      </c>
      <c r="K88" s="78">
        <v>0</v>
      </c>
      <c r="L88" s="83">
        <v>40000</v>
      </c>
    </row>
    <row r="89" spans="1:12" x14ac:dyDescent="0.25">
      <c r="A89" s="81">
        <v>45666</v>
      </c>
      <c r="B89" s="67" t="s">
        <v>4455</v>
      </c>
      <c r="C89" s="11" t="s">
        <v>4487</v>
      </c>
      <c r="D89" s="82" t="s">
        <v>4488</v>
      </c>
      <c r="E89" s="82" t="s">
        <v>903</v>
      </c>
      <c r="F89" s="84">
        <v>45666</v>
      </c>
      <c r="G89" s="82" t="s">
        <v>26</v>
      </c>
      <c r="H89" s="11" t="s">
        <v>160</v>
      </c>
      <c r="I89" s="69" t="s">
        <v>4436</v>
      </c>
      <c r="J89" s="78"/>
      <c r="K89" s="78">
        <v>40000</v>
      </c>
      <c r="L89" s="83">
        <v>-40000</v>
      </c>
    </row>
    <row r="90" spans="1:12" x14ac:dyDescent="0.25">
      <c r="A90" s="81">
        <v>45666</v>
      </c>
      <c r="B90" s="67" t="s">
        <v>4429</v>
      </c>
      <c r="C90" s="11" t="s">
        <v>4487</v>
      </c>
      <c r="D90" s="11" t="s">
        <v>4488</v>
      </c>
      <c r="E90" s="82" t="s">
        <v>1016</v>
      </c>
      <c r="F90" s="84">
        <v>45685</v>
      </c>
      <c r="G90" s="82" t="s">
        <v>26</v>
      </c>
      <c r="H90" s="11" t="s">
        <v>157</v>
      </c>
      <c r="I90" s="69" t="s">
        <v>4410</v>
      </c>
      <c r="J90" s="78"/>
      <c r="K90" s="78">
        <v>792008.75</v>
      </c>
      <c r="L90" s="83">
        <v>-792008.75</v>
      </c>
    </row>
    <row r="91" spans="1:12" x14ac:dyDescent="0.25">
      <c r="A91" s="81">
        <v>45666</v>
      </c>
      <c r="B91" s="67" t="s">
        <v>41</v>
      </c>
      <c r="C91" s="11" t="s">
        <v>4487</v>
      </c>
      <c r="D91" s="62" t="s">
        <v>4437</v>
      </c>
      <c r="E91" s="82" t="s">
        <v>903</v>
      </c>
      <c r="F91" s="84">
        <v>45666</v>
      </c>
      <c r="G91" s="82" t="s">
        <v>26</v>
      </c>
      <c r="H91" s="11" t="s">
        <v>160</v>
      </c>
      <c r="I91" s="69" t="s">
        <v>4437</v>
      </c>
      <c r="J91" s="78"/>
      <c r="K91" s="78">
        <v>20000</v>
      </c>
      <c r="L91" s="83">
        <v>-20000</v>
      </c>
    </row>
    <row r="92" spans="1:12" x14ac:dyDescent="0.25">
      <c r="A92" s="81">
        <v>45667</v>
      </c>
      <c r="B92" s="69" t="s">
        <v>140</v>
      </c>
      <c r="C92" s="66" t="s">
        <v>4492</v>
      </c>
      <c r="D92" s="62" t="s">
        <v>4437</v>
      </c>
      <c r="E92" s="82" t="s">
        <v>4493</v>
      </c>
      <c r="F92" s="84">
        <v>45667</v>
      </c>
      <c r="G92" s="82" t="s">
        <v>26</v>
      </c>
      <c r="H92" s="11" t="s">
        <v>160</v>
      </c>
      <c r="I92" s="69" t="s">
        <v>4494</v>
      </c>
      <c r="J92" s="79"/>
      <c r="K92" s="79">
        <v>50000</v>
      </c>
      <c r="L92" s="83">
        <v>-50000</v>
      </c>
    </row>
    <row r="93" spans="1:12" x14ac:dyDescent="0.25">
      <c r="A93" s="81">
        <v>45667</v>
      </c>
      <c r="B93" s="61" t="s">
        <v>146</v>
      </c>
      <c r="C93" s="11" t="s">
        <v>4487</v>
      </c>
      <c r="D93" s="11" t="s">
        <v>4488</v>
      </c>
      <c r="E93" s="82" t="s">
        <v>910</v>
      </c>
      <c r="F93" s="84">
        <v>45667</v>
      </c>
      <c r="G93" s="82" t="s">
        <v>26</v>
      </c>
      <c r="H93" s="11" t="s">
        <v>157</v>
      </c>
      <c r="I93" s="69" t="s">
        <v>4406</v>
      </c>
      <c r="J93" s="78"/>
      <c r="K93" s="78">
        <v>45086.38</v>
      </c>
      <c r="L93" s="83">
        <v>-45086.38</v>
      </c>
    </row>
    <row r="94" spans="1:12" x14ac:dyDescent="0.25">
      <c r="A94" s="81">
        <v>45667</v>
      </c>
      <c r="B94" s="69" t="s">
        <v>140</v>
      </c>
      <c r="C94" s="66" t="s">
        <v>4492</v>
      </c>
      <c r="D94" s="62" t="s">
        <v>4437</v>
      </c>
      <c r="E94" s="82" t="s">
        <v>4493</v>
      </c>
      <c r="F94" s="84">
        <v>45667</v>
      </c>
      <c r="G94" s="82" t="s">
        <v>26</v>
      </c>
      <c r="H94" s="11" t="s">
        <v>160</v>
      </c>
      <c r="I94" s="69" t="s">
        <v>4494</v>
      </c>
      <c r="J94" s="79">
        <v>50000</v>
      </c>
      <c r="K94" s="79">
        <v>0</v>
      </c>
      <c r="L94" s="83">
        <v>50000</v>
      </c>
    </row>
    <row r="95" spans="1:12" x14ac:dyDescent="0.25">
      <c r="A95" s="81">
        <v>45667</v>
      </c>
      <c r="B95" s="69" t="s">
        <v>140</v>
      </c>
      <c r="C95" s="11" t="s">
        <v>4487</v>
      </c>
      <c r="D95" s="62" t="s">
        <v>4437</v>
      </c>
      <c r="E95" s="82" t="s">
        <v>903</v>
      </c>
      <c r="F95" s="84">
        <v>45667</v>
      </c>
      <c r="G95" s="82" t="s">
        <v>26</v>
      </c>
      <c r="H95" s="11" t="s">
        <v>160</v>
      </c>
      <c r="I95" s="69" t="s">
        <v>4438</v>
      </c>
      <c r="J95" s="79"/>
      <c r="K95" s="79">
        <v>50000</v>
      </c>
      <c r="L95" s="83">
        <v>-50000</v>
      </c>
    </row>
    <row r="96" spans="1:12" x14ac:dyDescent="0.25">
      <c r="A96" s="81">
        <v>45670</v>
      </c>
      <c r="B96" s="67" t="s">
        <v>4430</v>
      </c>
      <c r="C96" s="11" t="s">
        <v>4487</v>
      </c>
      <c r="D96" s="11" t="s">
        <v>4488</v>
      </c>
      <c r="E96" s="82" t="s">
        <v>1016</v>
      </c>
      <c r="F96" s="84">
        <v>45747</v>
      </c>
      <c r="G96" s="82" t="s">
        <v>26</v>
      </c>
      <c r="H96" s="11" t="s">
        <v>157</v>
      </c>
      <c r="I96" s="69" t="s">
        <v>4411</v>
      </c>
      <c r="J96" s="78"/>
      <c r="K96" s="78">
        <v>191769.95</v>
      </c>
      <c r="L96" s="83">
        <v>-191769.95</v>
      </c>
    </row>
    <row r="97" spans="1:12" x14ac:dyDescent="0.25">
      <c r="A97" s="81">
        <v>45670</v>
      </c>
      <c r="B97" s="67" t="s">
        <v>4430</v>
      </c>
      <c r="C97" s="11" t="s">
        <v>4487</v>
      </c>
      <c r="D97" s="11" t="s">
        <v>4488</v>
      </c>
      <c r="E97" s="82" t="s">
        <v>1016</v>
      </c>
      <c r="F97" s="84">
        <v>45762</v>
      </c>
      <c r="G97" s="82" t="s">
        <v>26</v>
      </c>
      <c r="H97" s="11" t="s">
        <v>157</v>
      </c>
      <c r="I97" s="69" t="s">
        <v>4412</v>
      </c>
      <c r="J97" s="78"/>
      <c r="K97" s="78">
        <v>191769.95</v>
      </c>
      <c r="L97" s="83">
        <v>-191769.95</v>
      </c>
    </row>
    <row r="98" spans="1:12" x14ac:dyDescent="0.25">
      <c r="A98" s="81">
        <v>45673</v>
      </c>
      <c r="B98" s="69" t="s">
        <v>66</v>
      </c>
      <c r="C98" s="11" t="s">
        <v>4485</v>
      </c>
      <c r="D98" s="62" t="s">
        <v>26</v>
      </c>
      <c r="E98" s="82" t="s">
        <v>1016</v>
      </c>
      <c r="F98" s="84">
        <v>45673</v>
      </c>
      <c r="G98" s="82" t="s">
        <v>26</v>
      </c>
      <c r="H98" s="11" t="s">
        <v>157</v>
      </c>
      <c r="I98" s="69" t="s">
        <v>143</v>
      </c>
      <c r="J98" s="78">
        <v>76110</v>
      </c>
      <c r="K98" s="78">
        <v>0</v>
      </c>
      <c r="L98" s="83">
        <v>76110</v>
      </c>
    </row>
    <row r="99" spans="1:12" x14ac:dyDescent="0.25">
      <c r="A99" s="81">
        <v>45673</v>
      </c>
      <c r="B99" s="69" t="s">
        <v>66</v>
      </c>
      <c r="C99" s="11" t="s">
        <v>4487</v>
      </c>
      <c r="D99" s="11" t="s">
        <v>4488</v>
      </c>
      <c r="E99" s="82" t="s">
        <v>1016</v>
      </c>
      <c r="F99" s="84">
        <v>45765</v>
      </c>
      <c r="G99" s="82" t="s">
        <v>26</v>
      </c>
      <c r="H99" s="11" t="s">
        <v>157</v>
      </c>
      <c r="I99" s="69" t="s">
        <v>4413</v>
      </c>
      <c r="J99" s="78"/>
      <c r="K99" s="78">
        <v>58619.28</v>
      </c>
      <c r="L99" s="83">
        <v>-58619.28</v>
      </c>
    </row>
    <row r="100" spans="1:12" x14ac:dyDescent="0.25">
      <c r="A100" s="81">
        <v>45674</v>
      </c>
      <c r="B100" s="69" t="s">
        <v>149</v>
      </c>
      <c r="C100" s="11" t="s">
        <v>4485</v>
      </c>
      <c r="D100" s="62" t="s">
        <v>26</v>
      </c>
      <c r="E100" s="82" t="s">
        <v>1016</v>
      </c>
      <c r="F100" s="84">
        <v>45672</v>
      </c>
      <c r="G100" s="82" t="s">
        <v>26</v>
      </c>
      <c r="H100" s="11" t="s">
        <v>157</v>
      </c>
      <c r="I100" s="69" t="s">
        <v>4495</v>
      </c>
      <c r="J100" s="78">
        <v>59376.1</v>
      </c>
      <c r="K100" s="78">
        <v>0</v>
      </c>
      <c r="L100" s="83">
        <v>59376.1</v>
      </c>
    </row>
    <row r="101" spans="1:12" x14ac:dyDescent="0.25">
      <c r="A101" s="81">
        <v>45674</v>
      </c>
      <c r="B101" s="61" t="s">
        <v>146</v>
      </c>
      <c r="C101" s="11" t="s">
        <v>4487</v>
      </c>
      <c r="D101" s="11" t="s">
        <v>4488</v>
      </c>
      <c r="E101" s="82" t="s">
        <v>910</v>
      </c>
      <c r="F101" s="84">
        <v>45674</v>
      </c>
      <c r="G101" s="82" t="s">
        <v>26</v>
      </c>
      <c r="H101" s="11" t="s">
        <v>157</v>
      </c>
      <c r="I101" s="69" t="s">
        <v>4406</v>
      </c>
      <c r="J101" s="78"/>
      <c r="K101" s="78">
        <v>60000</v>
      </c>
      <c r="L101" s="83">
        <v>-60000</v>
      </c>
    </row>
    <row r="102" spans="1:12" x14ac:dyDescent="0.25">
      <c r="A102" s="81">
        <v>45674</v>
      </c>
      <c r="B102" s="67" t="s">
        <v>70</v>
      </c>
      <c r="C102" s="11" t="s">
        <v>4487</v>
      </c>
      <c r="D102" s="62" t="s">
        <v>4437</v>
      </c>
      <c r="E102" s="82" t="s">
        <v>903</v>
      </c>
      <c r="F102" s="84">
        <v>45674</v>
      </c>
      <c r="G102" s="82" t="s">
        <v>26</v>
      </c>
      <c r="H102" s="11" t="s">
        <v>160</v>
      </c>
      <c r="I102" s="69" t="s">
        <v>4434</v>
      </c>
      <c r="J102" s="78"/>
      <c r="K102" s="78">
        <v>50000</v>
      </c>
      <c r="L102" s="83">
        <v>-50000</v>
      </c>
    </row>
    <row r="103" spans="1:12" x14ac:dyDescent="0.25">
      <c r="A103" s="81">
        <v>45677</v>
      </c>
      <c r="B103" s="67" t="s">
        <v>4455</v>
      </c>
      <c r="C103" s="11" t="s">
        <v>4487</v>
      </c>
      <c r="D103" s="11" t="s">
        <v>4488</v>
      </c>
      <c r="E103" s="82" t="s">
        <v>1016</v>
      </c>
      <c r="F103" s="84">
        <v>45751</v>
      </c>
      <c r="G103" s="82" t="s">
        <v>26</v>
      </c>
      <c r="H103" s="11" t="s">
        <v>157</v>
      </c>
      <c r="I103" s="69" t="s">
        <v>4414</v>
      </c>
      <c r="J103" s="78"/>
      <c r="K103" s="78">
        <v>92300</v>
      </c>
      <c r="L103" s="83">
        <v>-92300</v>
      </c>
    </row>
    <row r="104" spans="1:12" x14ac:dyDescent="0.25">
      <c r="A104" s="81">
        <v>45677</v>
      </c>
      <c r="B104" s="67" t="s">
        <v>4455</v>
      </c>
      <c r="C104" s="11" t="s">
        <v>4487</v>
      </c>
      <c r="D104" s="11" t="s">
        <v>4488</v>
      </c>
      <c r="E104" s="82" t="s">
        <v>1016</v>
      </c>
      <c r="F104" s="84">
        <v>45772</v>
      </c>
      <c r="G104" s="82" t="s">
        <v>26</v>
      </c>
      <c r="H104" s="11" t="s">
        <v>157</v>
      </c>
      <c r="I104" s="69" t="s">
        <v>4415</v>
      </c>
      <c r="J104" s="78"/>
      <c r="K104" s="78">
        <v>92725.37</v>
      </c>
      <c r="L104" s="83">
        <v>-92725.37</v>
      </c>
    </row>
    <row r="105" spans="1:12" x14ac:dyDescent="0.25">
      <c r="A105" s="81">
        <v>45677</v>
      </c>
      <c r="B105" s="67" t="s">
        <v>4455</v>
      </c>
      <c r="C105" s="11" t="s">
        <v>4487</v>
      </c>
      <c r="D105" s="11" t="s">
        <v>4488</v>
      </c>
      <c r="E105" s="82" t="s">
        <v>1016</v>
      </c>
      <c r="F105" s="84">
        <v>45768</v>
      </c>
      <c r="G105" s="82" t="s">
        <v>26</v>
      </c>
      <c r="H105" s="11" t="s">
        <v>157</v>
      </c>
      <c r="I105" s="69" t="s">
        <v>4416</v>
      </c>
      <c r="J105" s="78"/>
      <c r="K105" s="78">
        <v>92300</v>
      </c>
      <c r="L105" s="83">
        <v>-92300</v>
      </c>
    </row>
    <row r="106" spans="1:12" x14ac:dyDescent="0.25">
      <c r="A106" s="81">
        <v>45677</v>
      </c>
      <c r="B106" s="67" t="s">
        <v>4455</v>
      </c>
      <c r="C106" s="11" t="s">
        <v>4487</v>
      </c>
      <c r="D106" s="11" t="s">
        <v>4488</v>
      </c>
      <c r="E106" s="82" t="s">
        <v>1016</v>
      </c>
      <c r="F106" s="84">
        <v>45763</v>
      </c>
      <c r="G106" s="82" t="s">
        <v>26</v>
      </c>
      <c r="H106" s="11" t="s">
        <v>157</v>
      </c>
      <c r="I106" s="69" t="s">
        <v>4417</v>
      </c>
      <c r="J106" s="78"/>
      <c r="K106" s="78">
        <v>92300</v>
      </c>
      <c r="L106" s="83">
        <v>-92300</v>
      </c>
    </row>
    <row r="107" spans="1:12" x14ac:dyDescent="0.25">
      <c r="A107" s="81">
        <v>45677</v>
      </c>
      <c r="B107" s="67" t="s">
        <v>4455</v>
      </c>
      <c r="C107" s="11" t="s">
        <v>4487</v>
      </c>
      <c r="D107" s="11" t="s">
        <v>4488</v>
      </c>
      <c r="E107" s="82" t="s">
        <v>1016</v>
      </c>
      <c r="F107" s="84">
        <v>45757</v>
      </c>
      <c r="G107" s="82" t="s">
        <v>26</v>
      </c>
      <c r="H107" s="11" t="s">
        <v>157</v>
      </c>
      <c r="I107" s="69" t="s">
        <v>4418</v>
      </c>
      <c r="J107" s="78"/>
      <c r="K107" s="78">
        <v>92300</v>
      </c>
      <c r="L107" s="83">
        <v>-92300</v>
      </c>
    </row>
    <row r="108" spans="1:12" x14ac:dyDescent="0.25">
      <c r="A108" s="81">
        <v>45677</v>
      </c>
      <c r="B108" s="69" t="s">
        <v>45</v>
      </c>
      <c r="C108" s="11" t="s">
        <v>4487</v>
      </c>
      <c r="D108" s="62" t="s">
        <v>4437</v>
      </c>
      <c r="E108" s="82" t="s">
        <v>903</v>
      </c>
      <c r="F108" s="84">
        <v>45677</v>
      </c>
      <c r="G108" s="82" t="s">
        <v>26</v>
      </c>
      <c r="H108" s="11" t="s">
        <v>160</v>
      </c>
      <c r="I108" s="69" t="s">
        <v>4434</v>
      </c>
      <c r="J108" s="78"/>
      <c r="K108" s="78">
        <v>50000</v>
      </c>
      <c r="L108" s="83">
        <v>-50000</v>
      </c>
    </row>
    <row r="109" spans="1:12" x14ac:dyDescent="0.25">
      <c r="A109" s="81">
        <v>45678</v>
      </c>
      <c r="B109" s="67" t="s">
        <v>4455</v>
      </c>
      <c r="C109" s="11" t="s">
        <v>4487</v>
      </c>
      <c r="D109" s="82" t="s">
        <v>4488</v>
      </c>
      <c r="E109" s="82" t="s">
        <v>1016</v>
      </c>
      <c r="F109" s="84">
        <v>45759</v>
      </c>
      <c r="G109" s="82" t="s">
        <v>26</v>
      </c>
      <c r="H109" s="11" t="s">
        <v>160</v>
      </c>
      <c r="I109" s="69" t="s">
        <v>4439</v>
      </c>
      <c r="J109" s="78"/>
      <c r="K109" s="78">
        <v>40000</v>
      </c>
      <c r="L109" s="83">
        <v>-40000</v>
      </c>
    </row>
    <row r="110" spans="1:12" x14ac:dyDescent="0.25">
      <c r="A110" s="81">
        <v>45678</v>
      </c>
      <c r="B110" s="67" t="s">
        <v>4455</v>
      </c>
      <c r="C110" s="11" t="s">
        <v>4487</v>
      </c>
      <c r="D110" s="82" t="s">
        <v>4488</v>
      </c>
      <c r="E110" s="82" t="s">
        <v>1016</v>
      </c>
      <c r="F110" s="84">
        <v>45769</v>
      </c>
      <c r="G110" s="82" t="s">
        <v>26</v>
      </c>
      <c r="H110" s="11" t="s">
        <v>160</v>
      </c>
      <c r="I110" s="69" t="s">
        <v>4440</v>
      </c>
      <c r="J110" s="78"/>
      <c r="K110" s="78">
        <v>40000</v>
      </c>
      <c r="L110" s="83">
        <v>-40000</v>
      </c>
    </row>
    <row r="111" spans="1:12" x14ac:dyDescent="0.25">
      <c r="A111" s="81">
        <v>45678</v>
      </c>
      <c r="B111" s="67" t="s">
        <v>4455</v>
      </c>
      <c r="C111" s="11" t="s">
        <v>4487</v>
      </c>
      <c r="D111" s="82" t="s">
        <v>4488</v>
      </c>
      <c r="E111" s="82" t="s">
        <v>1016</v>
      </c>
      <c r="F111" s="84">
        <v>45777</v>
      </c>
      <c r="G111" s="82" t="s">
        <v>26</v>
      </c>
      <c r="H111" s="11" t="s">
        <v>160</v>
      </c>
      <c r="I111" s="69" t="s">
        <v>4441</v>
      </c>
      <c r="J111" s="78"/>
      <c r="K111" s="78">
        <v>47832.19</v>
      </c>
      <c r="L111" s="83">
        <v>-47832.19</v>
      </c>
    </row>
    <row r="112" spans="1:12" x14ac:dyDescent="0.25">
      <c r="A112" s="81">
        <v>45678</v>
      </c>
      <c r="B112" s="67" t="s">
        <v>565</v>
      </c>
      <c r="C112" s="11" t="s">
        <v>4487</v>
      </c>
      <c r="D112" s="62" t="s">
        <v>4437</v>
      </c>
      <c r="E112" s="82" t="s">
        <v>903</v>
      </c>
      <c r="F112" s="84">
        <v>45678</v>
      </c>
      <c r="G112" s="82" t="s">
        <v>26</v>
      </c>
      <c r="H112" s="11" t="s">
        <v>160</v>
      </c>
      <c r="I112" s="69" t="s">
        <v>4434</v>
      </c>
      <c r="J112" s="78"/>
      <c r="K112" s="78">
        <v>40000</v>
      </c>
      <c r="L112" s="83">
        <v>-40000</v>
      </c>
    </row>
    <row r="113" spans="1:12" x14ac:dyDescent="0.25">
      <c r="A113" s="81">
        <v>45678</v>
      </c>
      <c r="B113" s="69" t="s">
        <v>4456</v>
      </c>
      <c r="C113" s="11" t="s">
        <v>4487</v>
      </c>
      <c r="D113" s="82" t="s">
        <v>4437</v>
      </c>
      <c r="E113" s="82" t="s">
        <v>910</v>
      </c>
      <c r="F113" s="84">
        <v>45678</v>
      </c>
      <c r="G113" s="82" t="s">
        <v>26</v>
      </c>
      <c r="H113" s="11" t="s">
        <v>157</v>
      </c>
      <c r="I113" s="69" t="s">
        <v>4419</v>
      </c>
      <c r="J113" s="78"/>
      <c r="K113" s="78">
        <v>72000</v>
      </c>
      <c r="L113" s="83">
        <v>-72000</v>
      </c>
    </row>
    <row r="114" spans="1:12" x14ac:dyDescent="0.25">
      <c r="A114" s="81">
        <v>45679</v>
      </c>
      <c r="B114" s="67" t="s">
        <v>4431</v>
      </c>
      <c r="C114" s="11" t="s">
        <v>4487</v>
      </c>
      <c r="D114" s="62" t="s">
        <v>4437</v>
      </c>
      <c r="E114" s="82" t="s">
        <v>903</v>
      </c>
      <c r="F114" s="84">
        <v>45679</v>
      </c>
      <c r="G114" s="82" t="s">
        <v>26</v>
      </c>
      <c r="H114" s="11" t="s">
        <v>160</v>
      </c>
      <c r="I114" s="69" t="s">
        <v>4442</v>
      </c>
      <c r="J114" s="78"/>
      <c r="K114" s="78">
        <v>12600</v>
      </c>
      <c r="L114" s="83">
        <v>-12600</v>
      </c>
    </row>
    <row r="115" spans="1:12" x14ac:dyDescent="0.25">
      <c r="A115" s="81">
        <v>45679</v>
      </c>
      <c r="B115" s="67" t="s">
        <v>4431</v>
      </c>
      <c r="C115" s="11" t="s">
        <v>4487</v>
      </c>
      <c r="D115" s="62" t="s">
        <v>4437</v>
      </c>
      <c r="E115" s="82" t="s">
        <v>903</v>
      </c>
      <c r="F115" s="84">
        <v>45679</v>
      </c>
      <c r="G115" s="82" t="s">
        <v>26</v>
      </c>
      <c r="H115" s="11" t="s">
        <v>160</v>
      </c>
      <c r="I115" s="69" t="s">
        <v>4443</v>
      </c>
      <c r="J115" s="78"/>
      <c r="K115" s="78">
        <v>12600</v>
      </c>
      <c r="L115" s="83">
        <v>-12600</v>
      </c>
    </row>
    <row r="116" spans="1:12" x14ac:dyDescent="0.25">
      <c r="A116" s="81">
        <v>45679</v>
      </c>
      <c r="B116" s="67" t="s">
        <v>41</v>
      </c>
      <c r="C116" s="11" t="s">
        <v>4487</v>
      </c>
      <c r="D116" s="62" t="s">
        <v>4437</v>
      </c>
      <c r="E116" s="82" t="s">
        <v>903</v>
      </c>
      <c r="F116" s="84">
        <v>45679</v>
      </c>
      <c r="G116" s="82" t="s">
        <v>26</v>
      </c>
      <c r="H116" s="11" t="s">
        <v>160</v>
      </c>
      <c r="I116" s="69" t="s">
        <v>4434</v>
      </c>
      <c r="J116" s="78"/>
      <c r="K116" s="78">
        <v>20000</v>
      </c>
      <c r="L116" s="83">
        <v>-20000</v>
      </c>
    </row>
    <row r="117" spans="1:12" x14ac:dyDescent="0.25">
      <c r="A117" s="81">
        <v>45680</v>
      </c>
      <c r="B117" s="69" t="s">
        <v>140</v>
      </c>
      <c r="C117" s="66" t="s">
        <v>4492</v>
      </c>
      <c r="D117" s="62" t="s">
        <v>4437</v>
      </c>
      <c r="E117" s="82" t="s">
        <v>4493</v>
      </c>
      <c r="F117" s="84">
        <v>45680</v>
      </c>
      <c r="G117" s="82" t="s">
        <v>26</v>
      </c>
      <c r="H117" s="11" t="s">
        <v>160</v>
      </c>
      <c r="I117" s="69" t="s">
        <v>4496</v>
      </c>
      <c r="J117" s="79"/>
      <c r="K117" s="79">
        <v>50000</v>
      </c>
      <c r="L117" s="83">
        <v>-50000</v>
      </c>
    </row>
    <row r="118" spans="1:12" x14ac:dyDescent="0.25">
      <c r="A118" s="81">
        <v>45680</v>
      </c>
      <c r="B118" s="69" t="s">
        <v>140</v>
      </c>
      <c r="C118" s="11" t="s">
        <v>4492</v>
      </c>
      <c r="D118" s="62" t="s">
        <v>4437</v>
      </c>
      <c r="E118" s="82" t="s">
        <v>4493</v>
      </c>
      <c r="F118" s="84">
        <v>45690</v>
      </c>
      <c r="G118" s="82" t="s">
        <v>26</v>
      </c>
      <c r="H118" s="11" t="s">
        <v>160</v>
      </c>
      <c r="I118" s="69" t="s">
        <v>4497</v>
      </c>
      <c r="J118" s="79"/>
      <c r="K118" s="79">
        <v>50000</v>
      </c>
      <c r="L118" s="83">
        <v>-50000</v>
      </c>
    </row>
    <row r="119" spans="1:12" x14ac:dyDescent="0.25">
      <c r="A119" s="81">
        <v>45681</v>
      </c>
      <c r="B119" s="67" t="s">
        <v>163</v>
      </c>
      <c r="C119" s="11" t="s">
        <v>4487</v>
      </c>
      <c r="D119" s="62" t="s">
        <v>4437</v>
      </c>
      <c r="E119" s="82" t="s">
        <v>903</v>
      </c>
      <c r="F119" s="84">
        <v>45681</v>
      </c>
      <c r="G119" s="82" t="s">
        <v>26</v>
      </c>
      <c r="H119" s="11" t="s">
        <v>160</v>
      </c>
      <c r="I119" s="69" t="s">
        <v>4434</v>
      </c>
      <c r="J119" s="78"/>
      <c r="K119" s="78">
        <v>70000</v>
      </c>
      <c r="L119" s="83">
        <v>-70000</v>
      </c>
    </row>
    <row r="120" spans="1:12" x14ac:dyDescent="0.25">
      <c r="A120" s="81">
        <v>45681</v>
      </c>
      <c r="B120" s="67" t="s">
        <v>41</v>
      </c>
      <c r="C120" s="11" t="s">
        <v>4487</v>
      </c>
      <c r="D120" s="62" t="s">
        <v>4437</v>
      </c>
      <c r="E120" s="82" t="s">
        <v>903</v>
      </c>
      <c r="F120" s="84">
        <v>45681</v>
      </c>
      <c r="G120" s="82" t="s">
        <v>26</v>
      </c>
      <c r="H120" s="11" t="s">
        <v>160</v>
      </c>
      <c r="I120" s="69" t="s">
        <v>4434</v>
      </c>
      <c r="J120" s="78"/>
      <c r="K120" s="78">
        <v>20000</v>
      </c>
      <c r="L120" s="83">
        <v>-20000</v>
      </c>
    </row>
    <row r="121" spans="1:12" x14ac:dyDescent="0.25">
      <c r="A121" s="81">
        <v>45680</v>
      </c>
      <c r="B121" s="69" t="s">
        <v>140</v>
      </c>
      <c r="C121" s="66" t="s">
        <v>4492</v>
      </c>
      <c r="D121" s="62" t="s">
        <v>4437</v>
      </c>
      <c r="E121" s="82" t="s">
        <v>4493</v>
      </c>
      <c r="F121" s="84">
        <v>45680</v>
      </c>
      <c r="G121" s="82" t="s">
        <v>26</v>
      </c>
      <c r="H121" s="11" t="s">
        <v>160</v>
      </c>
      <c r="I121" s="69" t="s">
        <v>4496</v>
      </c>
      <c r="J121" s="79">
        <v>50000</v>
      </c>
      <c r="K121" s="79"/>
      <c r="L121" s="83">
        <v>50000</v>
      </c>
    </row>
    <row r="122" spans="1:12" x14ac:dyDescent="0.25">
      <c r="A122" s="81">
        <v>45680</v>
      </c>
      <c r="B122" s="69" t="s">
        <v>140</v>
      </c>
      <c r="C122" s="11" t="s">
        <v>4487</v>
      </c>
      <c r="D122" s="62" t="s">
        <v>4437</v>
      </c>
      <c r="E122" s="82" t="s">
        <v>903</v>
      </c>
      <c r="F122" s="84">
        <v>45680</v>
      </c>
      <c r="G122" s="82" t="s">
        <v>26</v>
      </c>
      <c r="H122" s="11" t="s">
        <v>160</v>
      </c>
      <c r="I122" s="69" t="s">
        <v>4444</v>
      </c>
      <c r="J122" s="79"/>
      <c r="K122" s="79">
        <v>50000</v>
      </c>
      <c r="L122" s="83">
        <v>-50000</v>
      </c>
    </row>
    <row r="123" spans="1:12" x14ac:dyDescent="0.25">
      <c r="A123" s="81">
        <v>45681</v>
      </c>
      <c r="B123" s="67" t="s">
        <v>4430</v>
      </c>
      <c r="C123" s="66" t="s">
        <v>4492</v>
      </c>
      <c r="D123" s="62" t="s">
        <v>26</v>
      </c>
      <c r="E123" s="82" t="s">
        <v>1016</v>
      </c>
      <c r="F123" s="84">
        <v>45688</v>
      </c>
      <c r="G123" s="82" t="s">
        <v>26</v>
      </c>
      <c r="H123" s="11" t="s">
        <v>157</v>
      </c>
      <c r="I123" s="69" t="s">
        <v>142</v>
      </c>
      <c r="J123" s="78">
        <v>172945.02</v>
      </c>
      <c r="K123" s="78">
        <v>0</v>
      </c>
      <c r="L123" s="83">
        <v>172945.02</v>
      </c>
    </row>
    <row r="124" spans="1:12" x14ac:dyDescent="0.25">
      <c r="A124" s="81">
        <v>45681</v>
      </c>
      <c r="B124" s="67" t="s">
        <v>4430</v>
      </c>
      <c r="C124" s="11" t="s">
        <v>4487</v>
      </c>
      <c r="D124" s="11" t="s">
        <v>4488</v>
      </c>
      <c r="E124" s="82" t="s">
        <v>1016</v>
      </c>
      <c r="F124" s="84">
        <v>45703</v>
      </c>
      <c r="G124" s="82" t="s">
        <v>26</v>
      </c>
      <c r="H124" s="11" t="s">
        <v>157</v>
      </c>
      <c r="I124" s="69" t="s">
        <v>4420</v>
      </c>
      <c r="J124" s="78"/>
      <c r="K124" s="78">
        <v>172945.02</v>
      </c>
      <c r="L124" s="83">
        <v>-172945.02</v>
      </c>
    </row>
    <row r="125" spans="1:12" x14ac:dyDescent="0.25">
      <c r="A125" s="81">
        <v>45681</v>
      </c>
      <c r="B125" s="67" t="s">
        <v>4430</v>
      </c>
      <c r="C125" s="11" t="s">
        <v>4487</v>
      </c>
      <c r="D125" s="11" t="s">
        <v>4488</v>
      </c>
      <c r="E125" s="82" t="s">
        <v>1016</v>
      </c>
      <c r="F125" s="84">
        <v>45703</v>
      </c>
      <c r="G125" s="82" t="s">
        <v>26</v>
      </c>
      <c r="H125" s="11" t="s">
        <v>157</v>
      </c>
      <c r="I125" s="69" t="s">
        <v>4421</v>
      </c>
      <c r="J125" s="78"/>
      <c r="K125" s="78">
        <v>106577.4</v>
      </c>
      <c r="L125" s="83">
        <v>-106577.4</v>
      </c>
    </row>
    <row r="126" spans="1:12" x14ac:dyDescent="0.25">
      <c r="A126" s="81">
        <v>45684</v>
      </c>
      <c r="B126" s="69" t="s">
        <v>45</v>
      </c>
      <c r="C126" s="11" t="s">
        <v>4487</v>
      </c>
      <c r="D126" s="62" t="s">
        <v>4437</v>
      </c>
      <c r="E126" s="82" t="s">
        <v>903</v>
      </c>
      <c r="F126" s="84">
        <v>45684</v>
      </c>
      <c r="G126" s="82" t="s">
        <v>26</v>
      </c>
      <c r="H126" s="11" t="s">
        <v>160</v>
      </c>
      <c r="I126" s="69" t="s">
        <v>4434</v>
      </c>
      <c r="J126" s="78"/>
      <c r="K126" s="78">
        <v>60000</v>
      </c>
      <c r="L126" s="83">
        <v>-60000</v>
      </c>
    </row>
    <row r="127" spans="1:12" x14ac:dyDescent="0.25">
      <c r="A127" s="81">
        <v>45685</v>
      </c>
      <c r="B127" s="67" t="s">
        <v>4453</v>
      </c>
      <c r="C127" s="11" t="s">
        <v>4487</v>
      </c>
      <c r="D127" s="11" t="s">
        <v>4488</v>
      </c>
      <c r="E127" s="82" t="s">
        <v>1016</v>
      </c>
      <c r="F127" s="84">
        <v>45747</v>
      </c>
      <c r="G127" s="82" t="s">
        <v>26</v>
      </c>
      <c r="H127" s="11" t="s">
        <v>157</v>
      </c>
      <c r="I127" s="69" t="s">
        <v>4422</v>
      </c>
      <c r="J127" s="78"/>
      <c r="K127" s="78">
        <v>69619.48</v>
      </c>
      <c r="L127" s="83">
        <v>-69619.48</v>
      </c>
    </row>
    <row r="128" spans="1:12" x14ac:dyDescent="0.25">
      <c r="A128" s="81">
        <v>45685</v>
      </c>
      <c r="B128" s="67" t="s">
        <v>4453</v>
      </c>
      <c r="C128" s="11" t="s">
        <v>4487</v>
      </c>
      <c r="D128" s="11" t="s">
        <v>4488</v>
      </c>
      <c r="E128" s="82" t="s">
        <v>1016</v>
      </c>
      <c r="F128" s="84">
        <v>45758</v>
      </c>
      <c r="G128" s="82" t="s">
        <v>26</v>
      </c>
      <c r="H128" s="11" t="s">
        <v>157</v>
      </c>
      <c r="I128" s="69" t="s">
        <v>4423</v>
      </c>
      <c r="J128" s="78"/>
      <c r="K128" s="78">
        <v>69619.48</v>
      </c>
      <c r="L128" s="83">
        <v>-69619.48</v>
      </c>
    </row>
    <row r="129" spans="1:12" x14ac:dyDescent="0.25">
      <c r="A129" s="81">
        <v>45685</v>
      </c>
      <c r="B129" s="67" t="s">
        <v>4453</v>
      </c>
      <c r="C129" s="11" t="s">
        <v>4487</v>
      </c>
      <c r="D129" s="11" t="s">
        <v>4488</v>
      </c>
      <c r="E129" s="82" t="s">
        <v>1016</v>
      </c>
      <c r="F129" s="84">
        <v>45777</v>
      </c>
      <c r="G129" s="82" t="s">
        <v>26</v>
      </c>
      <c r="H129" s="11" t="s">
        <v>157</v>
      </c>
      <c r="I129" s="69" t="s">
        <v>4424</v>
      </c>
      <c r="J129" s="78"/>
      <c r="K129" s="78">
        <v>69619.48</v>
      </c>
      <c r="L129" s="83">
        <v>-69619.48</v>
      </c>
    </row>
    <row r="130" spans="1:12" x14ac:dyDescent="0.25">
      <c r="A130" s="81">
        <v>45685</v>
      </c>
      <c r="B130" s="67" t="s">
        <v>41</v>
      </c>
      <c r="C130" s="11" t="s">
        <v>4487</v>
      </c>
      <c r="D130" s="62" t="s">
        <v>4437</v>
      </c>
      <c r="E130" s="82" t="s">
        <v>903</v>
      </c>
      <c r="F130" s="84">
        <v>45685</v>
      </c>
      <c r="G130" s="82" t="s">
        <v>26</v>
      </c>
      <c r="H130" s="11" t="s">
        <v>160</v>
      </c>
      <c r="I130" s="69" t="s">
        <v>4434</v>
      </c>
      <c r="J130" s="78"/>
      <c r="K130" s="78">
        <v>20000</v>
      </c>
      <c r="L130" s="83">
        <v>-20000</v>
      </c>
    </row>
    <row r="131" spans="1:12" x14ac:dyDescent="0.25">
      <c r="A131" s="81">
        <v>45685</v>
      </c>
      <c r="B131" s="61" t="s">
        <v>146</v>
      </c>
      <c r="C131" s="11" t="s">
        <v>4487</v>
      </c>
      <c r="D131" s="11" t="s">
        <v>4488</v>
      </c>
      <c r="E131" s="82" t="s">
        <v>910</v>
      </c>
      <c r="F131" s="84">
        <v>45685</v>
      </c>
      <c r="G131" s="82" t="s">
        <v>26</v>
      </c>
      <c r="H131" s="11" t="s">
        <v>157</v>
      </c>
      <c r="I131" s="69" t="s">
        <v>4425</v>
      </c>
      <c r="J131" s="78"/>
      <c r="K131" s="78">
        <v>60000</v>
      </c>
      <c r="L131" s="83">
        <v>-60000</v>
      </c>
    </row>
    <row r="132" spans="1:12" x14ac:dyDescent="0.25">
      <c r="A132" s="81">
        <v>45686</v>
      </c>
      <c r="B132" s="67" t="s">
        <v>4431</v>
      </c>
      <c r="C132" s="11" t="s">
        <v>4487</v>
      </c>
      <c r="D132" s="82" t="s">
        <v>4488</v>
      </c>
      <c r="E132" s="82" t="s">
        <v>910</v>
      </c>
      <c r="F132" s="84">
        <v>45686</v>
      </c>
      <c r="G132" s="82" t="s">
        <v>26</v>
      </c>
      <c r="H132" s="11" t="s">
        <v>157</v>
      </c>
      <c r="I132" s="69" t="s">
        <v>4426</v>
      </c>
      <c r="J132" s="78"/>
      <c r="K132" s="78">
        <v>80000</v>
      </c>
      <c r="L132" s="83">
        <v>-80000</v>
      </c>
    </row>
    <row r="133" spans="1:12" x14ac:dyDescent="0.25">
      <c r="A133" s="81">
        <v>45687</v>
      </c>
      <c r="B133" s="67" t="s">
        <v>4430</v>
      </c>
      <c r="C133" s="11" t="s">
        <v>4487</v>
      </c>
      <c r="D133" s="82" t="s">
        <v>4488</v>
      </c>
      <c r="E133" s="82" t="s">
        <v>1016</v>
      </c>
      <c r="F133" s="84">
        <v>45777</v>
      </c>
      <c r="G133" s="82" t="s">
        <v>26</v>
      </c>
      <c r="H133" s="11" t="s">
        <v>157</v>
      </c>
      <c r="I133" s="69" t="s">
        <v>4427</v>
      </c>
      <c r="J133" s="78"/>
      <c r="K133" s="78">
        <v>269033.57</v>
      </c>
      <c r="L133" s="83">
        <v>-269033.57</v>
      </c>
    </row>
    <row r="134" spans="1:12" x14ac:dyDescent="0.25">
      <c r="A134" s="81">
        <v>45687</v>
      </c>
      <c r="B134" s="67" t="s">
        <v>41</v>
      </c>
      <c r="C134" s="11" t="s">
        <v>4487</v>
      </c>
      <c r="D134" s="82" t="s">
        <v>4437</v>
      </c>
      <c r="E134" s="82" t="s">
        <v>903</v>
      </c>
      <c r="F134" s="84">
        <v>45687</v>
      </c>
      <c r="G134" s="82" t="s">
        <v>26</v>
      </c>
      <c r="H134" s="11" t="s">
        <v>160</v>
      </c>
      <c r="I134" s="69" t="s">
        <v>4434</v>
      </c>
      <c r="J134" s="78"/>
      <c r="K134" s="78">
        <v>20000</v>
      </c>
      <c r="L134" s="83">
        <v>-20000</v>
      </c>
    </row>
    <row r="135" spans="1:12" x14ac:dyDescent="0.25">
      <c r="A135" s="81">
        <v>45687</v>
      </c>
      <c r="B135" s="67" t="s">
        <v>163</v>
      </c>
      <c r="C135" s="11" t="s">
        <v>4487</v>
      </c>
      <c r="D135" s="82" t="s">
        <v>4437</v>
      </c>
      <c r="E135" s="82" t="s">
        <v>903</v>
      </c>
      <c r="F135" s="84">
        <v>45687</v>
      </c>
      <c r="G135" s="82" t="s">
        <v>26</v>
      </c>
      <c r="H135" s="11" t="s">
        <v>160</v>
      </c>
      <c r="I135" s="69" t="s">
        <v>4434</v>
      </c>
      <c r="J135" s="78"/>
      <c r="K135" s="78">
        <v>20000</v>
      </c>
      <c r="L135" s="83">
        <v>-20000</v>
      </c>
    </row>
    <row r="136" spans="1:12" x14ac:dyDescent="0.25">
      <c r="A136" s="81">
        <v>45687</v>
      </c>
      <c r="B136" s="69" t="s">
        <v>4449</v>
      </c>
      <c r="C136" s="11" t="s">
        <v>4487</v>
      </c>
      <c r="D136" s="82" t="s">
        <v>4437</v>
      </c>
      <c r="E136" s="82" t="s">
        <v>910</v>
      </c>
      <c r="F136" s="84">
        <v>45687</v>
      </c>
      <c r="G136" s="82" t="s">
        <v>26</v>
      </c>
      <c r="H136" s="11" t="s">
        <v>157</v>
      </c>
      <c r="I136" s="69" t="s">
        <v>4428</v>
      </c>
      <c r="J136" s="78"/>
      <c r="K136" s="78">
        <v>19776</v>
      </c>
      <c r="L136" s="83">
        <v>-19776</v>
      </c>
    </row>
    <row r="137" spans="1:12" x14ac:dyDescent="0.25">
      <c r="A137" s="81">
        <v>45688</v>
      </c>
      <c r="B137" s="67" t="s">
        <v>141</v>
      </c>
      <c r="C137" s="11" t="s">
        <v>4487</v>
      </c>
      <c r="D137" s="82" t="s">
        <v>4437</v>
      </c>
      <c r="E137" s="82" t="s">
        <v>903</v>
      </c>
      <c r="F137" s="84">
        <v>45688</v>
      </c>
      <c r="G137" s="82" t="s">
        <v>26</v>
      </c>
      <c r="H137" s="11" t="s">
        <v>160</v>
      </c>
      <c r="I137" s="69" t="s">
        <v>4434</v>
      </c>
      <c r="J137" s="78"/>
      <c r="K137" s="78">
        <v>10000</v>
      </c>
      <c r="L137" s="83">
        <v>-10000</v>
      </c>
    </row>
    <row r="138" spans="1:12" x14ac:dyDescent="0.25">
      <c r="A138" s="81">
        <v>45689</v>
      </c>
      <c r="B138" s="67" t="s">
        <v>41</v>
      </c>
      <c r="C138" s="11" t="s">
        <v>4487</v>
      </c>
      <c r="D138" s="82" t="s">
        <v>4437</v>
      </c>
      <c r="E138" s="82" t="s">
        <v>903</v>
      </c>
      <c r="F138" s="84">
        <v>45688</v>
      </c>
      <c r="G138" s="82" t="s">
        <v>26</v>
      </c>
      <c r="H138" s="11" t="s">
        <v>160</v>
      </c>
      <c r="I138" s="69" t="s">
        <v>4434</v>
      </c>
      <c r="J138" s="78"/>
      <c r="K138" s="78">
        <v>20000</v>
      </c>
      <c r="L138" s="83">
        <v>-20000</v>
      </c>
    </row>
    <row r="139" spans="1:12" x14ac:dyDescent="0.25">
      <c r="A139" s="81">
        <v>45691</v>
      </c>
      <c r="B139" s="67" t="s">
        <v>4455</v>
      </c>
      <c r="C139" s="11" t="s">
        <v>4492</v>
      </c>
      <c r="D139" s="82" t="s">
        <v>4488</v>
      </c>
      <c r="E139" s="82" t="s">
        <v>1016</v>
      </c>
      <c r="F139" s="84">
        <v>45656</v>
      </c>
      <c r="G139" s="82" t="s">
        <v>26</v>
      </c>
      <c r="H139" s="11" t="s">
        <v>160</v>
      </c>
      <c r="I139" s="69" t="s">
        <v>159</v>
      </c>
      <c r="J139" s="78">
        <v>47082</v>
      </c>
      <c r="K139" s="78">
        <v>0</v>
      </c>
      <c r="L139" s="83">
        <v>47082</v>
      </c>
    </row>
    <row r="140" spans="1:12" x14ac:dyDescent="0.25">
      <c r="A140" s="81">
        <v>45691</v>
      </c>
      <c r="B140" s="67" t="s">
        <v>4455</v>
      </c>
      <c r="C140" s="11" t="s">
        <v>4487</v>
      </c>
      <c r="D140" s="82" t="s">
        <v>4488</v>
      </c>
      <c r="E140" s="82" t="s">
        <v>903</v>
      </c>
      <c r="F140" s="84">
        <v>45691</v>
      </c>
      <c r="G140" s="82" t="s">
        <v>26</v>
      </c>
      <c r="H140" s="11" t="s">
        <v>160</v>
      </c>
      <c r="I140" s="69" t="s">
        <v>4498</v>
      </c>
      <c r="J140" s="78"/>
      <c r="K140" s="78">
        <v>47082</v>
      </c>
      <c r="L140" s="83">
        <v>-47082</v>
      </c>
    </row>
    <row r="141" spans="1:12" x14ac:dyDescent="0.25">
      <c r="A141" s="81">
        <v>45691</v>
      </c>
      <c r="B141" s="67" t="s">
        <v>4468</v>
      </c>
      <c r="C141" s="11" t="s">
        <v>4485</v>
      </c>
      <c r="D141" s="82" t="s">
        <v>4488</v>
      </c>
      <c r="E141" s="82" t="s">
        <v>1016</v>
      </c>
      <c r="F141" s="84">
        <v>45687</v>
      </c>
      <c r="G141" s="82" t="s">
        <v>26</v>
      </c>
      <c r="H141" s="11" t="s">
        <v>157</v>
      </c>
      <c r="I141" s="69" t="s">
        <v>4499</v>
      </c>
      <c r="J141" s="78">
        <v>60850.51</v>
      </c>
      <c r="K141" s="78">
        <v>0</v>
      </c>
      <c r="L141" s="83">
        <v>60850.51</v>
      </c>
    </row>
    <row r="142" spans="1:12" x14ac:dyDescent="0.25">
      <c r="A142" s="81">
        <v>45691</v>
      </c>
      <c r="B142" s="67" t="s">
        <v>4430</v>
      </c>
      <c r="C142" s="11" t="s">
        <v>4485</v>
      </c>
      <c r="D142" s="82" t="s">
        <v>4488</v>
      </c>
      <c r="E142" s="82" t="s">
        <v>1016</v>
      </c>
      <c r="F142" s="84">
        <v>45687</v>
      </c>
      <c r="G142" s="82" t="s">
        <v>26</v>
      </c>
      <c r="H142" s="11" t="s">
        <v>157</v>
      </c>
      <c r="I142" s="69" t="s">
        <v>4500</v>
      </c>
      <c r="J142" s="78">
        <v>172945.02</v>
      </c>
      <c r="K142" s="78">
        <v>0</v>
      </c>
      <c r="L142" s="83">
        <v>172945.02</v>
      </c>
    </row>
    <row r="143" spans="1:12" x14ac:dyDescent="0.25">
      <c r="A143" s="81">
        <v>45691</v>
      </c>
      <c r="B143" s="69" t="s">
        <v>66</v>
      </c>
      <c r="C143" s="11" t="s">
        <v>4487</v>
      </c>
      <c r="D143" s="82" t="s">
        <v>4488</v>
      </c>
      <c r="E143" s="82" t="s">
        <v>910</v>
      </c>
      <c r="F143" s="84">
        <v>45691</v>
      </c>
      <c r="G143" s="82" t="s">
        <v>26</v>
      </c>
      <c r="H143" s="11" t="s">
        <v>157</v>
      </c>
      <c r="I143" s="69" t="s">
        <v>4501</v>
      </c>
      <c r="J143" s="78"/>
      <c r="K143" s="78">
        <v>40000</v>
      </c>
      <c r="L143" s="83">
        <v>-40000</v>
      </c>
    </row>
    <row r="144" spans="1:12" x14ac:dyDescent="0.25">
      <c r="A144" s="81">
        <v>45691</v>
      </c>
      <c r="B144" s="67" t="s">
        <v>141</v>
      </c>
      <c r="C144" s="11" t="s">
        <v>4487</v>
      </c>
      <c r="D144" s="82" t="s">
        <v>4437</v>
      </c>
      <c r="E144" s="82" t="s">
        <v>903</v>
      </c>
      <c r="F144" s="84">
        <v>45691</v>
      </c>
      <c r="G144" s="82"/>
      <c r="H144" s="11" t="s">
        <v>160</v>
      </c>
      <c r="I144" s="69" t="s">
        <v>4434</v>
      </c>
      <c r="J144" s="78"/>
      <c r="K144" s="78">
        <v>20000</v>
      </c>
      <c r="L144" s="83">
        <v>-20000</v>
      </c>
    </row>
    <row r="145" spans="1:12" x14ac:dyDescent="0.25">
      <c r="A145" s="81">
        <v>45692</v>
      </c>
      <c r="B145" s="69" t="s">
        <v>140</v>
      </c>
      <c r="C145" s="11" t="s">
        <v>4492</v>
      </c>
      <c r="D145" s="62" t="s">
        <v>4437</v>
      </c>
      <c r="E145" s="82" t="s">
        <v>4493</v>
      </c>
      <c r="F145" s="84">
        <v>45690</v>
      </c>
      <c r="G145" s="82" t="s">
        <v>26</v>
      </c>
      <c r="H145" s="11" t="s">
        <v>160</v>
      </c>
      <c r="I145" s="69" t="s">
        <v>4497</v>
      </c>
      <c r="J145" s="79">
        <v>50000</v>
      </c>
      <c r="K145" s="79"/>
      <c r="L145" s="83">
        <v>50000</v>
      </c>
    </row>
    <row r="146" spans="1:12" x14ac:dyDescent="0.25">
      <c r="A146" s="81">
        <v>45692</v>
      </c>
      <c r="B146" s="69" t="s">
        <v>140</v>
      </c>
      <c r="C146" s="11" t="s">
        <v>4487</v>
      </c>
      <c r="D146" s="82" t="s">
        <v>4437</v>
      </c>
      <c r="E146" s="82" t="s">
        <v>903</v>
      </c>
      <c r="F146" s="84">
        <v>45690</v>
      </c>
      <c r="G146" s="82" t="s">
        <v>26</v>
      </c>
      <c r="H146" s="11" t="s">
        <v>160</v>
      </c>
      <c r="I146" s="69" t="s">
        <v>4502</v>
      </c>
      <c r="J146" s="78"/>
      <c r="K146" s="78">
        <v>50000</v>
      </c>
      <c r="L146" s="83">
        <v>-50000</v>
      </c>
    </row>
    <row r="147" spans="1:12" x14ac:dyDescent="0.25">
      <c r="A147" s="81">
        <v>45688</v>
      </c>
      <c r="B147" s="67" t="s">
        <v>4452</v>
      </c>
      <c r="C147" s="11" t="s">
        <v>4503</v>
      </c>
      <c r="D147" s="82" t="s">
        <v>4437</v>
      </c>
      <c r="E147" s="82" t="s">
        <v>26</v>
      </c>
      <c r="F147" s="84">
        <v>45688</v>
      </c>
      <c r="G147" s="82" t="s">
        <v>6338</v>
      </c>
      <c r="H147" s="11" t="s">
        <v>157</v>
      </c>
      <c r="I147" s="69" t="s">
        <v>4504</v>
      </c>
      <c r="J147" s="78">
        <v>4910.3999999999996</v>
      </c>
      <c r="K147" s="78">
        <v>0</v>
      </c>
      <c r="L147" s="83">
        <v>4910.3999999999996</v>
      </c>
    </row>
    <row r="148" spans="1:12" x14ac:dyDescent="0.25">
      <c r="A148" s="81">
        <v>45688</v>
      </c>
      <c r="B148" s="67" t="s">
        <v>4452</v>
      </c>
      <c r="C148" s="11" t="s">
        <v>4503</v>
      </c>
      <c r="D148" s="82" t="s">
        <v>4437</v>
      </c>
      <c r="E148" s="82" t="s">
        <v>26</v>
      </c>
      <c r="F148" s="84">
        <v>45688</v>
      </c>
      <c r="G148" s="82" t="s">
        <v>6338</v>
      </c>
      <c r="H148" s="11" t="s">
        <v>157</v>
      </c>
      <c r="I148" s="69" t="s">
        <v>4505</v>
      </c>
      <c r="J148" s="78">
        <v>1488</v>
      </c>
      <c r="K148" s="78">
        <v>0</v>
      </c>
      <c r="L148" s="83">
        <v>1488</v>
      </c>
    </row>
    <row r="149" spans="1:12" x14ac:dyDescent="0.25">
      <c r="A149" s="81">
        <v>45688</v>
      </c>
      <c r="B149" s="61" t="s">
        <v>146</v>
      </c>
      <c r="C149" s="11" t="s">
        <v>4503</v>
      </c>
      <c r="D149" s="82" t="s">
        <v>4488</v>
      </c>
      <c r="E149" s="82" t="s">
        <v>26</v>
      </c>
      <c r="F149" s="84">
        <v>45778</v>
      </c>
      <c r="G149" s="82" t="s">
        <v>6337</v>
      </c>
      <c r="H149" s="11" t="s">
        <v>157</v>
      </c>
      <c r="I149" s="69" t="s">
        <v>4506</v>
      </c>
      <c r="J149" s="78">
        <v>180245.52</v>
      </c>
      <c r="K149" s="78">
        <v>0</v>
      </c>
      <c r="L149" s="83">
        <v>180245.52</v>
      </c>
    </row>
    <row r="150" spans="1:12" x14ac:dyDescent="0.25">
      <c r="A150" s="81">
        <v>45688</v>
      </c>
      <c r="B150" s="69" t="s">
        <v>66</v>
      </c>
      <c r="C150" s="11" t="s">
        <v>4503</v>
      </c>
      <c r="D150" s="82" t="s">
        <v>4488</v>
      </c>
      <c r="E150" s="82" t="s">
        <v>26</v>
      </c>
      <c r="F150" s="84">
        <v>45778</v>
      </c>
      <c r="G150" s="82" t="s">
        <v>6337</v>
      </c>
      <c r="H150" s="11" t="s">
        <v>157</v>
      </c>
      <c r="I150" s="69" t="s">
        <v>4507</v>
      </c>
      <c r="J150" s="78">
        <v>107895.12000000001</v>
      </c>
      <c r="K150" s="78">
        <v>0</v>
      </c>
      <c r="L150" s="83">
        <v>107895.12000000001</v>
      </c>
    </row>
    <row r="151" spans="1:12" x14ac:dyDescent="0.25">
      <c r="A151" s="81">
        <v>45688</v>
      </c>
      <c r="B151" s="69" t="s">
        <v>4456</v>
      </c>
      <c r="C151" s="11" t="s">
        <v>4503</v>
      </c>
      <c r="D151" s="82" t="s">
        <v>4437</v>
      </c>
      <c r="E151" s="82" t="s">
        <v>26</v>
      </c>
      <c r="F151" s="84">
        <v>45688</v>
      </c>
      <c r="G151" s="82" t="s">
        <v>6338</v>
      </c>
      <c r="H151" s="11" t="s">
        <v>157</v>
      </c>
      <c r="I151" s="69" t="s">
        <v>4508</v>
      </c>
      <c r="J151" s="78">
        <v>32359.559999999998</v>
      </c>
      <c r="K151" s="78">
        <v>0</v>
      </c>
      <c r="L151" s="83">
        <v>32359.559999999998</v>
      </c>
    </row>
    <row r="152" spans="1:12" x14ac:dyDescent="0.25">
      <c r="A152" s="81">
        <v>45688</v>
      </c>
      <c r="B152" s="67" t="s">
        <v>4455</v>
      </c>
      <c r="C152" s="11" t="s">
        <v>4503</v>
      </c>
      <c r="D152" s="82" t="s">
        <v>4488</v>
      </c>
      <c r="E152" s="82" t="s">
        <v>26</v>
      </c>
      <c r="F152" s="84">
        <v>45778</v>
      </c>
      <c r="G152" s="82" t="s">
        <v>6337</v>
      </c>
      <c r="H152" s="11" t="s">
        <v>157</v>
      </c>
      <c r="I152" s="69" t="s">
        <v>4508</v>
      </c>
      <c r="J152" s="78">
        <v>204829.03199999998</v>
      </c>
      <c r="K152" s="78">
        <v>0</v>
      </c>
      <c r="L152" s="83">
        <v>204829.03199999998</v>
      </c>
    </row>
    <row r="153" spans="1:12" x14ac:dyDescent="0.25">
      <c r="A153" s="81">
        <v>45688</v>
      </c>
      <c r="B153" s="67" t="s">
        <v>4430</v>
      </c>
      <c r="C153" s="11" t="s">
        <v>4503</v>
      </c>
      <c r="D153" s="82" t="s">
        <v>4488</v>
      </c>
      <c r="E153" s="82" t="s">
        <v>26</v>
      </c>
      <c r="F153" s="84">
        <v>45808</v>
      </c>
      <c r="G153" s="82" t="s">
        <v>6337</v>
      </c>
      <c r="H153" s="11" t="s">
        <v>157</v>
      </c>
      <c r="I153" s="69" t="s">
        <v>4509</v>
      </c>
      <c r="J153" s="78">
        <v>438436.17599999998</v>
      </c>
      <c r="K153" s="78">
        <v>0</v>
      </c>
      <c r="L153" s="83">
        <v>438436.17599999998</v>
      </c>
    </row>
    <row r="154" spans="1:12" x14ac:dyDescent="0.25">
      <c r="A154" s="81">
        <v>45688</v>
      </c>
      <c r="B154" s="69" t="s">
        <v>4449</v>
      </c>
      <c r="C154" s="11" t="s">
        <v>4503</v>
      </c>
      <c r="D154" s="82" t="s">
        <v>4437</v>
      </c>
      <c r="E154" s="82" t="s">
        <v>26</v>
      </c>
      <c r="F154" s="84">
        <v>45688</v>
      </c>
      <c r="G154" s="82" t="s">
        <v>6338</v>
      </c>
      <c r="H154" s="11" t="s">
        <v>157</v>
      </c>
      <c r="I154" s="69" t="s">
        <v>4510</v>
      </c>
      <c r="J154" s="78">
        <v>3991.5839999999998</v>
      </c>
      <c r="K154" s="78">
        <v>0</v>
      </c>
      <c r="L154" s="83">
        <v>3991.5839999999998</v>
      </c>
    </row>
    <row r="155" spans="1:12" x14ac:dyDescent="0.25">
      <c r="A155" s="81">
        <v>45688</v>
      </c>
      <c r="B155" s="67" t="s">
        <v>4453</v>
      </c>
      <c r="C155" s="11" t="s">
        <v>4503</v>
      </c>
      <c r="D155" s="82" t="s">
        <v>4488</v>
      </c>
      <c r="E155" s="82" t="s">
        <v>26</v>
      </c>
      <c r="F155" s="84">
        <v>45808</v>
      </c>
      <c r="G155" s="82" t="s">
        <v>6337</v>
      </c>
      <c r="H155" s="11" t="s">
        <v>157</v>
      </c>
      <c r="I155" s="69" t="s">
        <v>4511</v>
      </c>
      <c r="J155" s="78">
        <v>259063.34399999998</v>
      </c>
      <c r="K155" s="78">
        <v>0</v>
      </c>
      <c r="L155" s="83">
        <v>259063.34399999998</v>
      </c>
    </row>
    <row r="156" spans="1:12" x14ac:dyDescent="0.25">
      <c r="A156" s="81">
        <v>45688</v>
      </c>
      <c r="B156" s="67" t="s">
        <v>4431</v>
      </c>
      <c r="C156" s="11" t="s">
        <v>4503</v>
      </c>
      <c r="D156" s="82" t="s">
        <v>4488</v>
      </c>
      <c r="E156" s="82" t="s">
        <v>26</v>
      </c>
      <c r="F156" s="84">
        <v>45748</v>
      </c>
      <c r="G156" s="82" t="s">
        <v>6337</v>
      </c>
      <c r="H156" s="11" t="s">
        <v>157</v>
      </c>
      <c r="I156" s="69" t="s">
        <v>4512</v>
      </c>
      <c r="J156" s="78">
        <v>3755.14</v>
      </c>
      <c r="K156" s="78">
        <v>0</v>
      </c>
      <c r="L156" s="83">
        <v>3755.14</v>
      </c>
    </row>
    <row r="157" spans="1:12" x14ac:dyDescent="0.25">
      <c r="A157" s="81">
        <v>45688</v>
      </c>
      <c r="B157" s="67" t="s">
        <v>4429</v>
      </c>
      <c r="C157" s="11" t="s">
        <v>4503</v>
      </c>
      <c r="D157" s="82" t="s">
        <v>4488</v>
      </c>
      <c r="E157" s="82" t="s">
        <v>26</v>
      </c>
      <c r="F157" s="84">
        <v>45748</v>
      </c>
      <c r="G157" s="82" t="s">
        <v>6337</v>
      </c>
      <c r="H157" s="11" t="s">
        <v>157</v>
      </c>
      <c r="I157" s="69" t="s">
        <v>4513</v>
      </c>
      <c r="J157" s="78">
        <v>1169003.4720000001</v>
      </c>
      <c r="K157" s="78">
        <v>0</v>
      </c>
      <c r="L157" s="83">
        <v>1169003.4720000001</v>
      </c>
    </row>
    <row r="158" spans="1:12" x14ac:dyDescent="0.25">
      <c r="A158" s="81">
        <v>45688</v>
      </c>
      <c r="B158" s="67" t="s">
        <v>4431</v>
      </c>
      <c r="C158" s="11" t="s">
        <v>4514</v>
      </c>
      <c r="D158" s="82" t="s">
        <v>4437</v>
      </c>
      <c r="E158" s="82" t="s">
        <v>26</v>
      </c>
      <c r="F158" s="84">
        <v>45688</v>
      </c>
      <c r="G158" s="82" t="s">
        <v>6338</v>
      </c>
      <c r="H158" s="11" t="s">
        <v>160</v>
      </c>
      <c r="I158" s="69" t="s">
        <v>4515</v>
      </c>
      <c r="J158" s="78">
        <v>32387.4</v>
      </c>
      <c r="K158" s="78">
        <v>0</v>
      </c>
      <c r="L158" s="83">
        <v>32387.4</v>
      </c>
    </row>
    <row r="159" spans="1:12" x14ac:dyDescent="0.25">
      <c r="A159" s="81">
        <v>45688</v>
      </c>
      <c r="B159" s="67" t="s">
        <v>4451</v>
      </c>
      <c r="C159" s="11" t="s">
        <v>4514</v>
      </c>
      <c r="D159" s="82" t="s">
        <v>4437</v>
      </c>
      <c r="E159" s="82" t="s">
        <v>26</v>
      </c>
      <c r="F159" s="84">
        <v>45688</v>
      </c>
      <c r="G159" s="82" t="s">
        <v>6338</v>
      </c>
      <c r="H159" s="11" t="s">
        <v>160</v>
      </c>
      <c r="I159" s="69" t="s">
        <v>4515</v>
      </c>
      <c r="J159" s="78">
        <v>12476.4</v>
      </c>
      <c r="K159" s="78">
        <v>0</v>
      </c>
      <c r="L159" s="83">
        <v>12476.4</v>
      </c>
    </row>
    <row r="160" spans="1:12" x14ac:dyDescent="0.25">
      <c r="A160" s="81">
        <v>45688</v>
      </c>
      <c r="B160" s="67" t="s">
        <v>141</v>
      </c>
      <c r="C160" s="11" t="s">
        <v>4514</v>
      </c>
      <c r="D160" s="82" t="s">
        <v>4437</v>
      </c>
      <c r="E160" s="82" t="s">
        <v>26</v>
      </c>
      <c r="F160" s="84">
        <v>45688</v>
      </c>
      <c r="G160" s="82" t="s">
        <v>6338</v>
      </c>
      <c r="H160" s="11" t="s">
        <v>160</v>
      </c>
      <c r="I160" s="69" t="s">
        <v>4515</v>
      </c>
      <c r="J160" s="78">
        <v>250935.5</v>
      </c>
      <c r="K160" s="78">
        <v>0</v>
      </c>
      <c r="L160" s="83">
        <v>250935.5</v>
      </c>
    </row>
    <row r="161" spans="1:12" x14ac:dyDescent="0.25">
      <c r="A161" s="81">
        <v>45688</v>
      </c>
      <c r="B161" s="69" t="s">
        <v>140</v>
      </c>
      <c r="C161" s="11" t="s">
        <v>4514</v>
      </c>
      <c r="D161" s="82" t="s">
        <v>4437</v>
      </c>
      <c r="E161" s="82" t="s">
        <v>26</v>
      </c>
      <c r="F161" s="84">
        <v>45688</v>
      </c>
      <c r="G161" s="82" t="s">
        <v>6338</v>
      </c>
      <c r="H161" s="11" t="s">
        <v>160</v>
      </c>
      <c r="I161" s="69" t="s">
        <v>4515</v>
      </c>
      <c r="J161" s="78">
        <v>232090.9</v>
      </c>
      <c r="K161" s="78">
        <v>0</v>
      </c>
      <c r="L161" s="83">
        <v>232090.9</v>
      </c>
    </row>
    <row r="162" spans="1:12" x14ac:dyDescent="0.25">
      <c r="A162" s="81">
        <v>45688</v>
      </c>
      <c r="B162" s="67" t="s">
        <v>565</v>
      </c>
      <c r="C162" s="11" t="s">
        <v>4514</v>
      </c>
      <c r="D162" s="82" t="s">
        <v>4437</v>
      </c>
      <c r="E162" s="82" t="s">
        <v>26</v>
      </c>
      <c r="F162" s="84">
        <v>45688</v>
      </c>
      <c r="G162" s="82" t="s">
        <v>6338</v>
      </c>
      <c r="H162" s="11" t="s">
        <v>160</v>
      </c>
      <c r="I162" s="69" t="s">
        <v>4515</v>
      </c>
      <c r="J162" s="78">
        <v>91557.5</v>
      </c>
      <c r="K162" s="78">
        <v>0</v>
      </c>
      <c r="L162" s="83">
        <v>91557.5</v>
      </c>
    </row>
    <row r="163" spans="1:12" x14ac:dyDescent="0.25">
      <c r="A163" s="81">
        <v>45688</v>
      </c>
      <c r="B163" s="67" t="s">
        <v>163</v>
      </c>
      <c r="C163" s="11" t="s">
        <v>4514</v>
      </c>
      <c r="D163" s="82" t="s">
        <v>4437</v>
      </c>
      <c r="E163" s="82" t="s">
        <v>26</v>
      </c>
      <c r="F163" s="84">
        <v>45688</v>
      </c>
      <c r="G163" s="82" t="s">
        <v>6338</v>
      </c>
      <c r="H163" s="11" t="s">
        <v>160</v>
      </c>
      <c r="I163" s="69" t="s">
        <v>4515</v>
      </c>
      <c r="J163" s="78">
        <v>214630</v>
      </c>
      <c r="K163" s="78">
        <v>0</v>
      </c>
      <c r="L163" s="83">
        <v>214630</v>
      </c>
    </row>
    <row r="164" spans="1:12" x14ac:dyDescent="0.25">
      <c r="A164" s="81">
        <v>45688</v>
      </c>
      <c r="B164" s="69" t="s">
        <v>36</v>
      </c>
      <c r="C164" s="11" t="s">
        <v>4514</v>
      </c>
      <c r="D164" s="82" t="s">
        <v>4437</v>
      </c>
      <c r="E164" s="82" t="s">
        <v>26</v>
      </c>
      <c r="F164" s="84">
        <v>45688</v>
      </c>
      <c r="G164" s="82" t="s">
        <v>6338</v>
      </c>
      <c r="H164" s="11" t="s">
        <v>160</v>
      </c>
      <c r="I164" s="69" t="s">
        <v>4515</v>
      </c>
      <c r="J164" s="78">
        <v>62799.64</v>
      </c>
      <c r="K164" s="78">
        <v>0</v>
      </c>
      <c r="L164" s="83">
        <v>62799.64</v>
      </c>
    </row>
    <row r="165" spans="1:12" x14ac:dyDescent="0.25">
      <c r="A165" s="81">
        <v>45688</v>
      </c>
      <c r="B165" s="67" t="s">
        <v>70</v>
      </c>
      <c r="C165" s="11" t="s">
        <v>4514</v>
      </c>
      <c r="D165" s="82" t="s">
        <v>4437</v>
      </c>
      <c r="E165" s="82" t="s">
        <v>26</v>
      </c>
      <c r="F165" s="84">
        <v>45688</v>
      </c>
      <c r="G165" s="82" t="s">
        <v>6338</v>
      </c>
      <c r="H165" s="11" t="s">
        <v>160</v>
      </c>
      <c r="I165" s="69" t="s">
        <v>4515</v>
      </c>
      <c r="J165" s="78">
        <v>80500</v>
      </c>
      <c r="K165" s="78">
        <v>0</v>
      </c>
      <c r="L165" s="83">
        <v>80500</v>
      </c>
    </row>
    <row r="166" spans="1:12" x14ac:dyDescent="0.25">
      <c r="A166" s="81">
        <v>45688</v>
      </c>
      <c r="B166" s="67" t="s">
        <v>4454</v>
      </c>
      <c r="C166" s="11" t="s">
        <v>4514</v>
      </c>
      <c r="D166" s="82" t="s">
        <v>4437</v>
      </c>
      <c r="E166" s="82" t="s">
        <v>26</v>
      </c>
      <c r="F166" s="84">
        <v>45688</v>
      </c>
      <c r="G166" s="82" t="s">
        <v>6338</v>
      </c>
      <c r="H166" s="11" t="s">
        <v>160</v>
      </c>
      <c r="I166" s="69" t="s">
        <v>4515</v>
      </c>
      <c r="J166" s="78">
        <v>8817.2000000000007</v>
      </c>
      <c r="K166" s="78">
        <v>0</v>
      </c>
      <c r="L166" s="83">
        <v>8817.2000000000007</v>
      </c>
    </row>
    <row r="167" spans="1:12" x14ac:dyDescent="0.25">
      <c r="A167" s="81">
        <v>45688</v>
      </c>
      <c r="B167" s="67" t="s">
        <v>6335</v>
      </c>
      <c r="C167" s="11" t="s">
        <v>4514</v>
      </c>
      <c r="D167" s="82" t="s">
        <v>4437</v>
      </c>
      <c r="E167" s="82" t="s">
        <v>26</v>
      </c>
      <c r="F167" s="84">
        <v>45688</v>
      </c>
      <c r="G167" s="82" t="s">
        <v>6338</v>
      </c>
      <c r="H167" s="11" t="s">
        <v>160</v>
      </c>
      <c r="I167" s="69" t="s">
        <v>4515</v>
      </c>
      <c r="J167" s="78">
        <v>25826.799999999999</v>
      </c>
      <c r="K167" s="78">
        <v>0</v>
      </c>
      <c r="L167" s="83">
        <v>25826.799999999999</v>
      </c>
    </row>
    <row r="168" spans="1:12" x14ac:dyDescent="0.25">
      <c r="A168" s="81">
        <v>45688</v>
      </c>
      <c r="B168" s="67" t="s">
        <v>4455</v>
      </c>
      <c r="C168" s="11" t="s">
        <v>4514</v>
      </c>
      <c r="D168" s="82" t="s">
        <v>4488</v>
      </c>
      <c r="E168" s="82" t="s">
        <v>26</v>
      </c>
      <c r="F168" s="84">
        <v>45778</v>
      </c>
      <c r="G168" s="82" t="s">
        <v>6337</v>
      </c>
      <c r="H168" s="11" t="s">
        <v>160</v>
      </c>
      <c r="I168" s="69" t="s">
        <v>4515</v>
      </c>
      <c r="J168" s="78">
        <v>54991.05</v>
      </c>
      <c r="K168" s="78">
        <v>0</v>
      </c>
      <c r="L168" s="83">
        <v>54991.05</v>
      </c>
    </row>
    <row r="169" spans="1:12" x14ac:dyDescent="0.25">
      <c r="A169" s="81">
        <v>45688</v>
      </c>
      <c r="B169" s="67" t="s">
        <v>41</v>
      </c>
      <c r="C169" s="11" t="s">
        <v>4514</v>
      </c>
      <c r="D169" s="82" t="s">
        <v>4437</v>
      </c>
      <c r="E169" s="82" t="s">
        <v>26</v>
      </c>
      <c r="F169" s="84">
        <v>45688</v>
      </c>
      <c r="G169" s="82" t="s">
        <v>6338</v>
      </c>
      <c r="H169" s="11" t="s">
        <v>160</v>
      </c>
      <c r="I169" s="69" t="s">
        <v>4515</v>
      </c>
      <c r="J169" s="78">
        <v>248391.1</v>
      </c>
      <c r="K169" s="78">
        <v>0</v>
      </c>
      <c r="L169" s="83">
        <v>248391.1</v>
      </c>
    </row>
    <row r="170" spans="1:12" x14ac:dyDescent="0.25">
      <c r="A170" s="81">
        <v>45688</v>
      </c>
      <c r="B170" s="69" t="s">
        <v>45</v>
      </c>
      <c r="C170" s="11" t="s">
        <v>4514</v>
      </c>
      <c r="D170" s="82" t="s">
        <v>4437</v>
      </c>
      <c r="E170" s="82" t="s">
        <v>26</v>
      </c>
      <c r="F170" s="84">
        <v>45688</v>
      </c>
      <c r="G170" s="82" t="s">
        <v>6338</v>
      </c>
      <c r="H170" s="11" t="s">
        <v>160</v>
      </c>
      <c r="I170" s="69" t="s">
        <v>4515</v>
      </c>
      <c r="J170" s="78">
        <v>164866</v>
      </c>
      <c r="K170" s="78">
        <v>0</v>
      </c>
      <c r="L170" s="83">
        <v>164866</v>
      </c>
    </row>
    <row r="171" spans="1:12" x14ac:dyDescent="0.25">
      <c r="A171" s="81">
        <v>45688</v>
      </c>
      <c r="B171" s="69" t="s">
        <v>36</v>
      </c>
      <c r="C171" s="11" t="s">
        <v>4487</v>
      </c>
      <c r="D171" s="82" t="s">
        <v>4437</v>
      </c>
      <c r="E171" s="82" t="s">
        <v>903</v>
      </c>
      <c r="F171" s="84">
        <v>45688</v>
      </c>
      <c r="G171" s="82" t="s">
        <v>26</v>
      </c>
      <c r="H171" s="11" t="s">
        <v>160</v>
      </c>
      <c r="I171" s="69" t="s">
        <v>4445</v>
      </c>
      <c r="J171" s="78"/>
      <c r="K171" s="78">
        <v>62799.64</v>
      </c>
      <c r="L171" s="83">
        <v>-62799.64</v>
      </c>
    </row>
    <row r="172" spans="1:12" x14ac:dyDescent="0.25">
      <c r="A172" s="81">
        <v>45688</v>
      </c>
      <c r="B172" s="67" t="s">
        <v>141</v>
      </c>
      <c r="C172" s="11" t="s">
        <v>4487</v>
      </c>
      <c r="D172" s="82" t="s">
        <v>4437</v>
      </c>
      <c r="E172" s="82" t="s">
        <v>4432</v>
      </c>
      <c r="F172" s="84">
        <v>45688</v>
      </c>
      <c r="G172" s="82" t="s">
        <v>26</v>
      </c>
      <c r="H172" s="11" t="s">
        <v>160</v>
      </c>
      <c r="I172" s="69" t="s">
        <v>4446</v>
      </c>
      <c r="J172" s="78"/>
      <c r="K172" s="78">
        <v>160122.22400000005</v>
      </c>
      <c r="L172" s="83">
        <v>-160122.22400000005</v>
      </c>
    </row>
    <row r="173" spans="1:12" x14ac:dyDescent="0.25">
      <c r="A173" s="81">
        <v>45688</v>
      </c>
      <c r="B173" s="69" t="s">
        <v>140</v>
      </c>
      <c r="C173" s="11" t="s">
        <v>4487</v>
      </c>
      <c r="D173" s="82" t="s">
        <v>4437</v>
      </c>
      <c r="E173" s="82" t="s">
        <v>4432</v>
      </c>
      <c r="F173" s="84">
        <v>45688</v>
      </c>
      <c r="G173" s="82" t="s">
        <v>26</v>
      </c>
      <c r="H173" s="11" t="s">
        <v>160</v>
      </c>
      <c r="I173" s="69" t="s">
        <v>4446</v>
      </c>
      <c r="J173" s="78"/>
      <c r="K173" s="78">
        <v>78356.880000000019</v>
      </c>
      <c r="L173" s="83">
        <v>-78356.880000000019</v>
      </c>
    </row>
    <row r="174" spans="1:12" x14ac:dyDescent="0.25">
      <c r="A174" s="81">
        <v>45688</v>
      </c>
      <c r="B174" s="67" t="s">
        <v>565</v>
      </c>
      <c r="C174" s="11" t="s">
        <v>4487</v>
      </c>
      <c r="D174" s="82" t="s">
        <v>4437</v>
      </c>
      <c r="E174" s="82" t="s">
        <v>4432</v>
      </c>
      <c r="F174" s="84">
        <v>45688</v>
      </c>
      <c r="G174" s="82" t="s">
        <v>26</v>
      </c>
      <c r="H174" s="11" t="s">
        <v>160</v>
      </c>
      <c r="I174" s="69" t="s">
        <v>4446</v>
      </c>
      <c r="J174" s="78"/>
      <c r="K174" s="78">
        <v>26766.179999999997</v>
      </c>
      <c r="L174" s="83">
        <v>-26766.179999999997</v>
      </c>
    </row>
    <row r="175" spans="1:12" x14ac:dyDescent="0.25">
      <c r="A175" s="81">
        <v>45688</v>
      </c>
      <c r="B175" s="67" t="s">
        <v>70</v>
      </c>
      <c r="C175" s="11" t="s">
        <v>4487</v>
      </c>
      <c r="D175" s="82" t="s">
        <v>4437</v>
      </c>
      <c r="E175" s="82" t="s">
        <v>4432</v>
      </c>
      <c r="F175" s="84">
        <v>45688</v>
      </c>
      <c r="G175" s="82" t="s">
        <v>26</v>
      </c>
      <c r="H175" s="11" t="s">
        <v>160</v>
      </c>
      <c r="I175" s="69" t="s">
        <v>4446</v>
      </c>
      <c r="J175" s="78"/>
      <c r="K175" s="78">
        <v>9342.7199999999993</v>
      </c>
      <c r="L175" s="83">
        <v>-9342.7199999999993</v>
      </c>
    </row>
    <row r="176" spans="1:12" x14ac:dyDescent="0.25">
      <c r="A176" s="81">
        <v>45688</v>
      </c>
      <c r="B176" s="67" t="s">
        <v>6335</v>
      </c>
      <c r="C176" s="11" t="s">
        <v>4487</v>
      </c>
      <c r="D176" s="82" t="s">
        <v>4437</v>
      </c>
      <c r="E176" s="82" t="s">
        <v>4432</v>
      </c>
      <c r="F176" s="84">
        <v>45688</v>
      </c>
      <c r="G176" s="82" t="s">
        <v>26</v>
      </c>
      <c r="H176" s="11" t="s">
        <v>160</v>
      </c>
      <c r="I176" s="69" t="s">
        <v>4446</v>
      </c>
      <c r="J176" s="78"/>
      <c r="K176" s="78">
        <v>13192.14</v>
      </c>
      <c r="L176" s="83">
        <v>-13192.14</v>
      </c>
    </row>
    <row r="177" spans="1:12" x14ac:dyDescent="0.25">
      <c r="A177" s="81">
        <v>45688</v>
      </c>
      <c r="B177" s="67" t="s">
        <v>41</v>
      </c>
      <c r="C177" s="11" t="s">
        <v>4487</v>
      </c>
      <c r="D177" s="82" t="s">
        <v>4437</v>
      </c>
      <c r="E177" s="82" t="s">
        <v>4432</v>
      </c>
      <c r="F177" s="84">
        <v>45688</v>
      </c>
      <c r="G177" s="82" t="s">
        <v>26</v>
      </c>
      <c r="H177" s="11" t="s">
        <v>160</v>
      </c>
      <c r="I177" s="69" t="s">
        <v>4446</v>
      </c>
      <c r="J177" s="78"/>
      <c r="K177" s="78">
        <v>102282.90999999999</v>
      </c>
      <c r="L177" s="83">
        <v>-102282.90999999999</v>
      </c>
    </row>
    <row r="178" spans="1:12" x14ac:dyDescent="0.25">
      <c r="A178" s="81">
        <v>45688</v>
      </c>
      <c r="B178" s="67" t="s">
        <v>1039</v>
      </c>
      <c r="C178" s="11" t="s">
        <v>4487</v>
      </c>
      <c r="D178" s="82" t="s">
        <v>4488</v>
      </c>
      <c r="E178" s="82" t="s">
        <v>4432</v>
      </c>
      <c r="F178" s="84">
        <v>45688</v>
      </c>
      <c r="G178" s="82" t="s">
        <v>26</v>
      </c>
      <c r="H178" s="11" t="s">
        <v>160</v>
      </c>
      <c r="I178" s="69" t="s">
        <v>4446</v>
      </c>
      <c r="J178" s="78"/>
      <c r="K178" s="78">
        <v>102282.91</v>
      </c>
      <c r="L178" s="83">
        <v>-102282.91</v>
      </c>
    </row>
    <row r="179" spans="1:12" x14ac:dyDescent="0.25">
      <c r="A179" s="81">
        <v>45688</v>
      </c>
      <c r="B179" s="69" t="s">
        <v>45</v>
      </c>
      <c r="C179" s="11" t="s">
        <v>4487</v>
      </c>
      <c r="D179" s="82" t="s">
        <v>4437</v>
      </c>
      <c r="E179" s="82" t="s">
        <v>4432</v>
      </c>
      <c r="F179" s="84">
        <v>45688</v>
      </c>
      <c r="G179" s="82" t="s">
        <v>26</v>
      </c>
      <c r="H179" s="11" t="s">
        <v>160</v>
      </c>
      <c r="I179" s="69" t="s">
        <v>4446</v>
      </c>
      <c r="J179" s="78"/>
      <c r="K179" s="78">
        <v>6135.84</v>
      </c>
      <c r="L179" s="83">
        <v>-6135.84</v>
      </c>
    </row>
    <row r="180" spans="1:12" x14ac:dyDescent="0.25">
      <c r="A180" s="81">
        <v>45693</v>
      </c>
      <c r="B180" s="67" t="s">
        <v>163</v>
      </c>
      <c r="C180" s="11" t="s">
        <v>4487</v>
      </c>
      <c r="D180" s="82" t="s">
        <v>4437</v>
      </c>
      <c r="E180" s="82" t="s">
        <v>903</v>
      </c>
      <c r="F180" s="84">
        <v>45693</v>
      </c>
      <c r="G180" s="82" t="s">
        <v>26</v>
      </c>
      <c r="H180" s="11" t="s">
        <v>160</v>
      </c>
      <c r="I180" s="69" t="s">
        <v>4516</v>
      </c>
      <c r="J180" s="78"/>
      <c r="K180" s="78">
        <v>50000</v>
      </c>
      <c r="L180" s="83">
        <v>-50000</v>
      </c>
    </row>
    <row r="181" spans="1:12" x14ac:dyDescent="0.25">
      <c r="A181" s="81">
        <v>45693</v>
      </c>
      <c r="B181" s="67" t="s">
        <v>70</v>
      </c>
      <c r="C181" s="11" t="s">
        <v>4487</v>
      </c>
      <c r="D181" s="82" t="s">
        <v>4437</v>
      </c>
      <c r="E181" s="82" t="s">
        <v>903</v>
      </c>
      <c r="F181" s="84">
        <v>45693</v>
      </c>
      <c r="G181" s="82" t="s">
        <v>26</v>
      </c>
      <c r="H181" s="11" t="s">
        <v>160</v>
      </c>
      <c r="I181" s="69" t="s">
        <v>4437</v>
      </c>
      <c r="J181" s="78"/>
      <c r="K181" s="78">
        <v>50000</v>
      </c>
      <c r="L181" s="83">
        <v>-50000</v>
      </c>
    </row>
    <row r="182" spans="1:12" x14ac:dyDescent="0.25">
      <c r="A182" s="81">
        <v>45693</v>
      </c>
      <c r="B182" s="61" t="s">
        <v>146</v>
      </c>
      <c r="C182" s="11" t="s">
        <v>4487</v>
      </c>
      <c r="D182" s="82" t="s">
        <v>4488</v>
      </c>
      <c r="E182" s="82" t="s">
        <v>910</v>
      </c>
      <c r="F182" s="84">
        <v>45693</v>
      </c>
      <c r="G182" s="82" t="s">
        <v>26</v>
      </c>
      <c r="H182" s="11" t="s">
        <v>157</v>
      </c>
      <c r="I182" s="69" t="s">
        <v>4425</v>
      </c>
      <c r="J182" s="78"/>
      <c r="K182" s="78">
        <v>50000</v>
      </c>
      <c r="L182" s="83">
        <v>-50000</v>
      </c>
    </row>
    <row r="183" spans="1:12" x14ac:dyDescent="0.25">
      <c r="A183" s="81">
        <v>45694</v>
      </c>
      <c r="B183" s="67" t="s">
        <v>41</v>
      </c>
      <c r="C183" s="11" t="s">
        <v>4487</v>
      </c>
      <c r="D183" s="82" t="s">
        <v>4437</v>
      </c>
      <c r="E183" s="82" t="s">
        <v>903</v>
      </c>
      <c r="F183" s="84">
        <v>45694</v>
      </c>
      <c r="G183" s="82" t="s">
        <v>26</v>
      </c>
      <c r="H183" s="11" t="s">
        <v>160</v>
      </c>
      <c r="I183" s="69" t="s">
        <v>4516</v>
      </c>
      <c r="J183" s="78"/>
      <c r="K183" s="78">
        <v>20000</v>
      </c>
      <c r="L183" s="83">
        <v>-20000</v>
      </c>
    </row>
    <row r="184" spans="1:12" x14ac:dyDescent="0.25">
      <c r="A184" s="81">
        <v>45695</v>
      </c>
      <c r="B184" s="67" t="s">
        <v>141</v>
      </c>
      <c r="C184" s="11" t="s">
        <v>4487</v>
      </c>
      <c r="D184" s="82" t="s">
        <v>4437</v>
      </c>
      <c r="E184" s="82" t="s">
        <v>903</v>
      </c>
      <c r="F184" s="84">
        <v>45695</v>
      </c>
      <c r="G184" s="82" t="s">
        <v>26</v>
      </c>
      <c r="H184" s="11" t="s">
        <v>160</v>
      </c>
      <c r="I184" s="69" t="s">
        <v>4437</v>
      </c>
      <c r="J184" s="78"/>
      <c r="K184" s="78">
        <v>20000</v>
      </c>
      <c r="L184" s="83">
        <v>-20000</v>
      </c>
    </row>
    <row r="185" spans="1:12" x14ac:dyDescent="0.25">
      <c r="A185" s="81">
        <v>45695</v>
      </c>
      <c r="B185" s="67" t="s">
        <v>41</v>
      </c>
      <c r="C185" s="11" t="s">
        <v>4492</v>
      </c>
      <c r="D185" s="82" t="s">
        <v>4437</v>
      </c>
      <c r="E185" s="82" t="s">
        <v>4493</v>
      </c>
      <c r="F185" s="84">
        <v>45695</v>
      </c>
      <c r="G185" s="82" t="s">
        <v>26</v>
      </c>
      <c r="H185" s="11" t="s">
        <v>160</v>
      </c>
      <c r="I185" s="69" t="s">
        <v>4517</v>
      </c>
      <c r="J185" s="78"/>
      <c r="K185" s="78">
        <v>30000</v>
      </c>
      <c r="L185" s="83">
        <v>-30000</v>
      </c>
    </row>
    <row r="186" spans="1:12" x14ac:dyDescent="0.25">
      <c r="A186" s="81">
        <v>45698</v>
      </c>
      <c r="B186" s="67" t="s">
        <v>4429</v>
      </c>
      <c r="C186" s="11" t="s">
        <v>4487</v>
      </c>
      <c r="D186" s="82" t="s">
        <v>4488</v>
      </c>
      <c r="E186" s="82" t="s">
        <v>1016</v>
      </c>
      <c r="F186" s="84">
        <v>45714</v>
      </c>
      <c r="G186" s="82" t="s">
        <v>26</v>
      </c>
      <c r="H186" s="11" t="s">
        <v>157</v>
      </c>
      <c r="I186" s="69" t="s">
        <v>4518</v>
      </c>
      <c r="J186" s="78"/>
      <c r="K186" s="78">
        <v>1011886.51</v>
      </c>
      <c r="L186" s="83">
        <v>-1011886.51</v>
      </c>
    </row>
    <row r="187" spans="1:12" x14ac:dyDescent="0.25">
      <c r="A187" s="81">
        <v>45698</v>
      </c>
      <c r="B187" s="69" t="s">
        <v>140</v>
      </c>
      <c r="C187" s="11" t="s">
        <v>4492</v>
      </c>
      <c r="D187" s="82" t="s">
        <v>4437</v>
      </c>
      <c r="E187" s="82" t="s">
        <v>4493</v>
      </c>
      <c r="F187" s="84">
        <v>45695</v>
      </c>
      <c r="G187" s="82" t="s">
        <v>26</v>
      </c>
      <c r="H187" s="11" t="s">
        <v>160</v>
      </c>
      <c r="I187" s="69" t="s">
        <v>4519</v>
      </c>
      <c r="J187" s="78"/>
      <c r="K187" s="78">
        <v>50000</v>
      </c>
      <c r="L187" s="83">
        <v>-50000</v>
      </c>
    </row>
    <row r="188" spans="1:12" x14ac:dyDescent="0.25">
      <c r="A188" s="81">
        <v>45698</v>
      </c>
      <c r="B188" s="69" t="s">
        <v>66</v>
      </c>
      <c r="C188" s="11" t="s">
        <v>4487</v>
      </c>
      <c r="D188" s="82" t="s">
        <v>4488</v>
      </c>
      <c r="E188" s="82" t="s">
        <v>1016</v>
      </c>
      <c r="F188" s="84">
        <v>45786</v>
      </c>
      <c r="G188" s="82" t="s">
        <v>26</v>
      </c>
      <c r="H188" s="11" t="s">
        <v>157</v>
      </c>
      <c r="I188" s="69" t="s">
        <v>4520</v>
      </c>
      <c r="J188" s="78"/>
      <c r="K188" s="78">
        <v>47895.12</v>
      </c>
      <c r="L188" s="83">
        <v>-47895.12</v>
      </c>
    </row>
    <row r="189" spans="1:12" x14ac:dyDescent="0.25">
      <c r="A189" s="81">
        <v>45698</v>
      </c>
      <c r="B189" s="69" t="s">
        <v>66</v>
      </c>
      <c r="C189" s="11" t="s">
        <v>4487</v>
      </c>
      <c r="D189" s="82" t="s">
        <v>4488</v>
      </c>
      <c r="E189" s="82" t="s">
        <v>1016</v>
      </c>
      <c r="F189" s="84">
        <v>45793</v>
      </c>
      <c r="G189" s="82" t="s">
        <v>26</v>
      </c>
      <c r="H189" s="11" t="s">
        <v>157</v>
      </c>
      <c r="I189" s="69" t="s">
        <v>4521</v>
      </c>
      <c r="J189" s="78"/>
      <c r="K189" s="78">
        <v>60000</v>
      </c>
      <c r="L189" s="83">
        <v>-60000</v>
      </c>
    </row>
    <row r="190" spans="1:12" x14ac:dyDescent="0.25">
      <c r="A190" s="81">
        <v>45698</v>
      </c>
      <c r="B190" s="67" t="s">
        <v>4431</v>
      </c>
      <c r="C190" s="11" t="s">
        <v>4487</v>
      </c>
      <c r="D190" s="82" t="s">
        <v>4437</v>
      </c>
      <c r="E190" s="82" t="s">
        <v>903</v>
      </c>
      <c r="F190" s="84">
        <v>45698</v>
      </c>
      <c r="G190" s="82" t="s">
        <v>26</v>
      </c>
      <c r="H190" s="11" t="s">
        <v>160</v>
      </c>
      <c r="I190" s="69" t="s">
        <v>4437</v>
      </c>
      <c r="J190" s="78"/>
      <c r="K190" s="78">
        <v>16100</v>
      </c>
      <c r="L190" s="83">
        <v>-16100</v>
      </c>
    </row>
    <row r="191" spans="1:12" x14ac:dyDescent="0.25">
      <c r="A191" s="81">
        <v>45699</v>
      </c>
      <c r="B191" s="67" t="s">
        <v>163</v>
      </c>
      <c r="C191" s="11" t="s">
        <v>4487</v>
      </c>
      <c r="D191" s="82" t="s">
        <v>4437</v>
      </c>
      <c r="E191" s="82" t="s">
        <v>903</v>
      </c>
      <c r="F191" s="84">
        <v>45699</v>
      </c>
      <c r="G191" s="82" t="s">
        <v>26</v>
      </c>
      <c r="H191" s="11" t="s">
        <v>160</v>
      </c>
      <c r="I191" s="69" t="s">
        <v>4437</v>
      </c>
      <c r="J191" s="78"/>
      <c r="K191" s="78">
        <v>50000</v>
      </c>
      <c r="L191" s="83">
        <v>-50000</v>
      </c>
    </row>
    <row r="192" spans="1:12" x14ac:dyDescent="0.25">
      <c r="A192" s="81">
        <v>45698</v>
      </c>
      <c r="B192" s="69" t="s">
        <v>140</v>
      </c>
      <c r="C192" s="11" t="s">
        <v>4492</v>
      </c>
      <c r="D192" s="82" t="s">
        <v>4437</v>
      </c>
      <c r="E192" s="82" t="s">
        <v>4493</v>
      </c>
      <c r="F192" s="84">
        <v>45695</v>
      </c>
      <c r="G192" s="82" t="s">
        <v>26</v>
      </c>
      <c r="H192" s="11" t="s">
        <v>160</v>
      </c>
      <c r="I192" s="69" t="s">
        <v>4519</v>
      </c>
      <c r="J192" s="78">
        <v>50000</v>
      </c>
      <c r="K192" s="78"/>
      <c r="L192" s="83">
        <v>50000</v>
      </c>
    </row>
    <row r="193" spans="1:12" x14ac:dyDescent="0.25">
      <c r="A193" s="81">
        <v>45698</v>
      </c>
      <c r="B193" s="69" t="s">
        <v>140</v>
      </c>
      <c r="C193" s="11" t="s">
        <v>4487</v>
      </c>
      <c r="D193" s="82" t="s">
        <v>4437</v>
      </c>
      <c r="E193" s="82" t="s">
        <v>903</v>
      </c>
      <c r="F193" s="84">
        <v>45695</v>
      </c>
      <c r="G193" s="82" t="s">
        <v>26</v>
      </c>
      <c r="H193" s="11" t="s">
        <v>160</v>
      </c>
      <c r="I193" s="69" t="s">
        <v>4522</v>
      </c>
      <c r="J193" s="78"/>
      <c r="K193" s="78">
        <v>50000</v>
      </c>
      <c r="L193" s="83">
        <v>-50000</v>
      </c>
    </row>
    <row r="194" spans="1:12" x14ac:dyDescent="0.25">
      <c r="A194" s="81">
        <v>45695</v>
      </c>
      <c r="B194" s="67" t="s">
        <v>41</v>
      </c>
      <c r="C194" s="11" t="s">
        <v>4492</v>
      </c>
      <c r="D194" s="82" t="s">
        <v>4437</v>
      </c>
      <c r="E194" s="82" t="s">
        <v>4493</v>
      </c>
      <c r="F194" s="84">
        <v>45695</v>
      </c>
      <c r="G194" s="82" t="s">
        <v>26</v>
      </c>
      <c r="H194" s="11" t="s">
        <v>160</v>
      </c>
      <c r="I194" s="69" t="s">
        <v>4517</v>
      </c>
      <c r="J194" s="78">
        <v>30000</v>
      </c>
      <c r="K194" s="78"/>
      <c r="L194" s="83">
        <v>30000</v>
      </c>
    </row>
    <row r="195" spans="1:12" x14ac:dyDescent="0.25">
      <c r="A195" s="81">
        <v>45695</v>
      </c>
      <c r="B195" s="67" t="s">
        <v>41</v>
      </c>
      <c r="C195" s="11" t="s">
        <v>4487</v>
      </c>
      <c r="D195" s="82" t="s">
        <v>4437</v>
      </c>
      <c r="E195" s="82" t="s">
        <v>903</v>
      </c>
      <c r="F195" s="84">
        <v>45695</v>
      </c>
      <c r="G195" s="82" t="s">
        <v>26</v>
      </c>
      <c r="H195" s="11" t="s">
        <v>160</v>
      </c>
      <c r="I195" s="69" t="s">
        <v>4523</v>
      </c>
      <c r="J195" s="78"/>
      <c r="K195" s="78">
        <v>30000</v>
      </c>
      <c r="L195" s="83">
        <v>-30000</v>
      </c>
    </row>
    <row r="196" spans="1:12" x14ac:dyDescent="0.25">
      <c r="A196" s="81">
        <v>45700</v>
      </c>
      <c r="B196" s="67" t="s">
        <v>565</v>
      </c>
      <c r="C196" s="11" t="s">
        <v>4487</v>
      </c>
      <c r="D196" s="82" t="s">
        <v>4437</v>
      </c>
      <c r="E196" s="82" t="s">
        <v>903</v>
      </c>
      <c r="F196" s="84">
        <v>45700</v>
      </c>
      <c r="G196" s="82" t="s">
        <v>26</v>
      </c>
      <c r="H196" s="11" t="s">
        <v>160</v>
      </c>
      <c r="I196" s="69" t="s">
        <v>4524</v>
      </c>
      <c r="J196" s="78"/>
      <c r="K196" s="78">
        <v>50000</v>
      </c>
      <c r="L196" s="83">
        <v>-50000</v>
      </c>
    </row>
    <row r="197" spans="1:12" x14ac:dyDescent="0.25">
      <c r="A197" s="81">
        <v>45700</v>
      </c>
      <c r="B197" s="69" t="s">
        <v>45</v>
      </c>
      <c r="C197" s="11" t="s">
        <v>4487</v>
      </c>
      <c r="D197" s="82" t="s">
        <v>4437</v>
      </c>
      <c r="E197" s="82" t="s">
        <v>903</v>
      </c>
      <c r="F197" s="84">
        <v>45700</v>
      </c>
      <c r="G197" s="82" t="s">
        <v>26</v>
      </c>
      <c r="H197" s="11" t="s">
        <v>160</v>
      </c>
      <c r="I197" s="69" t="s">
        <v>4524</v>
      </c>
      <c r="J197" s="78"/>
      <c r="K197" s="78">
        <v>60000</v>
      </c>
      <c r="L197" s="83">
        <v>-60000</v>
      </c>
    </row>
    <row r="198" spans="1:12" x14ac:dyDescent="0.25">
      <c r="A198" s="81">
        <v>45702</v>
      </c>
      <c r="B198" s="67" t="s">
        <v>41</v>
      </c>
      <c r="C198" s="11" t="s">
        <v>4487</v>
      </c>
      <c r="D198" s="82" t="s">
        <v>4437</v>
      </c>
      <c r="E198" s="82" t="s">
        <v>903</v>
      </c>
      <c r="F198" s="84">
        <v>45702</v>
      </c>
      <c r="G198" s="82" t="s">
        <v>26</v>
      </c>
      <c r="H198" s="11" t="s">
        <v>160</v>
      </c>
      <c r="I198" s="69" t="s">
        <v>4524</v>
      </c>
      <c r="J198" s="78"/>
      <c r="K198" s="78">
        <v>20000</v>
      </c>
      <c r="L198" s="83">
        <v>-20000</v>
      </c>
    </row>
    <row r="199" spans="1:12" x14ac:dyDescent="0.25">
      <c r="A199" s="81">
        <v>45705</v>
      </c>
      <c r="B199" s="67" t="s">
        <v>4455</v>
      </c>
      <c r="C199" s="11" t="s">
        <v>4487</v>
      </c>
      <c r="D199" s="82" t="s">
        <v>4488</v>
      </c>
      <c r="E199" s="82" t="s">
        <v>1016</v>
      </c>
      <c r="F199" s="84">
        <v>45803</v>
      </c>
      <c r="G199" s="82" t="s">
        <v>26</v>
      </c>
      <c r="H199" s="11" t="s">
        <v>157</v>
      </c>
      <c r="I199" s="69" t="s">
        <v>4525</v>
      </c>
      <c r="J199" s="78"/>
      <c r="K199" s="78">
        <v>51829.03</v>
      </c>
      <c r="L199" s="83">
        <v>-51829.03</v>
      </c>
    </row>
    <row r="200" spans="1:12" x14ac:dyDescent="0.25">
      <c r="A200" s="81">
        <v>45705</v>
      </c>
      <c r="B200" s="67" t="s">
        <v>4455</v>
      </c>
      <c r="C200" s="11" t="s">
        <v>4487</v>
      </c>
      <c r="D200" s="82" t="s">
        <v>4488</v>
      </c>
      <c r="E200" s="82" t="s">
        <v>1016</v>
      </c>
      <c r="F200" s="84">
        <v>45796</v>
      </c>
      <c r="G200" s="82" t="s">
        <v>26</v>
      </c>
      <c r="H200" s="11" t="s">
        <v>157</v>
      </c>
      <c r="I200" s="69" t="s">
        <v>4526</v>
      </c>
      <c r="J200" s="78"/>
      <c r="K200" s="78">
        <v>51000</v>
      </c>
      <c r="L200" s="83">
        <v>-51000</v>
      </c>
    </row>
    <row r="201" spans="1:12" x14ac:dyDescent="0.25">
      <c r="A201" s="81">
        <v>45705</v>
      </c>
      <c r="B201" s="67" t="s">
        <v>4455</v>
      </c>
      <c r="C201" s="11" t="s">
        <v>4487</v>
      </c>
      <c r="D201" s="82" t="s">
        <v>4488</v>
      </c>
      <c r="E201" s="82" t="s">
        <v>1016</v>
      </c>
      <c r="F201" s="84">
        <v>45782</v>
      </c>
      <c r="G201" s="82" t="s">
        <v>26</v>
      </c>
      <c r="H201" s="11" t="s">
        <v>157</v>
      </c>
      <c r="I201" s="69" t="s">
        <v>4527</v>
      </c>
      <c r="J201" s="78"/>
      <c r="K201" s="78">
        <v>51000</v>
      </c>
      <c r="L201" s="83">
        <v>-51000</v>
      </c>
    </row>
    <row r="202" spans="1:12" x14ac:dyDescent="0.25">
      <c r="A202" s="81">
        <v>45705</v>
      </c>
      <c r="B202" s="67" t="s">
        <v>4455</v>
      </c>
      <c r="C202" s="11" t="s">
        <v>4487</v>
      </c>
      <c r="D202" s="82" t="s">
        <v>4488</v>
      </c>
      <c r="E202" s="82" t="s">
        <v>1016</v>
      </c>
      <c r="F202" s="84">
        <v>45789</v>
      </c>
      <c r="G202" s="82" t="s">
        <v>26</v>
      </c>
      <c r="H202" s="11" t="s">
        <v>157</v>
      </c>
      <c r="I202" s="69" t="s">
        <v>4528</v>
      </c>
      <c r="J202" s="78"/>
      <c r="K202" s="78">
        <v>51000</v>
      </c>
      <c r="L202" s="83">
        <v>-51000</v>
      </c>
    </row>
    <row r="203" spans="1:12" x14ac:dyDescent="0.25">
      <c r="A203" s="81">
        <v>45705</v>
      </c>
      <c r="B203" s="67" t="s">
        <v>4455</v>
      </c>
      <c r="C203" s="11" t="s">
        <v>4487</v>
      </c>
      <c r="D203" s="82" t="s">
        <v>4488</v>
      </c>
      <c r="E203" s="82" t="s">
        <v>1016</v>
      </c>
      <c r="F203" s="84">
        <v>45794</v>
      </c>
      <c r="G203" s="82" t="s">
        <v>26</v>
      </c>
      <c r="H203" s="11" t="s">
        <v>160</v>
      </c>
      <c r="I203" s="69" t="s">
        <v>4529</v>
      </c>
      <c r="J203" s="78"/>
      <c r="K203" s="78">
        <v>27000</v>
      </c>
      <c r="L203" s="83">
        <v>-27000</v>
      </c>
    </row>
    <row r="204" spans="1:12" x14ac:dyDescent="0.25">
      <c r="A204" s="81">
        <v>45705</v>
      </c>
      <c r="B204" s="67" t="s">
        <v>4455</v>
      </c>
      <c r="C204" s="11" t="s">
        <v>4487</v>
      </c>
      <c r="D204" s="82" t="s">
        <v>4488</v>
      </c>
      <c r="E204" s="82" t="s">
        <v>1016</v>
      </c>
      <c r="F204" s="84">
        <v>45808</v>
      </c>
      <c r="G204" s="82" t="s">
        <v>26</v>
      </c>
      <c r="H204" s="11" t="s">
        <v>160</v>
      </c>
      <c r="I204" s="69" t="s">
        <v>4530</v>
      </c>
      <c r="J204" s="78"/>
      <c r="K204" s="78">
        <v>27990</v>
      </c>
      <c r="L204" s="83">
        <v>-27990</v>
      </c>
    </row>
    <row r="205" spans="1:12" x14ac:dyDescent="0.25">
      <c r="A205" s="81">
        <v>45705</v>
      </c>
      <c r="B205" s="67" t="s">
        <v>4468</v>
      </c>
      <c r="C205" s="11" t="s">
        <v>4485</v>
      </c>
      <c r="D205" s="82" t="s">
        <v>4488</v>
      </c>
      <c r="E205" s="82" t="s">
        <v>1016</v>
      </c>
      <c r="F205" s="84">
        <v>45698</v>
      </c>
      <c r="G205" s="82" t="s">
        <v>26</v>
      </c>
      <c r="H205" s="11" t="s">
        <v>157</v>
      </c>
      <c r="I205" s="69" t="s">
        <v>145</v>
      </c>
      <c r="J205" s="78">
        <v>60850.51</v>
      </c>
      <c r="K205" s="78"/>
      <c r="L205" s="83">
        <v>60850.51</v>
      </c>
    </row>
    <row r="206" spans="1:12" x14ac:dyDescent="0.25">
      <c r="A206" s="81">
        <v>45705</v>
      </c>
      <c r="B206" s="69" t="s">
        <v>66</v>
      </c>
      <c r="C206" s="11" t="s">
        <v>4485</v>
      </c>
      <c r="D206" s="82" t="s">
        <v>4488</v>
      </c>
      <c r="E206" s="82" t="s">
        <v>1016</v>
      </c>
      <c r="F206" s="84">
        <v>45700</v>
      </c>
      <c r="G206" s="82" t="s">
        <v>26</v>
      </c>
      <c r="H206" s="11" t="s">
        <v>157</v>
      </c>
      <c r="I206" s="69" t="s">
        <v>144</v>
      </c>
      <c r="J206" s="78">
        <v>75450</v>
      </c>
      <c r="K206" s="78"/>
      <c r="L206" s="83">
        <v>75450</v>
      </c>
    </row>
    <row r="207" spans="1:12" x14ac:dyDescent="0.25">
      <c r="A207" s="81">
        <v>45705</v>
      </c>
      <c r="B207" s="69" t="s">
        <v>149</v>
      </c>
      <c r="C207" s="11" t="s">
        <v>4485</v>
      </c>
      <c r="D207" s="82" t="s">
        <v>4488</v>
      </c>
      <c r="E207" s="82" t="s">
        <v>1016</v>
      </c>
      <c r="F207" s="84">
        <v>45701</v>
      </c>
      <c r="G207" s="82" t="s">
        <v>26</v>
      </c>
      <c r="H207" s="11" t="s">
        <v>157</v>
      </c>
      <c r="I207" s="69" t="s">
        <v>4531</v>
      </c>
      <c r="J207" s="78">
        <v>37500</v>
      </c>
      <c r="K207" s="78"/>
      <c r="L207" s="83">
        <v>37500</v>
      </c>
    </row>
    <row r="208" spans="1:12" x14ac:dyDescent="0.25">
      <c r="A208" s="81">
        <v>45707</v>
      </c>
      <c r="B208" s="69" t="s">
        <v>140</v>
      </c>
      <c r="C208" s="11" t="s">
        <v>4487</v>
      </c>
      <c r="D208" s="82" t="s">
        <v>4437</v>
      </c>
      <c r="E208" s="82" t="s">
        <v>903</v>
      </c>
      <c r="F208" s="84">
        <v>45707</v>
      </c>
      <c r="G208" s="82" t="s">
        <v>26</v>
      </c>
      <c r="H208" s="11" t="s">
        <v>160</v>
      </c>
      <c r="I208" s="69" t="s">
        <v>4524</v>
      </c>
      <c r="J208" s="78"/>
      <c r="K208" s="78">
        <v>50000</v>
      </c>
      <c r="L208" s="83">
        <v>-50000</v>
      </c>
    </row>
    <row r="209" spans="1:12" x14ac:dyDescent="0.25">
      <c r="A209" s="81">
        <v>45709</v>
      </c>
      <c r="B209" s="67" t="s">
        <v>41</v>
      </c>
      <c r="C209" s="11" t="s">
        <v>4487</v>
      </c>
      <c r="D209" s="82" t="s">
        <v>4437</v>
      </c>
      <c r="E209" s="82" t="s">
        <v>903</v>
      </c>
      <c r="F209" s="84">
        <v>45709</v>
      </c>
      <c r="G209" s="82" t="s">
        <v>26</v>
      </c>
      <c r="H209" s="11" t="s">
        <v>160</v>
      </c>
      <c r="I209" s="69" t="s">
        <v>4524</v>
      </c>
      <c r="J209" s="78"/>
      <c r="K209" s="78">
        <v>13700</v>
      </c>
      <c r="L209" s="83">
        <v>-13700</v>
      </c>
    </row>
    <row r="210" spans="1:12" x14ac:dyDescent="0.25">
      <c r="A210" s="81">
        <v>45709</v>
      </c>
      <c r="B210" s="67" t="s">
        <v>41</v>
      </c>
      <c r="C210" s="11" t="s">
        <v>4487</v>
      </c>
      <c r="D210" s="82" t="s">
        <v>4437</v>
      </c>
      <c r="E210" s="82" t="s">
        <v>4493</v>
      </c>
      <c r="F210" s="84">
        <v>45708</v>
      </c>
      <c r="G210" s="82" t="s">
        <v>26</v>
      </c>
      <c r="H210" s="11" t="s">
        <v>160</v>
      </c>
      <c r="I210" s="69" t="s">
        <v>4532</v>
      </c>
      <c r="J210" s="78"/>
      <c r="K210" s="78">
        <v>6300</v>
      </c>
      <c r="L210" s="83">
        <v>-6300</v>
      </c>
    </row>
    <row r="211" spans="1:12" x14ac:dyDescent="0.25">
      <c r="A211" s="81">
        <v>45709</v>
      </c>
      <c r="B211" s="69" t="s">
        <v>149</v>
      </c>
      <c r="C211" s="11" t="s">
        <v>4485</v>
      </c>
      <c r="D211" s="82" t="s">
        <v>4488</v>
      </c>
      <c r="E211" s="82" t="s">
        <v>1016</v>
      </c>
      <c r="F211" s="84">
        <v>45707</v>
      </c>
      <c r="G211" s="82" t="s">
        <v>26</v>
      </c>
      <c r="H211" s="11" t="s">
        <v>157</v>
      </c>
      <c r="I211" s="69" t="s">
        <v>6336</v>
      </c>
      <c r="J211" s="78">
        <v>38189.949999999997</v>
      </c>
      <c r="K211" s="78"/>
      <c r="L211" s="83">
        <v>38189.949999999997</v>
      </c>
    </row>
    <row r="212" spans="1:12" x14ac:dyDescent="0.25">
      <c r="A212" s="81">
        <v>45709</v>
      </c>
      <c r="B212" s="69" t="s">
        <v>146</v>
      </c>
      <c r="C212" s="11" t="s">
        <v>4487</v>
      </c>
      <c r="D212" s="82" t="s">
        <v>4488</v>
      </c>
      <c r="E212" s="82" t="s">
        <v>910</v>
      </c>
      <c r="F212" s="84">
        <v>45709</v>
      </c>
      <c r="G212" s="82" t="s">
        <v>26</v>
      </c>
      <c r="H212" s="11" t="s">
        <v>157</v>
      </c>
      <c r="I212" s="69" t="s">
        <v>4425</v>
      </c>
      <c r="J212" s="78"/>
      <c r="K212" s="78">
        <v>51330.93</v>
      </c>
      <c r="L212" s="83">
        <v>-51330.93</v>
      </c>
    </row>
    <row r="213" spans="1:12" x14ac:dyDescent="0.25">
      <c r="A213" s="81">
        <v>45712</v>
      </c>
      <c r="B213" s="69" t="s">
        <v>163</v>
      </c>
      <c r="C213" s="11" t="s">
        <v>4487</v>
      </c>
      <c r="D213" s="82" t="s">
        <v>4437</v>
      </c>
      <c r="E213" s="82" t="s">
        <v>903</v>
      </c>
      <c r="F213" s="84">
        <v>45712</v>
      </c>
      <c r="G213" s="82" t="s">
        <v>26</v>
      </c>
      <c r="H213" s="11" t="s">
        <v>160</v>
      </c>
      <c r="I213" s="69" t="s">
        <v>4524</v>
      </c>
      <c r="J213" s="78"/>
      <c r="K213" s="78">
        <v>50000</v>
      </c>
      <c r="L213" s="83">
        <v>-50000</v>
      </c>
    </row>
    <row r="214" spans="1:12" x14ac:dyDescent="0.25">
      <c r="A214" s="81">
        <v>45713</v>
      </c>
      <c r="B214" s="69" t="s">
        <v>140</v>
      </c>
      <c r="C214" s="11" t="s">
        <v>4487</v>
      </c>
      <c r="D214" s="82" t="s">
        <v>4437</v>
      </c>
      <c r="E214" s="82" t="s">
        <v>4493</v>
      </c>
      <c r="F214" s="84">
        <v>45719</v>
      </c>
      <c r="G214" s="82" t="s">
        <v>26</v>
      </c>
      <c r="H214" s="11" t="s">
        <v>160</v>
      </c>
      <c r="I214" s="69" t="s">
        <v>6671</v>
      </c>
      <c r="J214" s="78"/>
      <c r="K214" s="78">
        <v>50000</v>
      </c>
      <c r="L214" s="83">
        <v>-50000</v>
      </c>
    </row>
    <row r="215" spans="1:12" x14ac:dyDescent="0.25">
      <c r="A215" s="81">
        <v>45713</v>
      </c>
      <c r="B215" s="69" t="s">
        <v>140</v>
      </c>
      <c r="C215" s="11" t="s">
        <v>4487</v>
      </c>
      <c r="D215" s="82" t="s">
        <v>4437</v>
      </c>
      <c r="E215" s="82" t="s">
        <v>4493</v>
      </c>
      <c r="F215" s="84">
        <v>45723</v>
      </c>
      <c r="G215" s="82" t="s">
        <v>26</v>
      </c>
      <c r="H215" s="11" t="s">
        <v>160</v>
      </c>
      <c r="I215" s="69" t="s">
        <v>6672</v>
      </c>
      <c r="J215" s="78"/>
      <c r="K215" s="78">
        <v>50000</v>
      </c>
      <c r="L215" s="83">
        <v>-50000</v>
      </c>
    </row>
    <row r="216" spans="1:12" x14ac:dyDescent="0.25">
      <c r="A216" s="81">
        <v>45713</v>
      </c>
      <c r="B216" s="69" t="s">
        <v>141</v>
      </c>
      <c r="C216" s="11" t="s">
        <v>4487</v>
      </c>
      <c r="D216" s="82" t="s">
        <v>4437</v>
      </c>
      <c r="E216" s="82" t="s">
        <v>903</v>
      </c>
      <c r="F216" s="84">
        <v>45713</v>
      </c>
      <c r="G216" s="82" t="s">
        <v>26</v>
      </c>
      <c r="H216" s="11" t="s">
        <v>160</v>
      </c>
      <c r="I216" s="69" t="s">
        <v>4524</v>
      </c>
      <c r="J216" s="78"/>
      <c r="K216" s="78">
        <v>10000</v>
      </c>
      <c r="L216" s="83">
        <v>-10000</v>
      </c>
    </row>
    <row r="217" spans="1:12" x14ac:dyDescent="0.25">
      <c r="A217" s="81">
        <v>45713</v>
      </c>
      <c r="B217" s="69" t="s">
        <v>45</v>
      </c>
      <c r="C217" s="11" t="s">
        <v>4487</v>
      </c>
      <c r="D217" s="82" t="s">
        <v>4437</v>
      </c>
      <c r="E217" s="82" t="s">
        <v>903</v>
      </c>
      <c r="F217" s="84">
        <v>45713</v>
      </c>
      <c r="G217" s="82" t="s">
        <v>26</v>
      </c>
      <c r="H217" s="11" t="s">
        <v>160</v>
      </c>
      <c r="I217" s="69" t="s">
        <v>4524</v>
      </c>
      <c r="J217" s="78"/>
      <c r="K217" s="78">
        <v>60000</v>
      </c>
      <c r="L217" s="83">
        <v>-60000</v>
      </c>
    </row>
    <row r="218" spans="1:12" x14ac:dyDescent="0.25">
      <c r="A218" s="81">
        <v>45714</v>
      </c>
      <c r="B218" s="69" t="s">
        <v>70</v>
      </c>
      <c r="C218" s="11" t="s">
        <v>4487</v>
      </c>
      <c r="D218" s="82" t="s">
        <v>4437</v>
      </c>
      <c r="E218" s="82" t="s">
        <v>903</v>
      </c>
      <c r="F218" s="84">
        <v>45714</v>
      </c>
      <c r="G218" s="82" t="s">
        <v>26</v>
      </c>
      <c r="H218" s="11" t="s">
        <v>160</v>
      </c>
      <c r="I218" s="69" t="s">
        <v>4524</v>
      </c>
      <c r="J218" s="78"/>
      <c r="K218" s="78">
        <v>50000</v>
      </c>
      <c r="L218" s="83">
        <v>-50000</v>
      </c>
    </row>
    <row r="219" spans="1:12" x14ac:dyDescent="0.25">
      <c r="A219" s="81">
        <v>45714</v>
      </c>
      <c r="B219" s="69" t="s">
        <v>4451</v>
      </c>
      <c r="C219" s="11" t="s">
        <v>4487</v>
      </c>
      <c r="D219" s="82" t="s">
        <v>4437</v>
      </c>
      <c r="E219" s="82" t="s">
        <v>903</v>
      </c>
      <c r="F219" s="84">
        <v>45714</v>
      </c>
      <c r="G219" s="82" t="s">
        <v>26</v>
      </c>
      <c r="H219" s="11" t="s">
        <v>160</v>
      </c>
      <c r="I219" s="69" t="s">
        <v>4524</v>
      </c>
      <c r="J219" s="78"/>
      <c r="K219" s="78">
        <v>15000</v>
      </c>
      <c r="L219" s="83">
        <v>-15000</v>
      </c>
    </row>
    <row r="220" spans="1:12" x14ac:dyDescent="0.25">
      <c r="A220" s="81">
        <v>45714</v>
      </c>
      <c r="B220" s="69" t="s">
        <v>4430</v>
      </c>
      <c r="C220" s="11" t="s">
        <v>4487</v>
      </c>
      <c r="D220" s="82" t="s">
        <v>4488</v>
      </c>
      <c r="E220" s="82" t="s">
        <v>1016</v>
      </c>
      <c r="F220" s="84">
        <v>45808</v>
      </c>
      <c r="G220" s="82" t="s">
        <v>26</v>
      </c>
      <c r="H220" s="11" t="s">
        <v>157</v>
      </c>
      <c r="I220" s="69" t="s">
        <v>6673</v>
      </c>
      <c r="J220" s="78"/>
      <c r="K220" s="78">
        <v>219218.01</v>
      </c>
      <c r="L220" s="83">
        <v>-219218.01</v>
      </c>
    </row>
    <row r="221" spans="1:12" x14ac:dyDescent="0.25">
      <c r="A221" s="81">
        <v>45714</v>
      </c>
      <c r="B221" s="69" t="s">
        <v>4430</v>
      </c>
      <c r="C221" s="11" t="s">
        <v>4487</v>
      </c>
      <c r="D221" s="82" t="s">
        <v>4488</v>
      </c>
      <c r="E221" s="82" t="s">
        <v>1016</v>
      </c>
      <c r="F221" s="84">
        <v>45808</v>
      </c>
      <c r="G221" s="82" t="s">
        <v>26</v>
      </c>
      <c r="H221" s="11" t="s">
        <v>157</v>
      </c>
      <c r="I221" s="69" t="s">
        <v>6674</v>
      </c>
      <c r="J221" s="78"/>
      <c r="K221" s="78">
        <v>219218.01</v>
      </c>
      <c r="L221" s="83">
        <v>-219218.01</v>
      </c>
    </row>
    <row r="222" spans="1:12" x14ac:dyDescent="0.25">
      <c r="A222" s="81">
        <v>45714</v>
      </c>
      <c r="B222" s="69" t="s">
        <v>4455</v>
      </c>
      <c r="C222" s="11" t="s">
        <v>4492</v>
      </c>
      <c r="D222" s="82" t="s">
        <v>4488</v>
      </c>
      <c r="E222" s="82" t="s">
        <v>1016</v>
      </c>
      <c r="F222" s="84">
        <v>45688</v>
      </c>
      <c r="G222" s="82" t="s">
        <v>26</v>
      </c>
      <c r="H222" s="11" t="s">
        <v>160</v>
      </c>
      <c r="I222" s="69" t="s">
        <v>6675</v>
      </c>
      <c r="J222" s="78">
        <v>63670.52</v>
      </c>
      <c r="K222" s="78"/>
      <c r="L222" s="83">
        <v>63670.52</v>
      </c>
    </row>
    <row r="223" spans="1:12" x14ac:dyDescent="0.25">
      <c r="A223" s="81">
        <v>45714</v>
      </c>
      <c r="B223" s="69" t="s">
        <v>4455</v>
      </c>
      <c r="C223" s="11" t="s">
        <v>4487</v>
      </c>
      <c r="D223" s="82" t="s">
        <v>4488</v>
      </c>
      <c r="E223" s="82" t="s">
        <v>903</v>
      </c>
      <c r="F223" s="84">
        <v>45714</v>
      </c>
      <c r="G223" s="82" t="s">
        <v>26</v>
      </c>
      <c r="H223" s="11" t="s">
        <v>160</v>
      </c>
      <c r="I223" s="69" t="s">
        <v>6676</v>
      </c>
      <c r="J223" s="78"/>
      <c r="K223" s="78">
        <v>63670.52</v>
      </c>
      <c r="L223" s="83">
        <v>-63670.52</v>
      </c>
    </row>
    <row r="224" spans="1:12" x14ac:dyDescent="0.25">
      <c r="A224" s="81">
        <v>45715</v>
      </c>
      <c r="B224" s="69" t="s">
        <v>146</v>
      </c>
      <c r="C224" s="11" t="s">
        <v>4487</v>
      </c>
      <c r="D224" s="82" t="s">
        <v>4488</v>
      </c>
      <c r="E224" s="82" t="s">
        <v>910</v>
      </c>
      <c r="F224" s="84">
        <v>45715</v>
      </c>
      <c r="G224" s="82" t="s">
        <v>26</v>
      </c>
      <c r="H224" s="11" t="s">
        <v>157</v>
      </c>
      <c r="I224" s="69" t="s">
        <v>4425</v>
      </c>
      <c r="J224" s="78"/>
      <c r="K224" s="78">
        <v>60000</v>
      </c>
      <c r="L224" s="83">
        <v>-60000</v>
      </c>
    </row>
    <row r="225" spans="1:12" x14ac:dyDescent="0.25">
      <c r="A225" s="81">
        <v>45715</v>
      </c>
      <c r="B225" s="69" t="s">
        <v>141</v>
      </c>
      <c r="C225" s="11" t="s">
        <v>4487</v>
      </c>
      <c r="D225" s="82" t="s">
        <v>4437</v>
      </c>
      <c r="E225" s="82" t="s">
        <v>903</v>
      </c>
      <c r="F225" s="84">
        <v>45715</v>
      </c>
      <c r="G225" s="82" t="s">
        <v>26</v>
      </c>
      <c r="H225" s="11" t="s">
        <v>160</v>
      </c>
      <c r="I225" s="69" t="s">
        <v>4524</v>
      </c>
      <c r="J225" s="78"/>
      <c r="K225" s="78">
        <v>20000</v>
      </c>
      <c r="L225" s="83">
        <v>-20000</v>
      </c>
    </row>
    <row r="226" spans="1:12" x14ac:dyDescent="0.25">
      <c r="A226" s="81"/>
      <c r="B226" s="69"/>
      <c r="C226" s="11"/>
      <c r="D226" s="82"/>
      <c r="E226" s="82"/>
      <c r="F226" s="84"/>
      <c r="G226" s="82"/>
      <c r="H226" s="11"/>
      <c r="I226" s="69"/>
      <c r="J226" s="78"/>
      <c r="K226" s="78"/>
      <c r="L226" s="83"/>
    </row>
    <row r="227" spans="1:12" x14ac:dyDescent="0.25">
      <c r="A227" s="81"/>
      <c r="B227" s="69"/>
      <c r="C227" s="11"/>
      <c r="D227" s="82"/>
      <c r="E227" s="82"/>
      <c r="F227" s="84"/>
      <c r="G227" s="82"/>
      <c r="H227" s="11"/>
      <c r="I227" s="69"/>
      <c r="J227" s="78"/>
      <c r="K227" s="78"/>
      <c r="L227" s="83"/>
    </row>
    <row r="228" spans="1:12" x14ac:dyDescent="0.25">
      <c r="A228" s="81"/>
      <c r="B228" s="69"/>
      <c r="C228" s="11"/>
      <c r="D228" s="82"/>
      <c r="E228" s="82"/>
      <c r="F228" s="84"/>
      <c r="G228" s="82"/>
      <c r="H228" s="11"/>
      <c r="I228" s="69"/>
      <c r="J228" s="78"/>
      <c r="K228" s="78"/>
      <c r="L228" s="83"/>
    </row>
    <row r="229" spans="1:12" x14ac:dyDescent="0.25">
      <c r="A229" s="81"/>
      <c r="B229" s="69"/>
      <c r="C229" s="11"/>
      <c r="D229" s="82"/>
      <c r="E229" s="82"/>
      <c r="F229" s="84"/>
      <c r="G229" s="82"/>
      <c r="H229" s="11"/>
      <c r="I229" s="69"/>
      <c r="J229" s="78"/>
      <c r="K229" s="78"/>
      <c r="L229" s="83"/>
    </row>
    <row r="230" spans="1:12" x14ac:dyDescent="0.25">
      <c r="A230" s="81"/>
      <c r="B230" s="69"/>
      <c r="C230" s="11"/>
      <c r="D230" s="82"/>
      <c r="E230" s="82"/>
      <c r="F230" s="84"/>
      <c r="G230" s="82"/>
      <c r="H230" s="11"/>
      <c r="I230" s="69"/>
      <c r="J230" s="78"/>
      <c r="K230" s="78"/>
      <c r="L230" s="83"/>
    </row>
    <row r="231" spans="1:12" x14ac:dyDescent="0.25">
      <c r="A231" s="81"/>
      <c r="B231" s="69"/>
      <c r="C231" s="11"/>
      <c r="D231" s="82"/>
      <c r="E231" s="82"/>
      <c r="F231" s="84"/>
      <c r="G231" s="82"/>
      <c r="H231" s="11"/>
      <c r="I231" s="69"/>
      <c r="J231" s="78"/>
      <c r="K231" s="78"/>
      <c r="L231" s="83"/>
    </row>
    <row r="232" spans="1:12" x14ac:dyDescent="0.25">
      <c r="A232" s="81"/>
      <c r="B232" s="69"/>
      <c r="C232" s="11"/>
      <c r="D232" s="82"/>
      <c r="E232" s="82"/>
      <c r="F232" s="84"/>
      <c r="G232" s="82"/>
      <c r="H232" s="11"/>
      <c r="I232" s="69"/>
      <c r="J232" s="78"/>
      <c r="K232" s="78"/>
      <c r="L232" s="83"/>
    </row>
    <row r="233" spans="1:12" x14ac:dyDescent="0.25">
      <c r="A233" s="81"/>
      <c r="B233" s="69"/>
      <c r="C233" s="11"/>
      <c r="D233" s="82"/>
      <c r="E233" s="82"/>
      <c r="F233" s="84"/>
      <c r="G233" s="82"/>
      <c r="H233" s="11"/>
      <c r="I233" s="69"/>
      <c r="J233" s="78"/>
      <c r="K233" s="78"/>
      <c r="L233" s="83"/>
    </row>
    <row r="234" spans="1:12" x14ac:dyDescent="0.25">
      <c r="A234" s="81"/>
      <c r="B234" s="69"/>
      <c r="C234" s="11"/>
      <c r="D234" s="82"/>
      <c r="E234" s="82"/>
      <c r="F234" s="84"/>
      <c r="G234" s="82"/>
      <c r="H234" s="11"/>
      <c r="I234" s="69"/>
      <c r="J234" s="78"/>
      <c r="K234" s="78"/>
      <c r="L234" s="83"/>
    </row>
    <row r="235" spans="1:12" x14ac:dyDescent="0.25">
      <c r="A235" s="81"/>
      <c r="B235" s="69"/>
      <c r="C235" s="11"/>
      <c r="D235" s="82"/>
      <c r="E235" s="82"/>
      <c r="F235" s="84"/>
      <c r="G235" s="82"/>
      <c r="H235" s="11"/>
      <c r="I235" s="69"/>
      <c r="J235" s="78"/>
      <c r="K235" s="78"/>
      <c r="L235" s="83"/>
    </row>
    <row r="236" spans="1:12" x14ac:dyDescent="0.25">
      <c r="A236" s="81"/>
      <c r="B236" s="69"/>
      <c r="C236" s="11"/>
      <c r="D236" s="82"/>
      <c r="E236" s="82"/>
      <c r="F236" s="84"/>
      <c r="G236" s="82"/>
      <c r="H236" s="11"/>
      <c r="I236" s="69"/>
      <c r="J236" s="78"/>
      <c r="K236" s="78"/>
      <c r="L236" s="83"/>
    </row>
    <row r="237" spans="1:12" x14ac:dyDescent="0.25">
      <c r="A237" s="81"/>
      <c r="B237" s="69"/>
      <c r="C237" s="11"/>
      <c r="D237" s="82"/>
      <c r="E237" s="82"/>
      <c r="F237" s="84"/>
      <c r="G237" s="82"/>
      <c r="H237" s="11"/>
      <c r="I237" s="69"/>
      <c r="J237" s="78"/>
      <c r="K237" s="78"/>
      <c r="L237" s="83"/>
    </row>
    <row r="238" spans="1:12" x14ac:dyDescent="0.25">
      <c r="A238" s="81"/>
      <c r="B238" s="69"/>
      <c r="C238" s="11"/>
      <c r="D238" s="82"/>
      <c r="E238" s="82"/>
      <c r="F238" s="84"/>
      <c r="G238" s="82"/>
      <c r="H238" s="11"/>
      <c r="I238" s="69"/>
      <c r="J238" s="78"/>
      <c r="K238" s="78"/>
      <c r="L238" s="83"/>
    </row>
    <row r="239" spans="1:12" x14ac:dyDescent="0.25">
      <c r="A239" s="81"/>
      <c r="B239" s="69"/>
      <c r="C239" s="11"/>
      <c r="D239" s="82"/>
      <c r="E239" s="82"/>
      <c r="F239" s="84"/>
      <c r="G239" s="82"/>
      <c r="H239" s="11"/>
      <c r="I239" s="69"/>
      <c r="J239" s="78"/>
      <c r="K239" s="78"/>
      <c r="L239" s="83"/>
    </row>
    <row r="240" spans="1:12" x14ac:dyDescent="0.25">
      <c r="A240" s="81"/>
      <c r="B240" s="69"/>
      <c r="C240" s="11"/>
      <c r="D240" s="82"/>
      <c r="E240" s="82"/>
      <c r="F240" s="84"/>
      <c r="G240" s="82"/>
      <c r="H240" s="11"/>
      <c r="I240" s="69"/>
      <c r="J240" s="78"/>
      <c r="K240" s="78"/>
      <c r="L240" s="83"/>
    </row>
    <row r="241" spans="1:12" x14ac:dyDescent="0.25">
      <c r="A241" s="81"/>
      <c r="B241" s="69"/>
      <c r="C241" s="11"/>
      <c r="D241" s="82"/>
      <c r="E241" s="82"/>
      <c r="F241" s="84"/>
      <c r="G241" s="82"/>
      <c r="H241" s="11"/>
      <c r="I241" s="69"/>
      <c r="J241" s="78"/>
      <c r="K241" s="78"/>
      <c r="L241" s="83"/>
    </row>
    <row r="242" spans="1:12" x14ac:dyDescent="0.25">
      <c r="A242" s="81"/>
      <c r="B242" s="69"/>
      <c r="C242" s="11"/>
      <c r="D242" s="82"/>
      <c r="E242" s="82"/>
      <c r="F242" s="84"/>
      <c r="G242" s="82"/>
      <c r="H242" s="11"/>
      <c r="I242" s="69"/>
      <c r="J242" s="78"/>
      <c r="K242" s="78"/>
      <c r="L242" s="83"/>
    </row>
    <row r="243" spans="1:12" x14ac:dyDescent="0.25">
      <c r="A243" s="81"/>
      <c r="B243" s="69"/>
      <c r="C243" s="11"/>
      <c r="D243" s="82"/>
      <c r="E243" s="82"/>
      <c r="F243" s="84"/>
      <c r="G243" s="82"/>
      <c r="H243" s="11"/>
      <c r="I243" s="69"/>
      <c r="J243" s="78"/>
      <c r="K243" s="78"/>
      <c r="L243" s="83"/>
    </row>
    <row r="244" spans="1:12" x14ac:dyDescent="0.25">
      <c r="A244" s="81"/>
      <c r="B244" s="69"/>
      <c r="C244" s="11"/>
      <c r="D244" s="82"/>
      <c r="E244" s="82"/>
      <c r="F244" s="84"/>
      <c r="G244" s="82"/>
      <c r="H244" s="11"/>
      <c r="I244" s="69"/>
      <c r="J244" s="78"/>
      <c r="K244" s="78"/>
      <c r="L244" s="83"/>
    </row>
    <row r="245" spans="1:12" x14ac:dyDescent="0.25">
      <c r="A245" s="81"/>
      <c r="B245" s="69"/>
      <c r="C245" s="11"/>
      <c r="D245" s="82"/>
      <c r="E245" s="82"/>
      <c r="F245" s="84"/>
      <c r="G245" s="82"/>
      <c r="H245" s="11"/>
      <c r="I245" s="69"/>
      <c r="J245" s="78"/>
      <c r="K245" s="78"/>
      <c r="L245" s="83"/>
    </row>
    <row r="246" spans="1:12" x14ac:dyDescent="0.25">
      <c r="A246" s="81"/>
      <c r="B246" s="69"/>
      <c r="C246" s="11"/>
      <c r="D246" s="82"/>
      <c r="E246" s="82"/>
      <c r="F246" s="84"/>
      <c r="G246" s="82"/>
      <c r="H246" s="11"/>
      <c r="I246" s="69"/>
      <c r="J246" s="78"/>
      <c r="K246" s="78"/>
      <c r="L246" s="83"/>
    </row>
    <row r="247" spans="1:12" x14ac:dyDescent="0.25">
      <c r="A247" s="81"/>
      <c r="B247" s="69"/>
      <c r="C247" s="11"/>
      <c r="D247" s="82"/>
      <c r="E247" s="82"/>
      <c r="F247" s="84"/>
      <c r="G247" s="82"/>
      <c r="H247" s="11"/>
      <c r="I247" s="69"/>
      <c r="J247" s="78"/>
      <c r="K247" s="78"/>
      <c r="L247" s="83"/>
    </row>
    <row r="248" spans="1:12" x14ac:dyDescent="0.25">
      <c r="A248" s="81"/>
      <c r="B248" s="69"/>
      <c r="C248" s="11"/>
      <c r="D248" s="82"/>
      <c r="E248" s="82"/>
      <c r="F248" s="84"/>
      <c r="G248" s="82"/>
      <c r="H248" s="11"/>
      <c r="I248" s="69"/>
      <c r="J248" s="78"/>
      <c r="K248" s="78"/>
      <c r="L248" s="83"/>
    </row>
    <row r="249" spans="1:12" x14ac:dyDescent="0.25">
      <c r="A249" s="81"/>
      <c r="B249" s="69"/>
      <c r="C249" s="11"/>
      <c r="D249" s="82"/>
      <c r="E249" s="82"/>
      <c r="F249" s="84"/>
      <c r="G249" s="82"/>
      <c r="H249" s="11"/>
      <c r="I249" s="69"/>
      <c r="J249" s="78"/>
      <c r="K249" s="78"/>
      <c r="L249" s="83"/>
    </row>
    <row r="250" spans="1:12" x14ac:dyDescent="0.25">
      <c r="A250" s="81"/>
      <c r="B250" s="69"/>
      <c r="C250" s="11"/>
      <c r="D250" s="82"/>
      <c r="E250" s="82"/>
      <c r="F250" s="84"/>
      <c r="G250" s="82"/>
      <c r="H250" s="11"/>
      <c r="I250" s="69"/>
      <c r="J250" s="78"/>
      <c r="K250" s="78"/>
      <c r="L250" s="83"/>
    </row>
    <row r="251" spans="1:12" x14ac:dyDescent="0.25">
      <c r="A251" s="81"/>
      <c r="B251" s="69"/>
      <c r="C251" s="11"/>
      <c r="D251" s="82"/>
      <c r="E251" s="82"/>
      <c r="F251" s="84"/>
      <c r="G251" s="82"/>
      <c r="H251" s="11"/>
      <c r="I251" s="69"/>
      <c r="J251" s="78"/>
      <c r="K251" s="78"/>
      <c r="L251" s="83"/>
    </row>
    <row r="252" spans="1:12" x14ac:dyDescent="0.25">
      <c r="A252" s="81"/>
      <c r="B252" s="69"/>
      <c r="C252" s="11"/>
      <c r="D252" s="82"/>
      <c r="E252" s="82"/>
      <c r="F252" s="84"/>
      <c r="G252" s="82"/>
      <c r="H252" s="11"/>
      <c r="I252" s="69"/>
      <c r="J252" s="78"/>
      <c r="K252" s="78"/>
      <c r="L252" s="83"/>
    </row>
    <row r="253" spans="1:12" x14ac:dyDescent="0.25">
      <c r="A253" s="81"/>
      <c r="B253" s="69"/>
      <c r="C253" s="11"/>
      <c r="D253" s="82"/>
      <c r="E253" s="82"/>
      <c r="F253" s="84"/>
      <c r="G253" s="82"/>
      <c r="H253" s="11"/>
      <c r="I253" s="69"/>
      <c r="J253" s="78"/>
      <c r="K253" s="78"/>
      <c r="L253" s="83"/>
    </row>
    <row r="254" spans="1:12" x14ac:dyDescent="0.25">
      <c r="A254" s="81"/>
      <c r="B254" s="69"/>
      <c r="C254" s="11"/>
      <c r="D254" s="82"/>
      <c r="E254" s="82"/>
      <c r="F254" s="84"/>
      <c r="G254" s="82"/>
      <c r="H254" s="11"/>
      <c r="I254" s="69"/>
      <c r="J254" s="78"/>
      <c r="K254" s="78"/>
      <c r="L254" s="83"/>
    </row>
    <row r="255" spans="1:12" x14ac:dyDescent="0.25">
      <c r="A255" s="81"/>
      <c r="B255" s="69"/>
      <c r="C255" s="11"/>
      <c r="D255" s="82"/>
      <c r="E255" s="82"/>
      <c r="F255" s="84"/>
      <c r="G255" s="82"/>
      <c r="H255" s="11"/>
      <c r="I255" s="69"/>
      <c r="J255" s="78"/>
      <c r="K255" s="78"/>
      <c r="L255" s="83"/>
    </row>
    <row r="256" spans="1:12" x14ac:dyDescent="0.25">
      <c r="A256" s="81"/>
      <c r="B256" s="69"/>
      <c r="C256" s="11"/>
      <c r="D256" s="82"/>
      <c r="E256" s="82"/>
      <c r="F256" s="84"/>
      <c r="G256" s="82"/>
      <c r="H256" s="11"/>
      <c r="I256" s="69"/>
      <c r="J256" s="78"/>
      <c r="K256" s="78"/>
      <c r="L256" s="83"/>
    </row>
    <row r="257" spans="1:12" x14ac:dyDescent="0.25">
      <c r="A257" s="81"/>
      <c r="B257" s="69"/>
      <c r="C257" s="11"/>
      <c r="D257" s="82"/>
      <c r="E257" s="82"/>
      <c r="F257" s="84"/>
      <c r="G257" s="82"/>
      <c r="H257" s="11"/>
      <c r="I257" s="69"/>
      <c r="J257" s="78"/>
      <c r="K257" s="78"/>
      <c r="L257" s="83"/>
    </row>
    <row r="258" spans="1:12" x14ac:dyDescent="0.25">
      <c r="A258" s="81"/>
      <c r="B258" s="69"/>
      <c r="C258" s="11"/>
      <c r="D258" s="82"/>
      <c r="E258" s="82"/>
      <c r="F258" s="84"/>
      <c r="G258" s="82"/>
      <c r="H258" s="11"/>
      <c r="I258" s="69"/>
      <c r="J258" s="78"/>
      <c r="K258" s="78"/>
      <c r="L258" s="83"/>
    </row>
    <row r="259" spans="1:12" x14ac:dyDescent="0.25">
      <c r="A259" s="81"/>
      <c r="B259" s="69"/>
      <c r="C259" s="11"/>
      <c r="D259" s="82"/>
      <c r="E259" s="82"/>
      <c r="F259" s="84"/>
      <c r="G259" s="82"/>
      <c r="H259" s="11"/>
      <c r="I259" s="69"/>
      <c r="J259" s="78"/>
      <c r="K259" s="78"/>
      <c r="L259" s="83"/>
    </row>
    <row r="260" spans="1:12" x14ac:dyDescent="0.25">
      <c r="A260" s="81"/>
      <c r="B260" s="69"/>
      <c r="C260" s="11"/>
      <c r="D260" s="82"/>
      <c r="E260" s="82"/>
      <c r="F260" s="84"/>
      <c r="G260" s="82"/>
      <c r="H260" s="11"/>
      <c r="I260" s="69"/>
      <c r="J260" s="78"/>
      <c r="K260" s="78"/>
      <c r="L260" s="83"/>
    </row>
    <row r="261" spans="1:12" x14ac:dyDescent="0.25">
      <c r="A261" s="81"/>
      <c r="B261" s="69"/>
      <c r="C261" s="11"/>
      <c r="D261" s="82"/>
      <c r="E261" s="82"/>
      <c r="F261" s="84"/>
      <c r="G261" s="82"/>
      <c r="H261" s="11"/>
      <c r="I261" s="69"/>
      <c r="J261" s="78"/>
      <c r="K261" s="78"/>
      <c r="L261" s="83"/>
    </row>
    <row r="262" spans="1:12" x14ac:dyDescent="0.25">
      <c r="A262" s="81"/>
      <c r="B262" s="69"/>
      <c r="C262" s="11"/>
      <c r="D262" s="82"/>
      <c r="E262" s="82"/>
      <c r="F262" s="84"/>
      <c r="G262" s="82"/>
      <c r="H262" s="11"/>
      <c r="I262" s="69"/>
      <c r="J262" s="78"/>
      <c r="K262" s="78"/>
      <c r="L262" s="83"/>
    </row>
    <row r="263" spans="1:12" x14ac:dyDescent="0.25">
      <c r="A263" s="81"/>
      <c r="B263" s="69"/>
      <c r="C263" s="11"/>
      <c r="D263" s="82"/>
      <c r="E263" s="82"/>
      <c r="F263" s="84"/>
      <c r="G263" s="82"/>
      <c r="H263" s="11"/>
      <c r="I263" s="69"/>
      <c r="J263" s="78"/>
      <c r="K263" s="78"/>
      <c r="L263" s="83"/>
    </row>
    <row r="264" spans="1:12" x14ac:dyDescent="0.25">
      <c r="A264" s="81"/>
      <c r="B264" s="69"/>
      <c r="C264" s="11"/>
      <c r="D264" s="82"/>
      <c r="E264" s="82"/>
      <c r="F264" s="84"/>
      <c r="G264" s="82"/>
      <c r="H264" s="11"/>
      <c r="I264" s="69"/>
      <c r="J264" s="78"/>
      <c r="K264" s="78"/>
      <c r="L264" s="83"/>
    </row>
    <row r="265" spans="1:12" x14ac:dyDescent="0.25">
      <c r="A265" s="81"/>
      <c r="B265" s="69"/>
      <c r="C265" s="11"/>
      <c r="D265" s="82"/>
      <c r="E265" s="82"/>
      <c r="F265" s="84"/>
      <c r="G265" s="82"/>
      <c r="H265" s="11"/>
      <c r="I265" s="69"/>
      <c r="J265" s="78"/>
      <c r="K265" s="78"/>
      <c r="L265" s="83"/>
    </row>
    <row r="266" spans="1:12" x14ac:dyDescent="0.25">
      <c r="A266" s="81"/>
      <c r="B266" s="69"/>
      <c r="C266" s="11"/>
      <c r="D266" s="82"/>
      <c r="E266" s="82"/>
      <c r="F266" s="84"/>
      <c r="G266" s="82"/>
      <c r="H266" s="11"/>
      <c r="I266" s="69"/>
      <c r="J266" s="78"/>
      <c r="K266" s="78"/>
      <c r="L266" s="83"/>
    </row>
    <row r="267" spans="1:12" x14ac:dyDescent="0.25">
      <c r="A267" s="81"/>
      <c r="B267" s="69"/>
      <c r="C267" s="11"/>
      <c r="D267" s="82"/>
      <c r="E267" s="82"/>
      <c r="F267" s="84"/>
      <c r="G267" s="82"/>
      <c r="H267" s="11"/>
      <c r="I267" s="69"/>
      <c r="J267" s="78"/>
      <c r="K267" s="78"/>
      <c r="L267" s="83"/>
    </row>
    <row r="268" spans="1:12" x14ac:dyDescent="0.25">
      <c r="A268" s="81"/>
      <c r="B268" s="69"/>
      <c r="C268" s="11"/>
      <c r="D268" s="82"/>
      <c r="E268" s="82"/>
      <c r="F268" s="84"/>
      <c r="G268" s="82"/>
      <c r="H268" s="11"/>
      <c r="I268" s="69"/>
      <c r="J268" s="78"/>
      <c r="K268" s="78"/>
      <c r="L268" s="83"/>
    </row>
    <row r="269" spans="1:12" x14ac:dyDescent="0.25">
      <c r="A269" s="81"/>
      <c r="B269" s="69"/>
      <c r="C269" s="11"/>
      <c r="D269" s="82"/>
      <c r="E269" s="82"/>
      <c r="F269" s="84"/>
      <c r="G269" s="82"/>
      <c r="H269" s="11"/>
      <c r="I269" s="69"/>
      <c r="J269" s="78"/>
      <c r="K269" s="78"/>
      <c r="L269" s="83"/>
    </row>
    <row r="270" spans="1:12" x14ac:dyDescent="0.25">
      <c r="A270" s="81"/>
      <c r="B270" s="69"/>
      <c r="C270" s="11"/>
      <c r="D270" s="82"/>
      <c r="E270" s="82"/>
      <c r="F270" s="84"/>
      <c r="G270" s="82"/>
      <c r="H270" s="11"/>
      <c r="I270" s="69"/>
      <c r="J270" s="78"/>
      <c r="K270" s="78"/>
      <c r="L270" s="83"/>
    </row>
    <row r="271" spans="1:12" x14ac:dyDescent="0.25">
      <c r="A271" s="81"/>
      <c r="B271" s="69"/>
      <c r="C271" s="11"/>
      <c r="D271" s="82"/>
      <c r="E271" s="82"/>
      <c r="F271" s="84"/>
      <c r="G271" s="82"/>
      <c r="H271" s="11"/>
      <c r="I271" s="69"/>
      <c r="J271" s="78"/>
      <c r="K271" s="78"/>
      <c r="L271" s="83"/>
    </row>
    <row r="272" spans="1:12" x14ac:dyDescent="0.25">
      <c r="A272" s="81"/>
      <c r="B272" s="69"/>
      <c r="C272" s="11"/>
      <c r="D272" s="82"/>
      <c r="E272" s="82"/>
      <c r="F272" s="84"/>
      <c r="G272" s="82"/>
      <c r="H272" s="11"/>
      <c r="I272" s="69"/>
      <c r="J272" s="78"/>
      <c r="K272" s="78"/>
      <c r="L272" s="83"/>
    </row>
    <row r="273" spans="1:12" x14ac:dyDescent="0.25">
      <c r="A273" s="81"/>
      <c r="B273" s="69"/>
      <c r="C273" s="11"/>
      <c r="D273" s="82"/>
      <c r="E273" s="82"/>
      <c r="F273" s="84"/>
      <c r="G273" s="82"/>
      <c r="H273" s="11"/>
      <c r="I273" s="69"/>
      <c r="J273" s="78"/>
      <c r="K273" s="78"/>
      <c r="L273" s="83"/>
    </row>
    <row r="274" spans="1:12" x14ac:dyDescent="0.25">
      <c r="A274" s="81"/>
      <c r="B274" s="69"/>
      <c r="C274" s="11"/>
      <c r="D274" s="82"/>
      <c r="E274" s="82"/>
      <c r="F274" s="84"/>
      <c r="G274" s="82"/>
      <c r="H274" s="11"/>
      <c r="I274" s="69"/>
      <c r="J274" s="78"/>
      <c r="K274" s="78"/>
      <c r="L274" s="83"/>
    </row>
    <row r="275" spans="1:12" x14ac:dyDescent="0.25">
      <c r="A275" s="81"/>
      <c r="B275" s="69"/>
      <c r="C275" s="11"/>
      <c r="D275" s="82"/>
      <c r="E275" s="82"/>
      <c r="F275" s="84"/>
      <c r="G275" s="82"/>
      <c r="H275" s="11"/>
      <c r="I275" s="69"/>
      <c r="J275" s="78"/>
      <c r="K275" s="78"/>
      <c r="L275" s="83"/>
    </row>
    <row r="276" spans="1:12" x14ac:dyDescent="0.25">
      <c r="A276" s="81"/>
      <c r="B276" s="69"/>
      <c r="C276" s="11"/>
      <c r="D276" s="82"/>
      <c r="E276" s="82"/>
      <c r="F276" s="84"/>
      <c r="G276" s="82"/>
      <c r="H276" s="11"/>
      <c r="I276" s="69"/>
      <c r="J276" s="78"/>
      <c r="K276" s="78"/>
      <c r="L276" s="83"/>
    </row>
    <row r="277" spans="1:12" x14ac:dyDescent="0.25">
      <c r="A277" s="81"/>
      <c r="B277" s="69"/>
      <c r="C277" s="11"/>
      <c r="D277" s="82"/>
      <c r="E277" s="82"/>
      <c r="F277" s="84"/>
      <c r="G277" s="82"/>
      <c r="H277" s="11"/>
      <c r="I277" s="69"/>
      <c r="J277" s="78"/>
      <c r="K277" s="78"/>
      <c r="L277" s="83"/>
    </row>
    <row r="278" spans="1:12" x14ac:dyDescent="0.25">
      <c r="A278" s="81"/>
      <c r="B278" s="69"/>
      <c r="C278" s="11"/>
      <c r="D278" s="82"/>
      <c r="E278" s="82"/>
      <c r="F278" s="84"/>
      <c r="G278" s="82"/>
      <c r="H278" s="11"/>
      <c r="I278" s="69"/>
      <c r="J278" s="78"/>
      <c r="K278" s="78"/>
      <c r="L278" s="83"/>
    </row>
    <row r="279" spans="1:12" x14ac:dyDescent="0.25">
      <c r="A279" s="81"/>
      <c r="B279" s="69"/>
      <c r="C279" s="11"/>
      <c r="D279" s="82"/>
      <c r="E279" s="82"/>
      <c r="F279" s="84"/>
      <c r="G279" s="82"/>
      <c r="H279" s="11"/>
      <c r="I279" s="69"/>
      <c r="J279" s="78"/>
      <c r="K279" s="78"/>
      <c r="L279" s="83"/>
    </row>
    <row r="280" spans="1:12" x14ac:dyDescent="0.25">
      <c r="A280" s="81"/>
      <c r="B280" s="69"/>
      <c r="C280" s="11"/>
      <c r="D280" s="82"/>
      <c r="E280" s="82"/>
      <c r="F280" s="84"/>
      <c r="G280" s="82"/>
      <c r="H280" s="11"/>
      <c r="I280" s="69"/>
      <c r="J280" s="78"/>
      <c r="K280" s="78"/>
      <c r="L280" s="83"/>
    </row>
    <row r="281" spans="1:12" x14ac:dyDescent="0.25">
      <c r="A281" s="81"/>
      <c r="B281" s="69"/>
      <c r="C281" s="11"/>
      <c r="D281" s="82"/>
      <c r="E281" s="82"/>
      <c r="F281" s="84"/>
      <c r="G281" s="82"/>
      <c r="H281" s="11"/>
      <c r="I281" s="69"/>
      <c r="J281" s="78"/>
      <c r="K281" s="78"/>
      <c r="L281" s="83"/>
    </row>
    <row r="282" spans="1:12" x14ac:dyDescent="0.25">
      <c r="A282" s="81"/>
      <c r="B282" s="69"/>
      <c r="C282" s="11"/>
      <c r="D282" s="82"/>
      <c r="E282" s="82"/>
      <c r="F282" s="84"/>
      <c r="G282" s="82"/>
      <c r="H282" s="11"/>
      <c r="I282" s="69"/>
      <c r="J282" s="78"/>
      <c r="K282" s="78"/>
      <c r="L282" s="83"/>
    </row>
    <row r="283" spans="1:12" x14ac:dyDescent="0.25">
      <c r="A283" s="81"/>
      <c r="B283" s="69"/>
      <c r="C283" s="11"/>
      <c r="D283" s="82"/>
      <c r="E283" s="82"/>
      <c r="F283" s="84"/>
      <c r="G283" s="82"/>
      <c r="H283" s="11"/>
      <c r="I283" s="69"/>
      <c r="J283" s="78"/>
      <c r="K283" s="78"/>
      <c r="L283" s="83"/>
    </row>
    <row r="284" spans="1:12" x14ac:dyDescent="0.25">
      <c r="A284" s="81"/>
      <c r="B284" s="69"/>
      <c r="C284" s="11"/>
      <c r="D284" s="82"/>
      <c r="E284" s="82"/>
      <c r="F284" s="84"/>
      <c r="G284" s="82"/>
      <c r="H284" s="11"/>
      <c r="I284" s="69"/>
      <c r="J284" s="78"/>
      <c r="K284" s="78"/>
      <c r="L284" s="83"/>
    </row>
    <row r="285" spans="1:12" x14ac:dyDescent="0.25">
      <c r="A285" s="81"/>
      <c r="B285" s="69"/>
      <c r="C285" s="11"/>
      <c r="D285" s="82"/>
      <c r="E285" s="82"/>
      <c r="F285" s="84"/>
      <c r="G285" s="82"/>
      <c r="H285" s="11"/>
      <c r="I285" s="69"/>
      <c r="J285" s="78"/>
      <c r="K285" s="78"/>
      <c r="L285" s="83"/>
    </row>
    <row r="286" spans="1:12" x14ac:dyDescent="0.25">
      <c r="A286" s="81"/>
      <c r="B286" s="69"/>
      <c r="C286" s="11"/>
      <c r="D286" s="82"/>
      <c r="E286" s="82"/>
      <c r="F286" s="84"/>
      <c r="G286" s="82"/>
      <c r="H286" s="11"/>
      <c r="I286" s="69"/>
      <c r="J286" s="78"/>
      <c r="K286" s="78"/>
      <c r="L286" s="83"/>
    </row>
    <row r="287" spans="1:12" x14ac:dyDescent="0.25">
      <c r="A287" s="81"/>
      <c r="B287" s="69"/>
      <c r="C287" s="11"/>
      <c r="D287" s="82"/>
      <c r="E287" s="82"/>
      <c r="F287" s="84"/>
      <c r="G287" s="82"/>
      <c r="H287" s="11"/>
      <c r="I287" s="69"/>
      <c r="J287" s="78"/>
      <c r="K287" s="78"/>
      <c r="L287" s="83"/>
    </row>
    <row r="288" spans="1:12" x14ac:dyDescent="0.25">
      <c r="A288" s="81"/>
      <c r="B288" s="69"/>
      <c r="C288" s="11"/>
      <c r="D288" s="82"/>
      <c r="E288" s="82"/>
      <c r="F288" s="84"/>
      <c r="G288" s="82"/>
      <c r="H288" s="11"/>
      <c r="I288" s="69"/>
      <c r="J288" s="78"/>
      <c r="K288" s="78"/>
      <c r="L288" s="83"/>
    </row>
    <row r="289" spans="1:12" x14ac:dyDescent="0.25">
      <c r="A289" s="81"/>
      <c r="B289" s="69"/>
      <c r="C289" s="11"/>
      <c r="D289" s="82"/>
      <c r="E289" s="82"/>
      <c r="F289" s="84"/>
      <c r="G289" s="82"/>
      <c r="H289" s="11"/>
      <c r="I289" s="69"/>
      <c r="J289" s="78"/>
      <c r="K289" s="78"/>
      <c r="L289" s="83"/>
    </row>
    <row r="290" spans="1:12" x14ac:dyDescent="0.25">
      <c r="A290" s="81"/>
      <c r="B290" s="69"/>
      <c r="C290" s="11"/>
      <c r="D290" s="82"/>
      <c r="E290" s="82"/>
      <c r="F290" s="84"/>
      <c r="G290" s="82"/>
      <c r="H290" s="11"/>
      <c r="I290" s="69"/>
      <c r="J290" s="78"/>
      <c r="K290" s="78"/>
      <c r="L290" s="83"/>
    </row>
    <row r="291" spans="1:12" x14ac:dyDescent="0.25">
      <c r="A291" s="81"/>
      <c r="B291" s="69"/>
      <c r="C291" s="11"/>
      <c r="D291" s="82"/>
      <c r="E291" s="82"/>
      <c r="F291" s="84"/>
      <c r="G291" s="82"/>
      <c r="H291" s="11"/>
      <c r="I291" s="69"/>
      <c r="J291" s="78"/>
      <c r="K291" s="78"/>
      <c r="L291" s="83"/>
    </row>
    <row r="292" spans="1:12" x14ac:dyDescent="0.25">
      <c r="A292" s="81"/>
      <c r="B292" s="69"/>
      <c r="C292" s="11"/>
      <c r="D292" s="82"/>
      <c r="E292" s="82"/>
      <c r="F292" s="84"/>
      <c r="G292" s="82"/>
      <c r="H292" s="11"/>
      <c r="I292" s="69"/>
      <c r="J292" s="78"/>
      <c r="K292" s="78"/>
      <c r="L292" s="83"/>
    </row>
    <row r="293" spans="1:12" x14ac:dyDescent="0.25">
      <c r="A293" s="81"/>
      <c r="B293" s="69"/>
      <c r="C293" s="11"/>
      <c r="D293" s="82"/>
      <c r="E293" s="82"/>
      <c r="F293" s="84"/>
      <c r="G293" s="82"/>
      <c r="H293" s="11"/>
      <c r="I293" s="69"/>
      <c r="J293" s="78"/>
      <c r="K293" s="78"/>
      <c r="L293" s="83"/>
    </row>
    <row r="294" spans="1:12" x14ac:dyDescent="0.25">
      <c r="A294" s="81"/>
      <c r="B294" s="69"/>
      <c r="C294" s="11"/>
      <c r="D294" s="82"/>
      <c r="E294" s="82"/>
      <c r="F294" s="84"/>
      <c r="G294" s="82"/>
      <c r="H294" s="11"/>
      <c r="I294" s="69"/>
      <c r="J294" s="78"/>
      <c r="K294" s="78"/>
      <c r="L294" s="83"/>
    </row>
    <row r="295" spans="1:12" x14ac:dyDescent="0.25">
      <c r="A295" s="81"/>
      <c r="B295" s="69"/>
      <c r="C295" s="11"/>
      <c r="D295" s="82"/>
      <c r="E295" s="82"/>
      <c r="F295" s="84"/>
      <c r="G295" s="82"/>
      <c r="H295" s="11"/>
      <c r="I295" s="69"/>
      <c r="J295" s="78"/>
      <c r="K295" s="78"/>
      <c r="L295" s="83"/>
    </row>
    <row r="296" spans="1:12" x14ac:dyDescent="0.25">
      <c r="A296" s="81"/>
      <c r="B296" s="69"/>
      <c r="C296" s="11"/>
      <c r="D296" s="82"/>
      <c r="E296" s="82"/>
      <c r="F296" s="84"/>
      <c r="G296" s="82"/>
      <c r="H296" s="11"/>
      <c r="I296" s="69"/>
      <c r="J296" s="78"/>
      <c r="K296" s="78"/>
      <c r="L296" s="83"/>
    </row>
    <row r="297" spans="1:12" x14ac:dyDescent="0.25">
      <c r="A297" s="81"/>
      <c r="B297" s="69"/>
      <c r="C297" s="11"/>
      <c r="D297" s="82"/>
      <c r="E297" s="82"/>
      <c r="F297" s="84"/>
      <c r="G297" s="82"/>
      <c r="H297" s="11"/>
      <c r="I297" s="69"/>
      <c r="J297" s="78"/>
      <c r="K297" s="78"/>
      <c r="L297" s="83"/>
    </row>
    <row r="298" spans="1:12" x14ac:dyDescent="0.25">
      <c r="A298" s="81"/>
      <c r="B298" s="69"/>
      <c r="C298" s="11"/>
      <c r="D298" s="82"/>
      <c r="E298" s="82"/>
      <c r="F298" s="84"/>
      <c r="G298" s="82"/>
      <c r="H298" s="11"/>
      <c r="I298" s="69"/>
      <c r="J298" s="78"/>
      <c r="K298" s="78"/>
      <c r="L298" s="83"/>
    </row>
    <row r="299" spans="1:12" x14ac:dyDescent="0.25">
      <c r="A299" s="81"/>
      <c r="B299" s="69"/>
      <c r="C299" s="11"/>
      <c r="D299" s="82"/>
      <c r="E299" s="82"/>
      <c r="F299" s="84"/>
      <c r="G299" s="82"/>
      <c r="H299" s="11"/>
      <c r="I299" s="69"/>
      <c r="J299" s="78"/>
      <c r="K299" s="78"/>
      <c r="L299" s="83"/>
    </row>
    <row r="300" spans="1:12" x14ac:dyDescent="0.25">
      <c r="A300" s="81"/>
      <c r="B300" s="69"/>
      <c r="C300" s="11"/>
      <c r="D300" s="82"/>
      <c r="E300" s="82"/>
      <c r="F300" s="84"/>
      <c r="G300" s="82"/>
      <c r="H300" s="11"/>
      <c r="I300" s="69"/>
      <c r="J300" s="78"/>
      <c r="K300" s="78"/>
      <c r="L300" s="83"/>
    </row>
    <row r="301" spans="1:12" x14ac:dyDescent="0.25">
      <c r="A301" s="81"/>
      <c r="B301" s="69"/>
      <c r="C301" s="11"/>
      <c r="D301" s="82"/>
      <c r="E301" s="82"/>
      <c r="F301" s="84"/>
      <c r="G301" s="82"/>
      <c r="H301" s="11"/>
      <c r="I301" s="69"/>
      <c r="J301" s="78"/>
      <c r="K301" s="78"/>
      <c r="L301" s="83"/>
    </row>
    <row r="302" spans="1:12" x14ac:dyDescent="0.25">
      <c r="A302" s="81"/>
      <c r="B302" s="69"/>
      <c r="C302" s="11"/>
      <c r="D302" s="82"/>
      <c r="E302" s="82"/>
      <c r="F302" s="84"/>
      <c r="G302" s="82"/>
      <c r="H302" s="11"/>
      <c r="I302" s="69"/>
      <c r="J302" s="78"/>
      <c r="K302" s="78"/>
      <c r="L302" s="83"/>
    </row>
    <row r="303" spans="1:12" x14ac:dyDescent="0.25">
      <c r="A303" s="81"/>
      <c r="B303" s="69"/>
      <c r="C303" s="11"/>
      <c r="D303" s="82"/>
      <c r="E303" s="82"/>
      <c r="F303" s="84"/>
      <c r="G303" s="82"/>
      <c r="H303" s="11"/>
      <c r="I303" s="69"/>
      <c r="J303" s="78"/>
      <c r="K303" s="78"/>
      <c r="L303" s="83"/>
    </row>
    <row r="304" spans="1:12" x14ac:dyDescent="0.25">
      <c r="A304" s="81"/>
      <c r="B304" s="69"/>
      <c r="C304" s="11"/>
      <c r="D304" s="82"/>
      <c r="E304" s="82"/>
      <c r="F304" s="84"/>
      <c r="G304" s="82"/>
      <c r="H304" s="11"/>
      <c r="I304" s="69"/>
      <c r="J304" s="78"/>
      <c r="K304" s="78"/>
      <c r="L304" s="83"/>
    </row>
    <row r="305" spans="1:12" x14ac:dyDescent="0.25">
      <c r="A305" s="81"/>
      <c r="B305" s="69"/>
      <c r="C305" s="11"/>
      <c r="D305" s="82"/>
      <c r="E305" s="82"/>
      <c r="F305" s="84"/>
      <c r="G305" s="82"/>
      <c r="H305" s="11"/>
      <c r="I305" s="69"/>
      <c r="J305" s="78"/>
      <c r="K305" s="78"/>
      <c r="L305" s="83"/>
    </row>
    <row r="306" spans="1:12" x14ac:dyDescent="0.25">
      <c r="A306" s="81"/>
      <c r="B306" s="69"/>
      <c r="C306" s="11"/>
      <c r="D306" s="82"/>
      <c r="E306" s="82"/>
      <c r="F306" s="84"/>
      <c r="G306" s="82"/>
      <c r="H306" s="11"/>
      <c r="I306" s="69"/>
      <c r="J306" s="78"/>
      <c r="K306" s="78"/>
      <c r="L306" s="83"/>
    </row>
    <row r="307" spans="1:12" x14ac:dyDescent="0.25">
      <c r="A307" s="81"/>
      <c r="B307" s="69"/>
      <c r="C307" s="11"/>
      <c r="D307" s="82"/>
      <c r="E307" s="82"/>
      <c r="F307" s="84"/>
      <c r="G307" s="82"/>
      <c r="H307" s="11"/>
      <c r="I307" s="69"/>
      <c r="J307" s="78"/>
      <c r="K307" s="78"/>
      <c r="L307" s="83"/>
    </row>
    <row r="308" spans="1:12" x14ac:dyDescent="0.25">
      <c r="A308" s="81"/>
      <c r="B308" s="69"/>
      <c r="C308" s="11"/>
      <c r="D308" s="82"/>
      <c r="E308" s="82"/>
      <c r="F308" s="84"/>
      <c r="G308" s="82"/>
      <c r="H308" s="11"/>
      <c r="I308" s="69"/>
      <c r="J308" s="78"/>
      <c r="K308" s="78"/>
      <c r="L308" s="83"/>
    </row>
    <row r="309" spans="1:12" x14ac:dyDescent="0.25">
      <c r="A309" s="81"/>
      <c r="B309" s="69"/>
      <c r="C309" s="11"/>
      <c r="D309" s="82"/>
      <c r="E309" s="82"/>
      <c r="F309" s="84"/>
      <c r="G309" s="82"/>
      <c r="H309" s="11"/>
      <c r="I309" s="69"/>
      <c r="J309" s="78"/>
      <c r="K309" s="78"/>
      <c r="L309" s="83"/>
    </row>
    <row r="310" spans="1:12" x14ac:dyDescent="0.25">
      <c r="A310" s="81"/>
      <c r="B310" s="69"/>
      <c r="C310" s="11"/>
      <c r="D310" s="82"/>
      <c r="E310" s="82"/>
      <c r="F310" s="84"/>
      <c r="G310" s="82"/>
      <c r="H310" s="11"/>
      <c r="I310" s="69"/>
      <c r="J310" s="78"/>
      <c r="K310" s="78"/>
      <c r="L310" s="83"/>
    </row>
    <row r="311" spans="1:12" x14ac:dyDescent="0.25">
      <c r="A311" s="81"/>
      <c r="B311" s="69"/>
      <c r="C311" s="11"/>
      <c r="D311" s="82"/>
      <c r="E311" s="82"/>
      <c r="F311" s="84"/>
      <c r="G311" s="82"/>
      <c r="H311" s="11"/>
      <c r="I311" s="69"/>
      <c r="J311" s="78"/>
      <c r="K311" s="78"/>
      <c r="L311" s="83"/>
    </row>
    <row r="312" spans="1:12" x14ac:dyDescent="0.25">
      <c r="A312" s="81"/>
      <c r="B312" s="69"/>
      <c r="C312" s="11"/>
      <c r="D312" s="82"/>
      <c r="E312" s="82"/>
      <c r="F312" s="84"/>
      <c r="G312" s="82"/>
      <c r="H312" s="11"/>
      <c r="I312" s="69"/>
      <c r="J312" s="78"/>
      <c r="K312" s="78"/>
      <c r="L312" s="83"/>
    </row>
    <row r="313" spans="1:12" x14ac:dyDescent="0.25">
      <c r="A313" s="81"/>
      <c r="B313" s="69"/>
      <c r="C313" s="11"/>
      <c r="D313" s="82"/>
      <c r="E313" s="82"/>
      <c r="F313" s="84"/>
      <c r="G313" s="82"/>
      <c r="H313" s="11"/>
      <c r="I313" s="69"/>
      <c r="J313" s="78"/>
      <c r="K313" s="78"/>
      <c r="L313" s="83"/>
    </row>
    <row r="314" spans="1:12" x14ac:dyDescent="0.25">
      <c r="A314" s="81"/>
      <c r="B314" s="69"/>
      <c r="C314" s="11"/>
      <c r="D314" s="82"/>
      <c r="E314" s="82"/>
      <c r="F314" s="84"/>
      <c r="G314" s="82"/>
      <c r="H314" s="11"/>
      <c r="I314" s="69"/>
      <c r="J314" s="78"/>
      <c r="K314" s="78"/>
      <c r="L314" s="83"/>
    </row>
    <row r="315" spans="1:12" x14ac:dyDescent="0.25">
      <c r="A315" s="81"/>
      <c r="B315" s="69"/>
      <c r="C315" s="11"/>
      <c r="D315" s="82"/>
      <c r="E315" s="82"/>
      <c r="F315" s="84"/>
      <c r="G315" s="82"/>
      <c r="H315" s="11"/>
      <c r="I315" s="69"/>
      <c r="J315" s="78"/>
      <c r="K315" s="78"/>
      <c r="L315" s="83"/>
    </row>
    <row r="316" spans="1:12" x14ac:dyDescent="0.25">
      <c r="A316" s="81"/>
      <c r="B316" s="69"/>
      <c r="C316" s="11"/>
      <c r="D316" s="82"/>
      <c r="E316" s="82"/>
      <c r="F316" s="84"/>
      <c r="G316" s="82"/>
      <c r="H316" s="11"/>
      <c r="I316" s="69"/>
      <c r="J316" s="78"/>
      <c r="K316" s="78"/>
      <c r="L316" s="83"/>
    </row>
    <row r="317" spans="1:12" x14ac:dyDescent="0.25">
      <c r="A317" s="81"/>
      <c r="B317" s="69"/>
      <c r="C317" s="11"/>
      <c r="D317" s="82"/>
      <c r="E317" s="82"/>
      <c r="F317" s="84"/>
      <c r="G317" s="82"/>
      <c r="H317" s="11"/>
      <c r="I317" s="69"/>
      <c r="J317" s="78"/>
      <c r="K317" s="78"/>
      <c r="L317" s="83"/>
    </row>
    <row r="318" spans="1:12" x14ac:dyDescent="0.25">
      <c r="A318" s="81"/>
      <c r="B318" s="69"/>
      <c r="C318" s="11"/>
      <c r="D318" s="82"/>
      <c r="E318" s="82"/>
      <c r="F318" s="84"/>
      <c r="G318" s="82"/>
      <c r="H318" s="11"/>
      <c r="I318" s="69"/>
      <c r="J318" s="78"/>
      <c r="K318" s="78"/>
      <c r="L318" s="83"/>
    </row>
    <row r="319" spans="1:12" x14ac:dyDescent="0.25">
      <c r="A319" s="81"/>
      <c r="B319" s="69"/>
      <c r="C319" s="11"/>
      <c r="D319" s="82"/>
      <c r="E319" s="82"/>
      <c r="F319" s="84"/>
      <c r="G319" s="82"/>
      <c r="H319" s="11"/>
      <c r="I319" s="69"/>
      <c r="J319" s="78"/>
      <c r="K319" s="78"/>
      <c r="L319" s="83"/>
    </row>
    <row r="320" spans="1:12" x14ac:dyDescent="0.25">
      <c r="A320" s="81"/>
      <c r="B320" s="69"/>
      <c r="C320" s="11"/>
      <c r="D320" s="82"/>
      <c r="E320" s="82"/>
      <c r="F320" s="84"/>
      <c r="G320" s="82"/>
      <c r="H320" s="11"/>
      <c r="I320" s="69"/>
      <c r="J320" s="78"/>
      <c r="K320" s="78"/>
      <c r="L320" s="83"/>
    </row>
    <row r="321" spans="1:12" x14ac:dyDescent="0.25">
      <c r="A321" s="81"/>
      <c r="B321" s="69"/>
      <c r="C321" s="11"/>
      <c r="D321" s="82"/>
      <c r="E321" s="82"/>
      <c r="F321" s="84"/>
      <c r="G321" s="82"/>
      <c r="H321" s="11"/>
      <c r="I321" s="69"/>
      <c r="J321" s="78"/>
      <c r="K321" s="78"/>
      <c r="L321" s="83"/>
    </row>
    <row r="322" spans="1:12" x14ac:dyDescent="0.25">
      <c r="A322" s="81"/>
      <c r="B322" s="69"/>
      <c r="C322" s="11"/>
      <c r="D322" s="82"/>
      <c r="E322" s="82"/>
      <c r="F322" s="84"/>
      <c r="G322" s="82"/>
      <c r="H322" s="11"/>
      <c r="I322" s="69"/>
      <c r="J322" s="78"/>
      <c r="K322" s="78"/>
      <c r="L322" s="83"/>
    </row>
    <row r="323" spans="1:12" x14ac:dyDescent="0.25">
      <c r="A323" s="81"/>
      <c r="B323" s="69"/>
      <c r="C323" s="11"/>
      <c r="D323" s="82"/>
      <c r="E323" s="82"/>
      <c r="F323" s="84"/>
      <c r="G323" s="82"/>
      <c r="H323" s="11"/>
      <c r="I323" s="69"/>
      <c r="J323" s="78"/>
      <c r="K323" s="78"/>
      <c r="L323" s="83"/>
    </row>
    <row r="324" spans="1:12" x14ac:dyDescent="0.25">
      <c r="A324" s="81"/>
      <c r="B324" s="69"/>
      <c r="C324" s="11"/>
      <c r="D324" s="82"/>
      <c r="E324" s="82"/>
      <c r="F324" s="84"/>
      <c r="G324" s="82"/>
      <c r="H324" s="11"/>
      <c r="I324" s="69"/>
      <c r="J324" s="78"/>
      <c r="K324" s="78"/>
      <c r="L324" s="83"/>
    </row>
    <row r="325" spans="1:12" x14ac:dyDescent="0.25">
      <c r="A325" s="81"/>
      <c r="B325" s="69"/>
      <c r="C325" s="11"/>
      <c r="D325" s="82"/>
      <c r="E325" s="82"/>
      <c r="F325" s="84"/>
      <c r="G325" s="82"/>
      <c r="H325" s="11"/>
      <c r="I325" s="69"/>
      <c r="J325" s="78"/>
      <c r="K325" s="78"/>
      <c r="L325" s="83"/>
    </row>
    <row r="326" spans="1:12" x14ac:dyDescent="0.25">
      <c r="A326" s="81"/>
      <c r="B326" s="69"/>
      <c r="C326" s="11"/>
      <c r="D326" s="82"/>
      <c r="E326" s="82"/>
      <c r="F326" s="84"/>
      <c r="G326" s="82"/>
      <c r="H326" s="11"/>
      <c r="I326" s="69"/>
      <c r="J326" s="78"/>
      <c r="K326" s="78"/>
      <c r="L326" s="83"/>
    </row>
    <row r="327" spans="1:12" x14ac:dyDescent="0.25">
      <c r="A327" s="81"/>
      <c r="B327" s="69"/>
      <c r="C327" s="11"/>
      <c r="D327" s="82"/>
      <c r="E327" s="82"/>
      <c r="F327" s="84"/>
      <c r="G327" s="82"/>
      <c r="H327" s="11"/>
      <c r="I327" s="69"/>
      <c r="J327" s="78"/>
      <c r="K327" s="78"/>
      <c r="L327" s="83"/>
    </row>
    <row r="328" spans="1:12" x14ac:dyDescent="0.25">
      <c r="A328" s="81"/>
      <c r="B328" s="69"/>
      <c r="C328" s="11"/>
      <c r="D328" s="82"/>
      <c r="E328" s="82"/>
      <c r="F328" s="84"/>
      <c r="G328" s="82"/>
      <c r="H328" s="11"/>
      <c r="I328" s="69"/>
      <c r="J328" s="78"/>
      <c r="K328" s="78"/>
      <c r="L328" s="83"/>
    </row>
    <row r="329" spans="1:12" x14ac:dyDescent="0.25">
      <c r="A329" s="81"/>
      <c r="B329" s="69"/>
      <c r="C329" s="11"/>
      <c r="D329" s="82"/>
      <c r="E329" s="82"/>
      <c r="F329" s="84"/>
      <c r="G329" s="82"/>
      <c r="H329" s="11"/>
      <c r="I329" s="69"/>
      <c r="J329" s="78"/>
      <c r="K329" s="78"/>
      <c r="L329" s="83"/>
    </row>
    <row r="330" spans="1:12" x14ac:dyDescent="0.25">
      <c r="A330" s="81"/>
      <c r="B330" s="69"/>
      <c r="C330" s="11"/>
      <c r="D330" s="82"/>
      <c r="E330" s="82"/>
      <c r="F330" s="84"/>
      <c r="G330" s="82"/>
      <c r="H330" s="11"/>
      <c r="I330" s="69"/>
      <c r="J330" s="78"/>
      <c r="K330" s="78"/>
      <c r="L330" s="83"/>
    </row>
    <row r="331" spans="1:12" x14ac:dyDescent="0.25">
      <c r="A331" s="81"/>
      <c r="B331" s="69"/>
      <c r="C331" s="11"/>
      <c r="D331" s="82"/>
      <c r="E331" s="82"/>
      <c r="F331" s="84"/>
      <c r="G331" s="82"/>
      <c r="H331" s="11"/>
      <c r="I331" s="69"/>
      <c r="J331" s="78"/>
      <c r="K331" s="78"/>
      <c r="L331" s="83"/>
    </row>
    <row r="332" spans="1:12" x14ac:dyDescent="0.25">
      <c r="A332" s="81"/>
      <c r="B332" s="69"/>
      <c r="C332" s="11"/>
      <c r="D332" s="82"/>
      <c r="E332" s="82"/>
      <c r="F332" s="84"/>
      <c r="G332" s="82"/>
      <c r="H332" s="11"/>
      <c r="I332" s="69"/>
      <c r="J332" s="78"/>
      <c r="K332" s="78"/>
      <c r="L332" s="83"/>
    </row>
    <row r="333" spans="1:12" x14ac:dyDescent="0.25">
      <c r="A333" s="81"/>
      <c r="B333" s="69"/>
      <c r="C333" s="11"/>
      <c r="D333" s="82"/>
      <c r="E333" s="82"/>
      <c r="F333" s="84"/>
      <c r="G333" s="82"/>
      <c r="H333" s="11"/>
      <c r="I333" s="69"/>
      <c r="J333" s="78"/>
      <c r="K333" s="78"/>
      <c r="L333" s="83"/>
    </row>
    <row r="334" spans="1:12" x14ac:dyDescent="0.25">
      <c r="A334" s="81"/>
      <c r="B334" s="69"/>
      <c r="C334" s="11"/>
      <c r="D334" s="82"/>
      <c r="E334" s="82"/>
      <c r="F334" s="84"/>
      <c r="G334" s="82"/>
      <c r="H334" s="11"/>
      <c r="I334" s="69"/>
      <c r="J334" s="78"/>
      <c r="K334" s="78"/>
      <c r="L334" s="83"/>
    </row>
    <row r="335" spans="1:12" x14ac:dyDescent="0.25">
      <c r="A335" s="81"/>
      <c r="B335" s="69"/>
      <c r="C335" s="11"/>
      <c r="D335" s="82"/>
      <c r="E335" s="82"/>
      <c r="F335" s="84"/>
      <c r="G335" s="82"/>
      <c r="H335" s="11"/>
      <c r="I335" s="69"/>
      <c r="J335" s="78"/>
      <c r="K335" s="78"/>
      <c r="L335" s="83"/>
    </row>
    <row r="336" spans="1:12" x14ac:dyDescent="0.25">
      <c r="A336" s="81"/>
      <c r="B336" s="69"/>
      <c r="C336" s="11"/>
      <c r="D336" s="82"/>
      <c r="E336" s="82"/>
      <c r="F336" s="84"/>
      <c r="G336" s="82"/>
      <c r="H336" s="11"/>
      <c r="I336" s="69"/>
      <c r="J336" s="78"/>
      <c r="K336" s="78"/>
      <c r="L336" s="83"/>
    </row>
    <row r="337" spans="1:12" x14ac:dyDescent="0.25">
      <c r="A337" s="81"/>
      <c r="B337" s="69"/>
      <c r="C337" s="11"/>
      <c r="D337" s="82"/>
      <c r="E337" s="82"/>
      <c r="F337" s="84"/>
      <c r="G337" s="82"/>
      <c r="H337" s="11"/>
      <c r="I337" s="69"/>
      <c r="J337" s="78"/>
      <c r="K337" s="78"/>
      <c r="L337" s="83"/>
    </row>
    <row r="338" spans="1:12" x14ac:dyDescent="0.25">
      <c r="A338" s="81"/>
      <c r="B338" s="69"/>
      <c r="C338" s="11"/>
      <c r="D338" s="82"/>
      <c r="E338" s="82"/>
      <c r="F338" s="84"/>
      <c r="G338" s="82"/>
      <c r="H338" s="11"/>
      <c r="I338" s="69"/>
      <c r="J338" s="78"/>
      <c r="K338" s="78"/>
      <c r="L338" s="83"/>
    </row>
    <row r="339" spans="1:12" x14ac:dyDescent="0.25">
      <c r="A339" s="81"/>
      <c r="B339" s="69"/>
      <c r="C339" s="11"/>
      <c r="D339" s="82"/>
      <c r="E339" s="82"/>
      <c r="F339" s="84"/>
      <c r="G339" s="82"/>
      <c r="H339" s="11"/>
      <c r="I339" s="69"/>
      <c r="J339" s="78"/>
      <c r="K339" s="78"/>
      <c r="L339" s="83"/>
    </row>
    <row r="340" spans="1:12" x14ac:dyDescent="0.25">
      <c r="A340" s="81"/>
      <c r="B340" s="69"/>
      <c r="C340" s="11"/>
      <c r="D340" s="82"/>
      <c r="E340" s="82"/>
      <c r="F340" s="84"/>
      <c r="G340" s="82"/>
      <c r="H340" s="11"/>
      <c r="I340" s="69"/>
      <c r="J340" s="78"/>
      <c r="K340" s="78"/>
      <c r="L340" s="83"/>
    </row>
    <row r="341" spans="1:12" x14ac:dyDescent="0.25">
      <c r="A341" s="81"/>
      <c r="B341" s="69"/>
      <c r="C341" s="11"/>
      <c r="D341" s="82"/>
      <c r="E341" s="82"/>
      <c r="F341" s="84"/>
      <c r="G341" s="82"/>
      <c r="H341" s="11"/>
      <c r="I341" s="69"/>
      <c r="J341" s="78"/>
      <c r="K341" s="78"/>
      <c r="L341" s="83"/>
    </row>
    <row r="342" spans="1:12" x14ac:dyDescent="0.25">
      <c r="A342" s="81"/>
      <c r="B342" s="69"/>
      <c r="C342" s="11"/>
      <c r="D342" s="82"/>
      <c r="E342" s="82"/>
      <c r="F342" s="84"/>
      <c r="G342" s="82"/>
      <c r="H342" s="11"/>
      <c r="I342" s="69"/>
      <c r="J342" s="78"/>
      <c r="K342" s="78"/>
      <c r="L342" s="83"/>
    </row>
    <row r="343" spans="1:12" x14ac:dyDescent="0.25">
      <c r="A343" s="81"/>
      <c r="B343" s="69"/>
      <c r="C343" s="11"/>
      <c r="D343" s="82"/>
      <c r="E343" s="82"/>
      <c r="F343" s="84"/>
      <c r="G343" s="82"/>
      <c r="H343" s="11"/>
      <c r="I343" s="69"/>
      <c r="J343" s="78"/>
      <c r="K343" s="78"/>
      <c r="L343" s="83"/>
    </row>
    <row r="344" spans="1:12" x14ac:dyDescent="0.25">
      <c r="A344" s="81"/>
      <c r="B344" s="69"/>
      <c r="C344" s="11"/>
      <c r="D344" s="82"/>
      <c r="E344" s="82"/>
      <c r="F344" s="84"/>
      <c r="G344" s="82"/>
      <c r="H344" s="11"/>
      <c r="I344" s="69"/>
      <c r="J344" s="78"/>
      <c r="K344" s="78"/>
      <c r="L344" s="83"/>
    </row>
    <row r="345" spans="1:12" x14ac:dyDescent="0.25">
      <c r="A345" s="81"/>
      <c r="B345" s="69"/>
      <c r="C345" s="11"/>
      <c r="D345" s="82"/>
      <c r="E345" s="82"/>
      <c r="F345" s="84"/>
      <c r="G345" s="82"/>
      <c r="H345" s="11"/>
      <c r="I345" s="69"/>
      <c r="J345" s="78"/>
      <c r="K345" s="78"/>
      <c r="L345" s="83"/>
    </row>
    <row r="346" spans="1:12" x14ac:dyDescent="0.25">
      <c r="A346" s="81"/>
      <c r="B346" s="69"/>
      <c r="C346" s="11"/>
      <c r="D346" s="82"/>
      <c r="E346" s="82"/>
      <c r="F346" s="84"/>
      <c r="G346" s="82"/>
      <c r="H346" s="11"/>
      <c r="I346" s="69"/>
      <c r="J346" s="78"/>
      <c r="K346" s="78"/>
      <c r="L346" s="83"/>
    </row>
    <row r="347" spans="1:12" x14ac:dyDescent="0.25">
      <c r="A347" s="81"/>
      <c r="B347" s="69"/>
      <c r="C347" s="11"/>
      <c r="D347" s="82"/>
      <c r="E347" s="82"/>
      <c r="F347" s="84"/>
      <c r="G347" s="82"/>
      <c r="H347" s="11"/>
      <c r="I347" s="69"/>
      <c r="J347" s="78"/>
      <c r="K347" s="78"/>
      <c r="L347" s="83"/>
    </row>
    <row r="348" spans="1:12" x14ac:dyDescent="0.25">
      <c r="A348" s="81"/>
      <c r="B348" s="69"/>
      <c r="C348" s="11"/>
      <c r="D348" s="82"/>
      <c r="E348" s="82"/>
      <c r="F348" s="84"/>
      <c r="G348" s="82"/>
      <c r="H348" s="11"/>
      <c r="I348" s="69"/>
      <c r="J348" s="78"/>
      <c r="K348" s="78"/>
      <c r="L348" s="83"/>
    </row>
    <row r="349" spans="1:12" x14ac:dyDescent="0.25">
      <c r="A349" s="81"/>
      <c r="B349" s="69"/>
      <c r="C349" s="11"/>
      <c r="D349" s="82"/>
      <c r="E349" s="82"/>
      <c r="F349" s="84"/>
      <c r="G349" s="82"/>
      <c r="H349" s="11"/>
      <c r="I349" s="69"/>
      <c r="J349" s="78"/>
      <c r="K349" s="78"/>
      <c r="L349" s="83"/>
    </row>
    <row r="350" spans="1:12" x14ac:dyDescent="0.25">
      <c r="A350" s="81"/>
      <c r="B350" s="69"/>
      <c r="C350" s="11"/>
      <c r="D350" s="82"/>
      <c r="E350" s="82"/>
      <c r="F350" s="84"/>
      <c r="G350" s="82"/>
      <c r="H350" s="11"/>
      <c r="I350" s="69"/>
      <c r="J350" s="78"/>
      <c r="K350" s="78"/>
      <c r="L350" s="83"/>
    </row>
    <row r="351" spans="1:12" x14ac:dyDescent="0.25">
      <c r="A351" s="81"/>
      <c r="B351" s="69"/>
      <c r="C351" s="11"/>
      <c r="D351" s="82"/>
      <c r="E351" s="82"/>
      <c r="F351" s="84"/>
      <c r="G351" s="82"/>
      <c r="H351" s="11"/>
      <c r="I351" s="69"/>
      <c r="J351" s="78"/>
      <c r="K351" s="78"/>
      <c r="L351" s="83"/>
    </row>
    <row r="352" spans="1:12" x14ac:dyDescent="0.25">
      <c r="A352" s="81"/>
      <c r="B352" s="69"/>
      <c r="C352" s="11"/>
      <c r="D352" s="82"/>
      <c r="E352" s="82"/>
      <c r="F352" s="84"/>
      <c r="G352" s="82"/>
      <c r="H352" s="11"/>
      <c r="I352" s="69"/>
      <c r="J352" s="78"/>
      <c r="K352" s="78"/>
      <c r="L352" s="83"/>
    </row>
    <row r="353" spans="1:12" x14ac:dyDescent="0.25">
      <c r="A353" s="81"/>
      <c r="B353" s="69"/>
      <c r="C353" s="11"/>
      <c r="D353" s="82"/>
      <c r="E353" s="82"/>
      <c r="F353" s="84"/>
      <c r="G353" s="82"/>
      <c r="H353" s="11"/>
      <c r="I353" s="69"/>
      <c r="J353" s="78"/>
      <c r="K353" s="78"/>
      <c r="L353" s="83"/>
    </row>
    <row r="354" spans="1:12" x14ac:dyDescent="0.25">
      <c r="A354" s="81"/>
      <c r="B354" s="69"/>
      <c r="C354" s="11"/>
      <c r="D354" s="82"/>
      <c r="E354" s="82"/>
      <c r="F354" s="84"/>
      <c r="G354" s="82"/>
      <c r="H354" s="11"/>
      <c r="I354" s="69"/>
      <c r="J354" s="78"/>
      <c r="K354" s="78"/>
      <c r="L354" s="83"/>
    </row>
    <row r="355" spans="1:12" x14ac:dyDescent="0.25">
      <c r="A355" s="81"/>
      <c r="B355" s="69"/>
      <c r="C355" s="11"/>
      <c r="D355" s="82"/>
      <c r="E355" s="82"/>
      <c r="F355" s="84"/>
      <c r="G355" s="82"/>
      <c r="H355" s="11"/>
      <c r="I355" s="69"/>
      <c r="J355" s="78"/>
      <c r="K355" s="78"/>
      <c r="L355" s="83"/>
    </row>
    <row r="356" spans="1:12" x14ac:dyDescent="0.25">
      <c r="A356" s="81"/>
      <c r="B356" s="69"/>
      <c r="C356" s="11"/>
      <c r="D356" s="82"/>
      <c r="E356" s="82"/>
      <c r="F356" s="84"/>
      <c r="G356" s="82"/>
      <c r="H356" s="11"/>
      <c r="I356" s="69"/>
      <c r="J356" s="78"/>
      <c r="K356" s="78"/>
      <c r="L356" s="83"/>
    </row>
    <row r="357" spans="1:12" x14ac:dyDescent="0.25">
      <c r="A357" s="81"/>
      <c r="B357" s="69"/>
      <c r="C357" s="11"/>
      <c r="D357" s="82"/>
      <c r="E357" s="82"/>
      <c r="F357" s="84"/>
      <c r="G357" s="82"/>
      <c r="H357" s="11"/>
      <c r="I357" s="69"/>
      <c r="J357" s="78"/>
      <c r="K357" s="78"/>
      <c r="L357" s="83"/>
    </row>
    <row r="358" spans="1:12" x14ac:dyDescent="0.25">
      <c r="A358" s="81"/>
      <c r="B358" s="69"/>
      <c r="C358" s="11"/>
      <c r="D358" s="82"/>
      <c r="E358" s="82"/>
      <c r="F358" s="84"/>
      <c r="G358" s="82"/>
      <c r="H358" s="11"/>
      <c r="I358" s="69"/>
      <c r="J358" s="78"/>
      <c r="K358" s="78"/>
      <c r="L358" s="83"/>
    </row>
    <row r="359" spans="1:12" x14ac:dyDescent="0.25">
      <c r="A359" s="81"/>
      <c r="B359" s="69"/>
      <c r="C359" s="11"/>
      <c r="D359" s="82"/>
      <c r="E359" s="82"/>
      <c r="F359" s="84"/>
      <c r="G359" s="82"/>
      <c r="H359" s="11"/>
      <c r="I359" s="69"/>
      <c r="J359" s="78"/>
      <c r="K359" s="78"/>
      <c r="L359" s="83"/>
    </row>
    <row r="360" spans="1:12" x14ac:dyDescent="0.25">
      <c r="A360" s="81"/>
      <c r="B360" s="69"/>
      <c r="C360" s="11"/>
      <c r="D360" s="82"/>
      <c r="E360" s="82"/>
      <c r="F360" s="84"/>
      <c r="G360" s="82"/>
      <c r="H360" s="11"/>
      <c r="I360" s="69"/>
      <c r="J360" s="78"/>
      <c r="K360" s="78"/>
      <c r="L360" s="83"/>
    </row>
    <row r="361" spans="1:12" x14ac:dyDescent="0.25">
      <c r="A361" s="81"/>
      <c r="B361" s="69"/>
      <c r="C361" s="11"/>
      <c r="D361" s="82"/>
      <c r="E361" s="82"/>
      <c r="F361" s="84"/>
      <c r="G361" s="82"/>
      <c r="H361" s="11"/>
      <c r="I361" s="69"/>
      <c r="J361" s="78"/>
      <c r="K361" s="78"/>
      <c r="L361" s="83"/>
    </row>
    <row r="362" spans="1:12" x14ac:dyDescent="0.25">
      <c r="A362" s="81"/>
      <c r="B362" s="69"/>
      <c r="C362" s="11"/>
      <c r="D362" s="82"/>
      <c r="E362" s="82"/>
      <c r="F362" s="84"/>
      <c r="G362" s="82"/>
      <c r="H362" s="11"/>
      <c r="I362" s="69"/>
      <c r="J362" s="78"/>
      <c r="K362" s="78"/>
      <c r="L362" s="83"/>
    </row>
    <row r="363" spans="1:12" x14ac:dyDescent="0.25">
      <c r="A363" s="81"/>
      <c r="B363" s="69"/>
      <c r="C363" s="11"/>
      <c r="D363" s="82"/>
      <c r="E363" s="82"/>
      <c r="F363" s="84"/>
      <c r="G363" s="82"/>
      <c r="H363" s="11"/>
      <c r="I363" s="69"/>
      <c r="J363" s="78"/>
      <c r="K363" s="78"/>
      <c r="L363" s="83"/>
    </row>
    <row r="364" spans="1:12" x14ac:dyDescent="0.25">
      <c r="A364" s="81"/>
      <c r="B364" s="69"/>
      <c r="C364" s="11"/>
      <c r="D364" s="82"/>
      <c r="E364" s="82"/>
      <c r="F364" s="84"/>
      <c r="G364" s="82"/>
      <c r="H364" s="11"/>
      <c r="I364" s="69"/>
      <c r="J364" s="78"/>
      <c r="K364" s="78"/>
      <c r="L364" s="83"/>
    </row>
    <row r="365" spans="1:12" x14ac:dyDescent="0.25">
      <c r="A365" s="81"/>
      <c r="B365" s="69"/>
      <c r="C365" s="11"/>
      <c r="D365" s="82"/>
      <c r="E365" s="82"/>
      <c r="F365" s="84"/>
      <c r="G365" s="82"/>
      <c r="H365" s="11"/>
      <c r="I365" s="69"/>
      <c r="J365" s="78"/>
      <c r="K365" s="78"/>
      <c r="L365" s="83"/>
    </row>
    <row r="366" spans="1:12" x14ac:dyDescent="0.25">
      <c r="A366" s="81"/>
      <c r="B366" s="69"/>
      <c r="C366" s="11"/>
      <c r="D366" s="82"/>
      <c r="E366" s="82"/>
      <c r="F366" s="84"/>
      <c r="G366" s="82"/>
      <c r="H366" s="11"/>
      <c r="I366" s="69"/>
      <c r="J366" s="78"/>
      <c r="K366" s="78"/>
      <c r="L366" s="83"/>
    </row>
    <row r="367" spans="1:12" x14ac:dyDescent="0.25">
      <c r="A367" s="81"/>
      <c r="B367" s="69"/>
      <c r="C367" s="11"/>
      <c r="D367" s="82"/>
      <c r="E367" s="82"/>
      <c r="F367" s="84"/>
      <c r="G367" s="82"/>
      <c r="H367" s="11"/>
      <c r="I367" s="69"/>
      <c r="J367" s="78"/>
      <c r="K367" s="78"/>
      <c r="L367" s="83"/>
    </row>
    <row r="368" spans="1:12" x14ac:dyDescent="0.25">
      <c r="A368" s="81"/>
      <c r="B368" s="69"/>
      <c r="C368" s="11"/>
      <c r="D368" s="82"/>
      <c r="E368" s="82"/>
      <c r="F368" s="84"/>
      <c r="G368" s="82"/>
      <c r="H368" s="11"/>
      <c r="I368" s="69"/>
      <c r="J368" s="78"/>
      <c r="K368" s="78"/>
      <c r="L368" s="83"/>
    </row>
    <row r="369" spans="1:12" x14ac:dyDescent="0.25">
      <c r="A369" s="81"/>
      <c r="B369" s="69"/>
      <c r="C369" s="11"/>
      <c r="D369" s="82"/>
      <c r="E369" s="82"/>
      <c r="F369" s="84"/>
      <c r="G369" s="82"/>
      <c r="H369" s="11"/>
      <c r="I369" s="69"/>
      <c r="J369" s="78"/>
      <c r="K369" s="78"/>
      <c r="L369" s="83"/>
    </row>
    <row r="370" spans="1:12" x14ac:dyDescent="0.25">
      <c r="A370" s="81"/>
      <c r="B370" s="69"/>
      <c r="C370" s="11"/>
      <c r="D370" s="82"/>
      <c r="E370" s="82"/>
      <c r="F370" s="84"/>
      <c r="G370" s="82"/>
      <c r="H370" s="11"/>
      <c r="I370" s="69"/>
      <c r="J370" s="78"/>
      <c r="K370" s="78"/>
      <c r="L370" s="83"/>
    </row>
    <row r="371" spans="1:12" x14ac:dyDescent="0.25">
      <c r="A371" s="81"/>
      <c r="B371" s="69"/>
      <c r="C371" s="11"/>
      <c r="D371" s="82"/>
      <c r="E371" s="82"/>
      <c r="F371" s="84"/>
      <c r="G371" s="82"/>
      <c r="H371" s="11"/>
      <c r="I371" s="69"/>
      <c r="J371" s="78"/>
      <c r="K371" s="78"/>
      <c r="L371" s="83"/>
    </row>
    <row r="372" spans="1:12" x14ac:dyDescent="0.25">
      <c r="A372" s="81"/>
      <c r="B372" s="69"/>
      <c r="C372" s="11"/>
      <c r="D372" s="82"/>
      <c r="E372" s="82"/>
      <c r="F372" s="84"/>
      <c r="G372" s="82"/>
      <c r="H372" s="11"/>
      <c r="I372" s="69"/>
      <c r="J372" s="78"/>
      <c r="K372" s="78"/>
      <c r="L372" s="83"/>
    </row>
    <row r="373" spans="1:12" x14ac:dyDescent="0.25">
      <c r="A373" s="81"/>
      <c r="B373" s="69"/>
      <c r="C373" s="11"/>
      <c r="D373" s="82"/>
      <c r="E373" s="82"/>
      <c r="F373" s="84"/>
      <c r="G373" s="82"/>
      <c r="H373" s="11"/>
      <c r="I373" s="69"/>
      <c r="J373" s="78"/>
      <c r="K373" s="78"/>
      <c r="L373" s="83"/>
    </row>
    <row r="374" spans="1:12" x14ac:dyDescent="0.25">
      <c r="A374" s="81"/>
      <c r="B374" s="69"/>
      <c r="C374" s="11"/>
      <c r="D374" s="82"/>
      <c r="E374" s="82"/>
      <c r="F374" s="84"/>
      <c r="G374" s="82"/>
      <c r="H374" s="11"/>
      <c r="I374" s="69"/>
      <c r="J374" s="78"/>
      <c r="K374" s="78"/>
      <c r="L374" s="83"/>
    </row>
    <row r="375" spans="1:12" x14ac:dyDescent="0.25">
      <c r="A375" s="81"/>
      <c r="B375" s="69"/>
      <c r="C375" s="11"/>
      <c r="D375" s="82"/>
      <c r="E375" s="82"/>
      <c r="F375" s="84"/>
      <c r="G375" s="82"/>
      <c r="H375" s="11"/>
      <c r="I375" s="69"/>
      <c r="J375" s="78"/>
      <c r="K375" s="78"/>
      <c r="L375" s="83"/>
    </row>
    <row r="376" spans="1:12" x14ac:dyDescent="0.25">
      <c r="A376" s="81"/>
      <c r="B376" s="69"/>
      <c r="C376" s="11"/>
      <c r="D376" s="82"/>
      <c r="E376" s="82"/>
      <c r="F376" s="84"/>
      <c r="G376" s="82"/>
      <c r="H376" s="11"/>
      <c r="I376" s="69"/>
      <c r="J376" s="78"/>
      <c r="K376" s="78"/>
      <c r="L376" s="83"/>
    </row>
    <row r="377" spans="1:12" x14ac:dyDescent="0.25">
      <c r="A377" s="81"/>
      <c r="B377" s="69"/>
      <c r="C377" s="11"/>
      <c r="D377" s="82"/>
      <c r="E377" s="82"/>
      <c r="F377" s="84"/>
      <c r="G377" s="82"/>
      <c r="H377" s="11"/>
      <c r="I377" s="69"/>
      <c r="J377" s="78"/>
      <c r="K377" s="78"/>
      <c r="L377" s="83"/>
    </row>
    <row r="378" spans="1:12" x14ac:dyDescent="0.25">
      <c r="A378" s="81"/>
      <c r="B378" s="69"/>
      <c r="C378" s="11"/>
      <c r="D378" s="82"/>
      <c r="E378" s="82"/>
      <c r="F378" s="84"/>
      <c r="G378" s="82"/>
      <c r="H378" s="11"/>
      <c r="I378" s="69"/>
      <c r="J378" s="78"/>
      <c r="K378" s="78"/>
      <c r="L378" s="83"/>
    </row>
    <row r="379" spans="1:12" x14ac:dyDescent="0.25">
      <c r="A379" s="81"/>
      <c r="B379" s="69"/>
      <c r="C379" s="11"/>
      <c r="D379" s="82"/>
      <c r="E379" s="82"/>
      <c r="F379" s="84"/>
      <c r="G379" s="82"/>
      <c r="H379" s="11"/>
      <c r="I379" s="69"/>
      <c r="J379" s="78"/>
      <c r="K379" s="78"/>
      <c r="L379" s="83"/>
    </row>
    <row r="380" spans="1:12" x14ac:dyDescent="0.25">
      <c r="A380" s="81"/>
      <c r="B380" s="69"/>
      <c r="C380" s="11"/>
      <c r="D380" s="82"/>
      <c r="E380" s="82"/>
      <c r="F380" s="84"/>
      <c r="G380" s="82"/>
      <c r="H380" s="11"/>
      <c r="I380" s="69"/>
      <c r="J380" s="78"/>
      <c r="K380" s="78"/>
      <c r="L380" s="83"/>
    </row>
    <row r="381" spans="1:12" x14ac:dyDescent="0.25">
      <c r="A381" s="81"/>
      <c r="B381" s="69"/>
      <c r="C381" s="11"/>
      <c r="D381" s="82"/>
      <c r="E381" s="82"/>
      <c r="F381" s="84"/>
      <c r="G381" s="82"/>
      <c r="H381" s="11"/>
      <c r="I381" s="69"/>
      <c r="J381" s="78"/>
      <c r="K381" s="78"/>
      <c r="L381" s="83"/>
    </row>
    <row r="382" spans="1:12" x14ac:dyDescent="0.25">
      <c r="A382" s="81"/>
      <c r="B382" s="69"/>
      <c r="C382" s="11"/>
      <c r="D382" s="82"/>
      <c r="E382" s="82"/>
      <c r="F382" s="84"/>
      <c r="G382" s="82"/>
      <c r="H382" s="11"/>
      <c r="I382" s="69"/>
      <c r="J382" s="78"/>
      <c r="K382" s="78"/>
      <c r="L382" s="83"/>
    </row>
    <row r="383" spans="1:12" x14ac:dyDescent="0.25">
      <c r="A383" s="81"/>
      <c r="B383" s="69"/>
      <c r="C383" s="11"/>
      <c r="D383" s="82"/>
      <c r="E383" s="82"/>
      <c r="F383" s="84"/>
      <c r="G383" s="82"/>
      <c r="H383" s="11"/>
      <c r="I383" s="69"/>
      <c r="J383" s="78"/>
      <c r="K383" s="78"/>
      <c r="L383" s="83"/>
    </row>
    <row r="384" spans="1:12" x14ac:dyDescent="0.25">
      <c r="A384" s="81"/>
      <c r="B384" s="69"/>
      <c r="C384" s="11"/>
      <c r="D384" s="82"/>
      <c r="E384" s="82"/>
      <c r="F384" s="84"/>
      <c r="G384" s="82"/>
      <c r="H384" s="11"/>
      <c r="I384" s="69"/>
      <c r="J384" s="78"/>
      <c r="K384" s="78"/>
      <c r="L384" s="83"/>
    </row>
    <row r="385" spans="1:12" x14ac:dyDescent="0.25">
      <c r="A385" s="81"/>
      <c r="B385" s="69"/>
      <c r="C385" s="11"/>
      <c r="D385" s="82"/>
      <c r="E385" s="82"/>
      <c r="F385" s="84"/>
      <c r="G385" s="82"/>
      <c r="H385" s="11"/>
      <c r="I385" s="69"/>
      <c r="J385" s="78"/>
      <c r="K385" s="78"/>
      <c r="L385" s="83"/>
    </row>
    <row r="386" spans="1:12" x14ac:dyDescent="0.25">
      <c r="A386" s="81"/>
      <c r="B386" s="69"/>
      <c r="C386" s="11"/>
      <c r="D386" s="82"/>
      <c r="E386" s="82"/>
      <c r="F386" s="84"/>
      <c r="G386" s="82"/>
      <c r="H386" s="11"/>
      <c r="I386" s="69"/>
      <c r="J386" s="78"/>
      <c r="K386" s="78"/>
      <c r="L386" s="83"/>
    </row>
    <row r="387" spans="1:12" x14ac:dyDescent="0.25">
      <c r="A387" s="81"/>
      <c r="B387" s="69"/>
      <c r="C387" s="11"/>
      <c r="D387" s="82"/>
      <c r="E387" s="82"/>
      <c r="F387" s="84"/>
      <c r="G387" s="82"/>
      <c r="H387" s="11"/>
      <c r="I387" s="69"/>
      <c r="J387" s="78"/>
      <c r="K387" s="78"/>
      <c r="L387" s="83"/>
    </row>
    <row r="388" spans="1:12" x14ac:dyDescent="0.25">
      <c r="A388" s="81"/>
      <c r="B388" s="69"/>
      <c r="C388" s="11"/>
      <c r="D388" s="82"/>
      <c r="E388" s="82"/>
      <c r="F388" s="84"/>
      <c r="G388" s="82"/>
      <c r="H388" s="11"/>
      <c r="I388" s="69"/>
      <c r="J388" s="78"/>
      <c r="K388" s="78"/>
      <c r="L388" s="83"/>
    </row>
    <row r="389" spans="1:12" x14ac:dyDescent="0.25">
      <c r="A389" s="81"/>
      <c r="B389" s="69"/>
      <c r="C389" s="11"/>
      <c r="D389" s="82"/>
      <c r="E389" s="82"/>
      <c r="F389" s="84"/>
      <c r="G389" s="82"/>
      <c r="H389" s="11"/>
      <c r="I389" s="69"/>
      <c r="J389" s="78"/>
      <c r="K389" s="78"/>
      <c r="L389" s="83"/>
    </row>
    <row r="390" spans="1:12" x14ac:dyDescent="0.25">
      <c r="A390" s="81"/>
      <c r="B390" s="69"/>
      <c r="C390" s="11"/>
      <c r="D390" s="82"/>
      <c r="E390" s="82"/>
      <c r="F390" s="84"/>
      <c r="G390" s="82"/>
      <c r="H390" s="11"/>
      <c r="I390" s="69"/>
      <c r="J390" s="78"/>
      <c r="K390" s="78"/>
      <c r="L390" s="83"/>
    </row>
    <row r="391" spans="1:12" x14ac:dyDescent="0.25">
      <c r="A391" s="81"/>
      <c r="B391" s="69"/>
      <c r="C391" s="11"/>
      <c r="D391" s="82"/>
      <c r="E391" s="82"/>
      <c r="F391" s="84"/>
      <c r="G391" s="82"/>
      <c r="H391" s="11"/>
      <c r="I391" s="69"/>
      <c r="J391" s="78"/>
      <c r="K391" s="78"/>
      <c r="L391" s="83"/>
    </row>
    <row r="392" spans="1:12" x14ac:dyDescent="0.25">
      <c r="A392" s="81"/>
      <c r="B392" s="69"/>
      <c r="C392" s="11"/>
      <c r="D392" s="82"/>
      <c r="E392" s="82"/>
      <c r="F392" s="84"/>
      <c r="G392" s="82"/>
      <c r="H392" s="11"/>
      <c r="I392" s="69"/>
      <c r="J392" s="78"/>
      <c r="K392" s="78"/>
      <c r="L392" s="83"/>
    </row>
    <row r="393" spans="1:12" x14ac:dyDescent="0.25">
      <c r="A393" s="81"/>
      <c r="B393" s="69"/>
      <c r="C393" s="11"/>
      <c r="D393" s="82"/>
      <c r="E393" s="82"/>
      <c r="F393" s="84"/>
      <c r="G393" s="82"/>
      <c r="H393" s="11"/>
      <c r="I393" s="69"/>
      <c r="J393" s="78"/>
      <c r="K393" s="78"/>
      <c r="L393" s="83"/>
    </row>
    <row r="394" spans="1:12" x14ac:dyDescent="0.25">
      <c r="A394" s="81"/>
      <c r="B394" s="69"/>
      <c r="C394" s="11"/>
      <c r="D394" s="82"/>
      <c r="E394" s="82"/>
      <c r="F394" s="84"/>
      <c r="G394" s="82"/>
      <c r="H394" s="11"/>
      <c r="I394" s="69"/>
      <c r="J394" s="78"/>
      <c r="K394" s="78"/>
      <c r="L394" s="83"/>
    </row>
    <row r="395" spans="1:12" x14ac:dyDescent="0.25">
      <c r="A395" s="81"/>
      <c r="B395" s="69"/>
      <c r="C395" s="11"/>
      <c r="D395" s="82"/>
      <c r="E395" s="82"/>
      <c r="F395" s="84"/>
      <c r="G395" s="82"/>
      <c r="H395" s="11"/>
      <c r="I395" s="69"/>
      <c r="J395" s="78"/>
      <c r="K395" s="78"/>
      <c r="L395" s="83"/>
    </row>
    <row r="396" spans="1:12" x14ac:dyDescent="0.25">
      <c r="A396" s="81"/>
      <c r="B396" s="69"/>
      <c r="C396" s="11"/>
      <c r="D396" s="82"/>
      <c r="E396" s="82"/>
      <c r="F396" s="84"/>
      <c r="G396" s="82"/>
      <c r="H396" s="11"/>
      <c r="I396" s="69"/>
      <c r="J396" s="78"/>
      <c r="K396" s="78"/>
      <c r="L396" s="83"/>
    </row>
    <row r="397" spans="1:12" x14ac:dyDescent="0.25">
      <c r="A397" s="81"/>
      <c r="B397" s="69"/>
      <c r="C397" s="11"/>
      <c r="D397" s="82"/>
      <c r="E397" s="82"/>
      <c r="F397" s="84"/>
      <c r="G397" s="82"/>
      <c r="H397" s="11"/>
      <c r="I397" s="69"/>
      <c r="J397" s="78"/>
      <c r="K397" s="78"/>
      <c r="L397" s="83"/>
    </row>
    <row r="398" spans="1:12" x14ac:dyDescent="0.25">
      <c r="A398" s="81"/>
      <c r="B398" s="69"/>
      <c r="C398" s="11"/>
      <c r="D398" s="82"/>
      <c r="E398" s="82"/>
      <c r="F398" s="84"/>
      <c r="G398" s="82"/>
      <c r="H398" s="11"/>
      <c r="I398" s="69"/>
      <c r="J398" s="78"/>
      <c r="K398" s="78"/>
      <c r="L398" s="83"/>
    </row>
    <row r="399" spans="1:12" x14ac:dyDescent="0.25">
      <c r="A399" s="81"/>
      <c r="B399" s="69"/>
      <c r="C399" s="11"/>
      <c r="D399" s="82"/>
      <c r="E399" s="82"/>
      <c r="F399" s="84"/>
      <c r="G399" s="82"/>
      <c r="H399" s="11"/>
      <c r="I399" s="69"/>
      <c r="J399" s="78"/>
      <c r="K399" s="78"/>
      <c r="L399" s="83"/>
    </row>
    <row r="400" spans="1:12" x14ac:dyDescent="0.25">
      <c r="A400" s="81"/>
      <c r="B400" s="69"/>
      <c r="C400" s="11"/>
      <c r="D400" s="82"/>
      <c r="E400" s="82"/>
      <c r="F400" s="84"/>
      <c r="G400" s="82"/>
      <c r="H400" s="11"/>
      <c r="I400" s="69"/>
      <c r="J400" s="78"/>
      <c r="K400" s="78"/>
      <c r="L400" s="83"/>
    </row>
    <row r="401" spans="1:12" x14ac:dyDescent="0.25">
      <c r="A401" s="81"/>
      <c r="B401" s="69"/>
      <c r="C401" s="11"/>
      <c r="D401" s="82"/>
      <c r="E401" s="82"/>
      <c r="F401" s="84"/>
      <c r="G401" s="82"/>
      <c r="H401" s="11"/>
      <c r="I401" s="69"/>
      <c r="J401" s="78"/>
      <c r="K401" s="78"/>
      <c r="L401" s="83"/>
    </row>
    <row r="402" spans="1:12" x14ac:dyDescent="0.25">
      <c r="A402" s="81"/>
      <c r="B402" s="69"/>
      <c r="C402" s="11"/>
      <c r="D402" s="82"/>
      <c r="E402" s="82"/>
      <c r="F402" s="84"/>
      <c r="G402" s="82"/>
      <c r="H402" s="11"/>
      <c r="I402" s="69"/>
      <c r="J402" s="78"/>
      <c r="K402" s="78"/>
      <c r="L402" s="83"/>
    </row>
    <row r="403" spans="1:12" x14ac:dyDescent="0.25">
      <c r="A403" s="81"/>
      <c r="B403" s="69"/>
      <c r="C403" s="11"/>
      <c r="D403" s="82"/>
      <c r="E403" s="82"/>
      <c r="F403" s="84"/>
      <c r="G403" s="82"/>
      <c r="H403" s="11"/>
      <c r="I403" s="69"/>
      <c r="J403" s="78"/>
      <c r="K403" s="78"/>
      <c r="L403" s="83"/>
    </row>
    <row r="404" spans="1:12" x14ac:dyDescent="0.25">
      <c r="A404" s="81"/>
      <c r="B404" s="69"/>
      <c r="C404" s="11"/>
      <c r="D404" s="82"/>
      <c r="E404" s="82"/>
      <c r="F404" s="84"/>
      <c r="G404" s="82"/>
      <c r="H404" s="11"/>
      <c r="I404" s="69"/>
      <c r="J404" s="78"/>
      <c r="K404" s="78"/>
      <c r="L404" s="83"/>
    </row>
    <row r="405" spans="1:12" x14ac:dyDescent="0.25">
      <c r="A405" s="81"/>
      <c r="B405" s="69"/>
      <c r="C405" s="11"/>
      <c r="D405" s="82"/>
      <c r="E405" s="82"/>
      <c r="F405" s="84"/>
      <c r="G405" s="82"/>
      <c r="H405" s="11"/>
      <c r="I405" s="69"/>
      <c r="J405" s="78"/>
      <c r="K405" s="78"/>
      <c r="L405" s="83"/>
    </row>
    <row r="406" spans="1:12" x14ac:dyDescent="0.25">
      <c r="A406" s="81"/>
      <c r="B406" s="69"/>
      <c r="C406" s="11"/>
      <c r="D406" s="82"/>
      <c r="E406" s="82"/>
      <c r="F406" s="84"/>
      <c r="G406" s="82"/>
      <c r="H406" s="11"/>
      <c r="I406" s="69"/>
      <c r="J406" s="78"/>
      <c r="K406" s="78"/>
      <c r="L406" s="83"/>
    </row>
    <row r="407" spans="1:12" x14ac:dyDescent="0.25">
      <c r="A407" s="81"/>
      <c r="B407" s="69"/>
      <c r="C407" s="11"/>
      <c r="D407" s="82"/>
      <c r="E407" s="82"/>
      <c r="F407" s="84"/>
      <c r="G407" s="82"/>
      <c r="H407" s="11"/>
      <c r="I407" s="69"/>
      <c r="J407" s="78"/>
      <c r="K407" s="78"/>
      <c r="L407" s="83"/>
    </row>
    <row r="408" spans="1:12" x14ac:dyDescent="0.25">
      <c r="A408" s="81"/>
      <c r="B408" s="69"/>
      <c r="C408" s="11"/>
      <c r="D408" s="82"/>
      <c r="E408" s="82"/>
      <c r="F408" s="84"/>
      <c r="G408" s="82"/>
      <c r="H408" s="11"/>
      <c r="I408" s="69"/>
      <c r="J408" s="78"/>
      <c r="K408" s="78"/>
      <c r="L408" s="83"/>
    </row>
    <row r="409" spans="1:12" x14ac:dyDescent="0.25">
      <c r="A409" s="81"/>
      <c r="B409" s="69"/>
      <c r="C409" s="11"/>
      <c r="D409" s="82"/>
      <c r="E409" s="82"/>
      <c r="F409" s="84"/>
      <c r="G409" s="82"/>
      <c r="H409" s="11"/>
      <c r="I409" s="69"/>
      <c r="J409" s="78"/>
      <c r="K409" s="78"/>
      <c r="L409" s="83"/>
    </row>
    <row r="410" spans="1:12" x14ac:dyDescent="0.25">
      <c r="A410" s="81"/>
      <c r="B410" s="69"/>
      <c r="C410" s="11"/>
      <c r="D410" s="82"/>
      <c r="E410" s="82"/>
      <c r="F410" s="84"/>
      <c r="G410" s="82"/>
      <c r="H410" s="11"/>
      <c r="I410" s="69"/>
      <c r="J410" s="78"/>
      <c r="K410" s="78"/>
      <c r="L410" s="83"/>
    </row>
    <row r="411" spans="1:12" x14ac:dyDescent="0.25">
      <c r="A411" s="81"/>
      <c r="B411" s="69"/>
      <c r="C411" s="11"/>
      <c r="D411" s="82"/>
      <c r="E411" s="82"/>
      <c r="F411" s="84"/>
      <c r="G411" s="82"/>
      <c r="H411" s="11"/>
      <c r="I411" s="69"/>
      <c r="J411" s="78"/>
      <c r="K411" s="78"/>
      <c r="L411" s="83"/>
    </row>
    <row r="412" spans="1:12" x14ac:dyDescent="0.25">
      <c r="A412" s="81"/>
      <c r="B412" s="69"/>
      <c r="C412" s="11"/>
      <c r="D412" s="82"/>
      <c r="E412" s="82"/>
      <c r="F412" s="84"/>
      <c r="G412" s="82"/>
      <c r="H412" s="11"/>
      <c r="I412" s="69"/>
      <c r="J412" s="78"/>
      <c r="K412" s="78"/>
      <c r="L412" s="83"/>
    </row>
    <row r="413" spans="1:12" x14ac:dyDescent="0.25">
      <c r="A413" s="81"/>
      <c r="B413" s="69"/>
      <c r="C413" s="11"/>
      <c r="D413" s="82"/>
      <c r="E413" s="82"/>
      <c r="F413" s="84"/>
      <c r="G413" s="82"/>
      <c r="H413" s="11"/>
      <c r="I413" s="69"/>
      <c r="J413" s="78"/>
      <c r="K413" s="78"/>
      <c r="L413" s="83"/>
    </row>
    <row r="414" spans="1:12" x14ac:dyDescent="0.25">
      <c r="A414" s="81"/>
      <c r="B414" s="69"/>
      <c r="C414" s="11"/>
      <c r="D414" s="82"/>
      <c r="E414" s="82"/>
      <c r="F414" s="84"/>
      <c r="G414" s="82"/>
      <c r="H414" s="11"/>
      <c r="I414" s="69"/>
      <c r="J414" s="78"/>
      <c r="K414" s="78"/>
      <c r="L414" s="83"/>
    </row>
    <row r="415" spans="1:12" x14ac:dyDescent="0.25">
      <c r="A415" s="81"/>
      <c r="B415" s="69"/>
      <c r="C415" s="11"/>
      <c r="D415" s="82"/>
      <c r="E415" s="82"/>
      <c r="F415" s="84"/>
      <c r="G415" s="82"/>
      <c r="H415" s="11"/>
      <c r="I415" s="69"/>
      <c r="J415" s="78"/>
      <c r="K415" s="78"/>
      <c r="L415" s="83"/>
    </row>
    <row r="416" spans="1:12" x14ac:dyDescent="0.25">
      <c r="A416" s="81"/>
      <c r="B416" s="69"/>
      <c r="C416" s="11"/>
      <c r="D416" s="82"/>
      <c r="E416" s="82"/>
      <c r="F416" s="84"/>
      <c r="G416" s="82"/>
      <c r="H416" s="11"/>
      <c r="I416" s="69"/>
      <c r="J416" s="78"/>
      <c r="K416" s="78"/>
      <c r="L416" s="83"/>
    </row>
    <row r="417" spans="1:12" x14ac:dyDescent="0.25">
      <c r="A417" s="81"/>
      <c r="B417" s="69"/>
      <c r="C417" s="11"/>
      <c r="D417" s="82"/>
      <c r="E417" s="82"/>
      <c r="F417" s="84"/>
      <c r="G417" s="82"/>
      <c r="H417" s="11"/>
      <c r="I417" s="69"/>
      <c r="J417" s="78"/>
      <c r="K417" s="78"/>
      <c r="L417" s="83"/>
    </row>
    <row r="418" spans="1:12" x14ac:dyDescent="0.25">
      <c r="A418" s="81"/>
      <c r="B418" s="69"/>
      <c r="C418" s="11"/>
      <c r="D418" s="82"/>
      <c r="E418" s="82"/>
      <c r="F418" s="84"/>
      <c r="G418" s="82"/>
      <c r="H418" s="11"/>
      <c r="I418" s="69"/>
      <c r="J418" s="78"/>
      <c r="K418" s="78"/>
      <c r="L418" s="83"/>
    </row>
    <row r="419" spans="1:12" x14ac:dyDescent="0.25">
      <c r="A419" s="81"/>
      <c r="B419" s="69"/>
      <c r="C419" s="11"/>
      <c r="D419" s="82"/>
      <c r="E419" s="82"/>
      <c r="F419" s="84"/>
      <c r="G419" s="82"/>
      <c r="H419" s="11"/>
      <c r="I419" s="69"/>
      <c r="J419" s="78"/>
      <c r="K419" s="78"/>
      <c r="L419" s="83"/>
    </row>
    <row r="420" spans="1:12" x14ac:dyDescent="0.25">
      <c r="A420" s="81"/>
      <c r="B420" s="69"/>
      <c r="C420" s="11"/>
      <c r="D420" s="82"/>
      <c r="E420" s="82"/>
      <c r="F420" s="84"/>
      <c r="G420" s="82"/>
      <c r="H420" s="11"/>
      <c r="I420" s="69"/>
      <c r="J420" s="78"/>
      <c r="K420" s="78"/>
      <c r="L420" s="83"/>
    </row>
    <row r="421" spans="1:12" x14ac:dyDescent="0.25">
      <c r="A421" s="81"/>
      <c r="B421" s="69"/>
      <c r="C421" s="11"/>
      <c r="D421" s="82"/>
      <c r="E421" s="82"/>
      <c r="F421" s="84"/>
      <c r="G421" s="82"/>
      <c r="H421" s="11"/>
      <c r="I421" s="69"/>
      <c r="J421" s="78"/>
      <c r="K421" s="78"/>
      <c r="L421" s="83"/>
    </row>
    <row r="422" spans="1:12" x14ac:dyDescent="0.25">
      <c r="A422" s="81"/>
      <c r="B422" s="69"/>
      <c r="C422" s="11"/>
      <c r="D422" s="82"/>
      <c r="E422" s="82"/>
      <c r="F422" s="84"/>
      <c r="G422" s="82"/>
      <c r="H422" s="11"/>
      <c r="I422" s="69"/>
      <c r="J422" s="78"/>
      <c r="K422" s="78"/>
      <c r="L422" s="83"/>
    </row>
    <row r="423" spans="1:12" x14ac:dyDescent="0.25">
      <c r="A423" s="81"/>
      <c r="B423" s="69"/>
      <c r="C423" s="11"/>
      <c r="D423" s="82"/>
      <c r="E423" s="82"/>
      <c r="F423" s="84"/>
      <c r="G423" s="82"/>
      <c r="H423" s="11"/>
      <c r="I423" s="69"/>
      <c r="J423" s="78"/>
      <c r="K423" s="78"/>
      <c r="L423" s="83"/>
    </row>
    <row r="424" spans="1:12" x14ac:dyDescent="0.25">
      <c r="A424" s="81"/>
      <c r="B424" s="69"/>
      <c r="C424" s="11"/>
      <c r="D424" s="82"/>
      <c r="E424" s="82"/>
      <c r="F424" s="84"/>
      <c r="G424" s="82"/>
      <c r="H424" s="11"/>
      <c r="I424" s="69"/>
      <c r="J424" s="78"/>
      <c r="K424" s="78"/>
      <c r="L424" s="83"/>
    </row>
    <row r="425" spans="1:12" x14ac:dyDescent="0.25">
      <c r="A425" s="81"/>
      <c r="B425" s="69"/>
      <c r="C425" s="11"/>
      <c r="D425" s="82"/>
      <c r="E425" s="82"/>
      <c r="F425" s="84"/>
      <c r="G425" s="82"/>
      <c r="H425" s="11"/>
      <c r="I425" s="69"/>
      <c r="J425" s="78"/>
      <c r="K425" s="78"/>
      <c r="L425" s="83"/>
    </row>
    <row r="426" spans="1:12" x14ac:dyDescent="0.25">
      <c r="A426" s="81"/>
      <c r="B426" s="69"/>
      <c r="C426" s="11"/>
      <c r="D426" s="82"/>
      <c r="E426" s="82"/>
      <c r="F426" s="84"/>
      <c r="G426" s="82"/>
      <c r="H426" s="11"/>
      <c r="I426" s="69"/>
      <c r="J426" s="78"/>
      <c r="K426" s="78"/>
      <c r="L426" s="83"/>
    </row>
    <row r="427" spans="1:12" x14ac:dyDescent="0.25">
      <c r="A427" s="81"/>
      <c r="B427" s="69"/>
      <c r="C427" s="11"/>
      <c r="D427" s="82"/>
      <c r="E427" s="82"/>
      <c r="F427" s="84"/>
      <c r="G427" s="82"/>
      <c r="H427" s="11"/>
      <c r="I427" s="69"/>
      <c r="J427" s="78"/>
      <c r="K427" s="78"/>
      <c r="L427" s="83"/>
    </row>
    <row r="428" spans="1:12" x14ac:dyDescent="0.25">
      <c r="A428" s="81"/>
      <c r="B428" s="69"/>
      <c r="C428" s="11"/>
      <c r="D428" s="82"/>
      <c r="E428" s="82"/>
      <c r="F428" s="84"/>
      <c r="G428" s="82"/>
      <c r="H428" s="11"/>
      <c r="I428" s="69"/>
      <c r="J428" s="78"/>
      <c r="K428" s="78"/>
      <c r="L428" s="83"/>
    </row>
    <row r="429" spans="1:12" x14ac:dyDescent="0.25">
      <c r="A429" s="81"/>
      <c r="B429" s="69"/>
      <c r="C429" s="11"/>
      <c r="D429" s="82"/>
      <c r="E429" s="82"/>
      <c r="F429" s="84"/>
      <c r="G429" s="82"/>
      <c r="H429" s="11"/>
      <c r="I429" s="69"/>
      <c r="J429" s="78"/>
      <c r="K429" s="78"/>
      <c r="L429" s="83"/>
    </row>
    <row r="430" spans="1:12" x14ac:dyDescent="0.25">
      <c r="A430" s="81"/>
      <c r="B430" s="69"/>
      <c r="C430" s="11"/>
      <c r="D430" s="82"/>
      <c r="E430" s="82"/>
      <c r="F430" s="84"/>
      <c r="G430" s="82"/>
      <c r="H430" s="11"/>
      <c r="I430" s="69"/>
      <c r="J430" s="78"/>
      <c r="K430" s="78"/>
      <c r="L430" s="83"/>
    </row>
    <row r="431" spans="1:12" x14ac:dyDescent="0.25">
      <c r="A431" s="81"/>
      <c r="B431" s="69"/>
      <c r="C431" s="11"/>
      <c r="D431" s="82"/>
      <c r="E431" s="82"/>
      <c r="F431" s="84"/>
      <c r="G431" s="82"/>
      <c r="H431" s="11"/>
      <c r="I431" s="69"/>
      <c r="J431" s="78"/>
      <c r="K431" s="78"/>
      <c r="L431" s="83"/>
    </row>
    <row r="432" spans="1:12" x14ac:dyDescent="0.25">
      <c r="A432" s="81"/>
      <c r="B432" s="69"/>
      <c r="C432" s="11"/>
      <c r="D432" s="82"/>
      <c r="E432" s="82"/>
      <c r="F432" s="84"/>
      <c r="G432" s="82"/>
      <c r="H432" s="11"/>
      <c r="I432" s="69"/>
      <c r="J432" s="78"/>
      <c r="K432" s="78"/>
      <c r="L432" s="83"/>
    </row>
    <row r="433" spans="1:12" x14ac:dyDescent="0.25">
      <c r="A433" s="81"/>
      <c r="B433" s="69"/>
      <c r="C433" s="11"/>
      <c r="D433" s="82"/>
      <c r="E433" s="82"/>
      <c r="F433" s="84"/>
      <c r="G433" s="82"/>
      <c r="H433" s="11"/>
      <c r="I433" s="69"/>
      <c r="J433" s="78"/>
      <c r="K433" s="78"/>
      <c r="L433" s="83"/>
    </row>
    <row r="434" spans="1:12" x14ac:dyDescent="0.25">
      <c r="A434" s="81"/>
      <c r="B434" s="69"/>
      <c r="C434" s="11"/>
      <c r="D434" s="82"/>
      <c r="E434" s="82"/>
      <c r="F434" s="84"/>
      <c r="G434" s="82"/>
      <c r="H434" s="11"/>
      <c r="I434" s="69"/>
      <c r="J434" s="78"/>
      <c r="K434" s="78"/>
      <c r="L434" s="83"/>
    </row>
    <row r="435" spans="1:12" x14ac:dyDescent="0.25">
      <c r="A435" s="81"/>
      <c r="B435" s="69"/>
      <c r="C435" s="11"/>
      <c r="D435" s="82"/>
      <c r="E435" s="82"/>
      <c r="F435" s="84"/>
      <c r="G435" s="82"/>
      <c r="H435" s="11"/>
      <c r="I435" s="69"/>
      <c r="J435" s="78"/>
      <c r="K435" s="78"/>
      <c r="L435" s="83"/>
    </row>
    <row r="436" spans="1:12" x14ac:dyDescent="0.25">
      <c r="A436" s="81"/>
      <c r="B436" s="69"/>
      <c r="C436" s="11"/>
      <c r="D436" s="82"/>
      <c r="E436" s="82"/>
      <c r="F436" s="84"/>
      <c r="G436" s="82"/>
      <c r="H436" s="11"/>
      <c r="I436" s="69"/>
      <c r="J436" s="78"/>
      <c r="K436" s="78"/>
      <c r="L436" s="83"/>
    </row>
    <row r="437" spans="1:12" x14ac:dyDescent="0.25">
      <c r="A437" s="81"/>
      <c r="B437" s="69"/>
      <c r="C437" s="11"/>
      <c r="D437" s="82"/>
      <c r="E437" s="82"/>
      <c r="F437" s="84"/>
      <c r="G437" s="82"/>
      <c r="H437" s="11"/>
      <c r="I437" s="69"/>
      <c r="J437" s="78"/>
      <c r="K437" s="78"/>
      <c r="L437" s="83"/>
    </row>
    <row r="438" spans="1:12" x14ac:dyDescent="0.25">
      <c r="A438" s="81"/>
      <c r="B438" s="69"/>
      <c r="C438" s="11"/>
      <c r="D438" s="82"/>
      <c r="E438" s="82"/>
      <c r="F438" s="84"/>
      <c r="G438" s="82"/>
      <c r="H438" s="11"/>
      <c r="I438" s="69"/>
      <c r="J438" s="78"/>
      <c r="K438" s="78"/>
      <c r="L438" s="83"/>
    </row>
    <row r="439" spans="1:12" x14ac:dyDescent="0.25">
      <c r="A439" s="81"/>
      <c r="B439" s="69"/>
      <c r="C439" s="11"/>
      <c r="D439" s="82"/>
      <c r="E439" s="82"/>
      <c r="F439" s="84"/>
      <c r="G439" s="82"/>
      <c r="H439" s="11"/>
      <c r="I439" s="69"/>
      <c r="J439" s="78"/>
      <c r="K439" s="78"/>
      <c r="L439" s="83"/>
    </row>
    <row r="440" spans="1:12" x14ac:dyDescent="0.25">
      <c r="A440" s="81"/>
      <c r="B440" s="69"/>
      <c r="C440" s="11"/>
      <c r="D440" s="82"/>
      <c r="E440" s="82"/>
      <c r="F440" s="84"/>
      <c r="G440" s="82"/>
      <c r="H440" s="11"/>
      <c r="I440" s="69"/>
      <c r="J440" s="78"/>
      <c r="K440" s="78"/>
      <c r="L440" s="83"/>
    </row>
    <row r="441" spans="1:12" x14ac:dyDescent="0.25">
      <c r="A441" s="81"/>
      <c r="B441" s="69"/>
      <c r="C441" s="11"/>
      <c r="D441" s="82"/>
      <c r="E441" s="82"/>
      <c r="F441" s="84"/>
      <c r="G441" s="82"/>
      <c r="H441" s="11"/>
      <c r="I441" s="69"/>
      <c r="J441" s="78"/>
      <c r="K441" s="78"/>
      <c r="L441" s="83"/>
    </row>
    <row r="442" spans="1:12" x14ac:dyDescent="0.25">
      <c r="A442" s="81"/>
      <c r="B442" s="69"/>
      <c r="C442" s="11"/>
      <c r="D442" s="82"/>
      <c r="E442" s="82"/>
      <c r="F442" s="84"/>
      <c r="G442" s="82"/>
      <c r="H442" s="11"/>
      <c r="I442" s="69"/>
      <c r="J442" s="78"/>
      <c r="K442" s="78"/>
      <c r="L442" s="83"/>
    </row>
    <row r="443" spans="1:12" x14ac:dyDescent="0.25">
      <c r="A443" s="81"/>
      <c r="B443" s="69"/>
      <c r="C443" s="11"/>
      <c r="D443" s="82"/>
      <c r="E443" s="82"/>
      <c r="F443" s="84"/>
      <c r="G443" s="82"/>
      <c r="H443" s="11"/>
      <c r="I443" s="69"/>
      <c r="J443" s="78"/>
      <c r="K443" s="78"/>
      <c r="L443" s="83"/>
    </row>
    <row r="444" spans="1:12" x14ac:dyDescent="0.25">
      <c r="A444" s="81"/>
      <c r="B444" s="69"/>
      <c r="C444" s="11"/>
      <c r="D444" s="82"/>
      <c r="E444" s="82"/>
      <c r="F444" s="84"/>
      <c r="G444" s="82"/>
      <c r="H444" s="11"/>
      <c r="I444" s="69"/>
      <c r="J444" s="78"/>
      <c r="K444" s="78"/>
      <c r="L444" s="83"/>
    </row>
    <row r="445" spans="1:12" x14ac:dyDescent="0.25">
      <c r="A445" s="81"/>
      <c r="B445" s="69"/>
      <c r="C445" s="11"/>
      <c r="D445" s="82"/>
      <c r="E445" s="82"/>
      <c r="F445" s="84"/>
      <c r="G445" s="82"/>
      <c r="H445" s="11"/>
      <c r="I445" s="69"/>
      <c r="J445" s="78"/>
      <c r="K445" s="78"/>
      <c r="L445" s="83"/>
    </row>
    <row r="446" spans="1:12" x14ac:dyDescent="0.25">
      <c r="A446" s="81"/>
      <c r="B446" s="69"/>
      <c r="C446" s="11"/>
      <c r="D446" s="82"/>
      <c r="E446" s="82"/>
      <c r="F446" s="84"/>
      <c r="G446" s="82"/>
      <c r="H446" s="11"/>
      <c r="I446" s="69"/>
      <c r="J446" s="78"/>
      <c r="K446" s="78"/>
      <c r="L446" s="83"/>
    </row>
    <row r="447" spans="1:12" x14ac:dyDescent="0.25">
      <c r="A447" s="81"/>
      <c r="B447" s="69"/>
      <c r="C447" s="11"/>
      <c r="D447" s="82"/>
      <c r="E447" s="82"/>
      <c r="F447" s="84"/>
      <c r="G447" s="82"/>
      <c r="H447" s="11"/>
      <c r="I447" s="69"/>
      <c r="J447" s="78"/>
      <c r="K447" s="78"/>
      <c r="L447" s="83"/>
    </row>
    <row r="448" spans="1:12" x14ac:dyDescent="0.25">
      <c r="A448" s="81"/>
      <c r="B448" s="69"/>
      <c r="C448" s="11"/>
      <c r="D448" s="82"/>
      <c r="E448" s="82"/>
      <c r="F448" s="84"/>
      <c r="G448" s="82"/>
      <c r="H448" s="11"/>
      <c r="I448" s="69"/>
      <c r="J448" s="78"/>
      <c r="K448" s="78"/>
      <c r="L448" s="83"/>
    </row>
    <row r="449" spans="1:12" x14ac:dyDescent="0.25">
      <c r="A449" s="81"/>
      <c r="B449" s="69"/>
      <c r="C449" s="11"/>
      <c r="D449" s="82"/>
      <c r="E449" s="82"/>
      <c r="F449" s="84"/>
      <c r="G449" s="82"/>
      <c r="H449" s="11"/>
      <c r="I449" s="69"/>
      <c r="J449" s="78"/>
      <c r="K449" s="78"/>
      <c r="L449" s="83"/>
    </row>
    <row r="450" spans="1:12" x14ac:dyDescent="0.25">
      <c r="A450" s="81"/>
      <c r="B450" s="69"/>
      <c r="C450" s="11"/>
      <c r="D450" s="82"/>
      <c r="E450" s="82"/>
      <c r="F450" s="84"/>
      <c r="G450" s="82"/>
      <c r="H450" s="11"/>
      <c r="I450" s="69"/>
      <c r="J450" s="78"/>
      <c r="K450" s="78"/>
      <c r="L450" s="83"/>
    </row>
    <row r="451" spans="1:12" x14ac:dyDescent="0.25">
      <c r="A451" s="81"/>
      <c r="B451" s="69"/>
      <c r="C451" s="11"/>
      <c r="D451" s="82"/>
      <c r="E451" s="82"/>
      <c r="F451" s="84"/>
      <c r="G451" s="82"/>
      <c r="H451" s="11"/>
      <c r="I451" s="69"/>
      <c r="J451" s="78"/>
      <c r="K451" s="78"/>
      <c r="L451" s="83"/>
    </row>
    <row r="452" spans="1:12" x14ac:dyDescent="0.25">
      <c r="A452" s="81"/>
      <c r="B452" s="69"/>
      <c r="C452" s="11"/>
      <c r="D452" s="82"/>
      <c r="E452" s="82"/>
      <c r="F452" s="84"/>
      <c r="G452" s="82"/>
      <c r="H452" s="11"/>
      <c r="I452" s="69"/>
      <c r="J452" s="78"/>
      <c r="K452" s="78"/>
      <c r="L452" s="83"/>
    </row>
    <row r="453" spans="1:12" x14ac:dyDescent="0.25">
      <c r="A453" s="81"/>
      <c r="B453" s="69"/>
      <c r="C453" s="11"/>
      <c r="D453" s="82"/>
      <c r="E453" s="82"/>
      <c r="F453" s="84"/>
      <c r="G453" s="82"/>
      <c r="H453" s="11"/>
      <c r="I453" s="69"/>
      <c r="J453" s="78"/>
      <c r="K453" s="78"/>
      <c r="L453" s="83"/>
    </row>
    <row r="454" spans="1:12" x14ac:dyDescent="0.25">
      <c r="A454" s="81"/>
      <c r="B454" s="69"/>
      <c r="C454" s="11"/>
      <c r="D454" s="82"/>
      <c r="E454" s="82"/>
      <c r="F454" s="84"/>
      <c r="G454" s="82"/>
      <c r="H454" s="11"/>
      <c r="I454" s="69"/>
      <c r="J454" s="78"/>
      <c r="K454" s="78"/>
      <c r="L454" s="83"/>
    </row>
    <row r="455" spans="1:12" x14ac:dyDescent="0.25">
      <c r="A455" s="81"/>
      <c r="B455" s="69"/>
      <c r="C455" s="11"/>
      <c r="D455" s="82"/>
      <c r="E455" s="82"/>
      <c r="F455" s="84"/>
      <c r="G455" s="82"/>
      <c r="H455" s="11"/>
      <c r="I455" s="69"/>
      <c r="J455" s="78"/>
      <c r="K455" s="78"/>
      <c r="L455" s="83"/>
    </row>
    <row r="456" spans="1:12" x14ac:dyDescent="0.25">
      <c r="A456" s="81"/>
      <c r="B456" s="69"/>
      <c r="C456" s="11"/>
      <c r="D456" s="82"/>
      <c r="E456" s="82"/>
      <c r="F456" s="84"/>
      <c r="G456" s="82"/>
      <c r="H456" s="11"/>
      <c r="I456" s="69"/>
      <c r="J456" s="78"/>
      <c r="K456" s="78"/>
      <c r="L456" s="83"/>
    </row>
    <row r="457" spans="1:12" x14ac:dyDescent="0.25">
      <c r="A457" s="81"/>
      <c r="B457" s="69"/>
      <c r="C457" s="11"/>
      <c r="D457" s="82"/>
      <c r="E457" s="82"/>
      <c r="F457" s="84"/>
      <c r="G457" s="82"/>
      <c r="H457" s="11"/>
      <c r="I457" s="69"/>
      <c r="J457" s="78"/>
      <c r="K457" s="78"/>
      <c r="L457" s="83"/>
    </row>
    <row r="458" spans="1:12" x14ac:dyDescent="0.25">
      <c r="A458" s="81"/>
      <c r="B458" s="69"/>
      <c r="C458" s="11"/>
      <c r="D458" s="82"/>
      <c r="E458" s="82"/>
      <c r="F458" s="84"/>
      <c r="G458" s="82"/>
      <c r="H458" s="11"/>
      <c r="I458" s="69"/>
      <c r="J458" s="78"/>
      <c r="K458" s="78"/>
      <c r="L458" s="83"/>
    </row>
    <row r="459" spans="1:12" x14ac:dyDescent="0.25">
      <c r="A459" s="81"/>
      <c r="B459" s="69"/>
      <c r="C459" s="11"/>
      <c r="D459" s="82"/>
      <c r="E459" s="82"/>
      <c r="F459" s="84"/>
      <c r="G459" s="82"/>
      <c r="H459" s="11"/>
      <c r="I459" s="69"/>
      <c r="J459" s="78"/>
      <c r="K459" s="78"/>
      <c r="L459" s="83"/>
    </row>
    <row r="460" spans="1:12" x14ac:dyDescent="0.25">
      <c r="A460" s="81"/>
      <c r="B460" s="69"/>
      <c r="C460" s="11"/>
      <c r="D460" s="82"/>
      <c r="E460" s="82"/>
      <c r="F460" s="84"/>
      <c r="G460" s="82"/>
      <c r="H460" s="11"/>
      <c r="I460" s="69"/>
      <c r="J460" s="78"/>
      <c r="K460" s="78"/>
      <c r="L460" s="83"/>
    </row>
    <row r="461" spans="1:12" x14ac:dyDescent="0.25">
      <c r="A461" s="81"/>
      <c r="B461" s="69"/>
      <c r="C461" s="11"/>
      <c r="D461" s="82"/>
      <c r="E461" s="82"/>
      <c r="F461" s="84"/>
      <c r="G461" s="82"/>
      <c r="H461" s="11"/>
      <c r="I461" s="69"/>
      <c r="J461" s="78"/>
      <c r="K461" s="78"/>
      <c r="L461" s="83"/>
    </row>
    <row r="462" spans="1:12" x14ac:dyDescent="0.25">
      <c r="A462" s="81"/>
      <c r="B462" s="69"/>
      <c r="C462" s="11"/>
      <c r="D462" s="82"/>
      <c r="E462" s="82"/>
      <c r="F462" s="84"/>
      <c r="G462" s="82"/>
      <c r="H462" s="11"/>
      <c r="I462" s="69"/>
      <c r="J462" s="78"/>
      <c r="K462" s="78"/>
      <c r="L462" s="83"/>
    </row>
    <row r="463" spans="1:12" x14ac:dyDescent="0.25">
      <c r="A463" s="81"/>
      <c r="B463" s="69"/>
      <c r="C463" s="11"/>
      <c r="D463" s="82"/>
      <c r="E463" s="82"/>
      <c r="F463" s="84"/>
      <c r="G463" s="82"/>
      <c r="H463" s="11"/>
      <c r="I463" s="69"/>
      <c r="J463" s="78"/>
      <c r="K463" s="78"/>
      <c r="L463" s="83"/>
    </row>
    <row r="464" spans="1:12" x14ac:dyDescent="0.25">
      <c r="A464" s="81"/>
      <c r="B464" s="69"/>
      <c r="C464" s="11"/>
      <c r="D464" s="82"/>
      <c r="E464" s="82"/>
      <c r="F464" s="84"/>
      <c r="G464" s="82"/>
      <c r="H464" s="11"/>
      <c r="I464" s="69"/>
      <c r="J464" s="78"/>
      <c r="K464" s="78"/>
      <c r="L464" s="83"/>
    </row>
    <row r="465" spans="1:12" x14ac:dyDescent="0.25">
      <c r="A465" s="81"/>
      <c r="B465" s="69"/>
      <c r="C465" s="11"/>
      <c r="D465" s="82"/>
      <c r="E465" s="82"/>
      <c r="F465" s="84"/>
      <c r="G465" s="82"/>
      <c r="H465" s="11"/>
      <c r="I465" s="69"/>
      <c r="J465" s="78"/>
      <c r="K465" s="78"/>
      <c r="L465" s="83"/>
    </row>
    <row r="466" spans="1:12" x14ac:dyDescent="0.25">
      <c r="A466" s="81"/>
      <c r="B466" s="69"/>
      <c r="C466" s="11"/>
      <c r="D466" s="82"/>
      <c r="E466" s="82"/>
      <c r="F466" s="84"/>
      <c r="G466" s="82"/>
      <c r="H466" s="11"/>
      <c r="I466" s="69"/>
      <c r="J466" s="78"/>
      <c r="K466" s="78"/>
      <c r="L466" s="83"/>
    </row>
    <row r="467" spans="1:12" x14ac:dyDescent="0.25">
      <c r="A467" s="81"/>
      <c r="B467" s="69"/>
      <c r="C467" s="11"/>
      <c r="D467" s="82"/>
      <c r="E467" s="82"/>
      <c r="F467" s="84"/>
      <c r="G467" s="82"/>
      <c r="H467" s="11"/>
      <c r="I467" s="69"/>
      <c r="J467" s="78"/>
      <c r="K467" s="78"/>
      <c r="L467" s="83"/>
    </row>
    <row r="468" spans="1:12" x14ac:dyDescent="0.25">
      <c r="A468" s="81"/>
      <c r="B468" s="69"/>
      <c r="C468" s="11"/>
      <c r="D468" s="82"/>
      <c r="E468" s="82"/>
      <c r="F468" s="84"/>
      <c r="G468" s="82"/>
      <c r="H468" s="11"/>
      <c r="I468" s="69"/>
      <c r="J468" s="78"/>
      <c r="K468" s="78"/>
      <c r="L468" s="83"/>
    </row>
    <row r="469" spans="1:12" x14ac:dyDescent="0.25">
      <c r="A469" s="81"/>
      <c r="B469" s="69"/>
      <c r="C469" s="11"/>
      <c r="D469" s="82"/>
      <c r="E469" s="82"/>
      <c r="F469" s="84"/>
      <c r="G469" s="82"/>
      <c r="H469" s="11"/>
      <c r="I469" s="69"/>
      <c r="J469" s="78"/>
      <c r="K469" s="78"/>
      <c r="L469" s="83"/>
    </row>
    <row r="470" spans="1:12" x14ac:dyDescent="0.25">
      <c r="A470" s="81"/>
      <c r="B470" s="69"/>
      <c r="C470" s="11"/>
      <c r="D470" s="82"/>
      <c r="E470" s="82"/>
      <c r="F470" s="84"/>
      <c r="G470" s="82"/>
      <c r="H470" s="11"/>
      <c r="I470" s="69"/>
      <c r="J470" s="78"/>
      <c r="K470" s="78"/>
      <c r="L470" s="83"/>
    </row>
    <row r="471" spans="1:12" x14ac:dyDescent="0.25">
      <c r="A471" s="81"/>
      <c r="B471" s="69"/>
      <c r="C471" s="11"/>
      <c r="D471" s="82"/>
      <c r="E471" s="82"/>
      <c r="F471" s="84"/>
      <c r="G471" s="82"/>
      <c r="H471" s="11"/>
      <c r="I471" s="69"/>
      <c r="J471" s="78"/>
      <c r="K471" s="78"/>
      <c r="L471" s="83"/>
    </row>
    <row r="472" spans="1:12" x14ac:dyDescent="0.25">
      <c r="A472" s="81"/>
      <c r="B472" s="69"/>
      <c r="C472" s="11"/>
      <c r="D472" s="82"/>
      <c r="E472" s="82"/>
      <c r="F472" s="84"/>
      <c r="G472" s="82"/>
      <c r="H472" s="11"/>
      <c r="I472" s="69"/>
      <c r="J472" s="78"/>
      <c r="K472" s="78"/>
      <c r="L472" s="83"/>
    </row>
    <row r="473" spans="1:12" x14ac:dyDescent="0.25">
      <c r="A473" s="81"/>
      <c r="B473" s="69"/>
      <c r="C473" s="11"/>
      <c r="D473" s="82"/>
      <c r="E473" s="82"/>
      <c r="F473" s="84"/>
      <c r="G473" s="82"/>
      <c r="H473" s="11"/>
      <c r="I473" s="69"/>
      <c r="J473" s="78"/>
      <c r="K473" s="78"/>
      <c r="L473" s="83"/>
    </row>
    <row r="474" spans="1:12" x14ac:dyDescent="0.25">
      <c r="A474" s="81"/>
      <c r="B474" s="69"/>
      <c r="C474" s="11"/>
      <c r="D474" s="82"/>
      <c r="E474" s="82"/>
      <c r="F474" s="84"/>
      <c r="G474" s="82"/>
      <c r="H474" s="11"/>
      <c r="I474" s="69"/>
      <c r="J474" s="78"/>
      <c r="K474" s="78"/>
      <c r="L474" s="83"/>
    </row>
    <row r="475" spans="1:12" x14ac:dyDescent="0.25">
      <c r="A475" s="81"/>
      <c r="B475" s="69"/>
      <c r="C475" s="11"/>
      <c r="D475" s="82"/>
      <c r="E475" s="82"/>
      <c r="F475" s="84"/>
      <c r="G475" s="82"/>
      <c r="H475" s="11"/>
      <c r="I475" s="69"/>
      <c r="J475" s="78"/>
      <c r="K475" s="78"/>
      <c r="L475" s="83"/>
    </row>
    <row r="476" spans="1:12" x14ac:dyDescent="0.25">
      <c r="A476" s="81"/>
      <c r="B476" s="69"/>
      <c r="C476" s="11"/>
      <c r="D476" s="82"/>
      <c r="E476" s="82"/>
      <c r="F476" s="84"/>
      <c r="G476" s="82"/>
      <c r="H476" s="11"/>
      <c r="I476" s="69"/>
      <c r="J476" s="78"/>
      <c r="K476" s="78"/>
      <c r="L476" s="83"/>
    </row>
    <row r="477" spans="1:12" x14ac:dyDescent="0.25">
      <c r="A477" s="81"/>
      <c r="B477" s="69"/>
      <c r="C477" s="11"/>
      <c r="D477" s="82"/>
      <c r="E477" s="82"/>
      <c r="F477" s="84"/>
      <c r="G477" s="82"/>
      <c r="H477" s="11"/>
      <c r="I477" s="69"/>
      <c r="J477" s="78"/>
      <c r="K477" s="78"/>
      <c r="L477" s="83"/>
    </row>
    <row r="478" spans="1:12" x14ac:dyDescent="0.25">
      <c r="A478" s="81"/>
      <c r="B478" s="69"/>
      <c r="C478" s="11"/>
      <c r="D478" s="82"/>
      <c r="E478" s="82"/>
      <c r="F478" s="84"/>
      <c r="G478" s="82"/>
      <c r="H478" s="11"/>
      <c r="I478" s="69"/>
      <c r="J478" s="78"/>
      <c r="K478" s="78"/>
      <c r="L478" s="83"/>
    </row>
    <row r="479" spans="1:12" x14ac:dyDescent="0.25">
      <c r="A479" s="81"/>
      <c r="B479" s="69"/>
      <c r="C479" s="11"/>
      <c r="D479" s="82"/>
      <c r="E479" s="82"/>
      <c r="F479" s="84"/>
      <c r="G479" s="82"/>
      <c r="H479" s="11"/>
      <c r="I479" s="69"/>
      <c r="J479" s="78"/>
      <c r="K479" s="78"/>
      <c r="L479" s="83"/>
    </row>
    <row r="480" spans="1:12" x14ac:dyDescent="0.25">
      <c r="A480" s="81"/>
      <c r="B480" s="69"/>
      <c r="C480" s="11"/>
      <c r="D480" s="82"/>
      <c r="E480" s="82"/>
      <c r="F480" s="84"/>
      <c r="G480" s="82"/>
      <c r="H480" s="11"/>
      <c r="I480" s="69"/>
      <c r="J480" s="78"/>
      <c r="K480" s="78"/>
      <c r="L480" s="83"/>
    </row>
    <row r="481" spans="1:12" x14ac:dyDescent="0.25">
      <c r="A481" s="81"/>
      <c r="B481" s="69"/>
      <c r="C481" s="11"/>
      <c r="D481" s="82"/>
      <c r="E481" s="82"/>
      <c r="F481" s="84"/>
      <c r="G481" s="82"/>
      <c r="H481" s="11"/>
      <c r="I481" s="69"/>
      <c r="J481" s="78"/>
      <c r="K481" s="78"/>
      <c r="L481" s="83"/>
    </row>
    <row r="482" spans="1:12" x14ac:dyDescent="0.25">
      <c r="A482" s="81"/>
      <c r="B482" s="69"/>
      <c r="C482" s="11"/>
      <c r="D482" s="82"/>
      <c r="E482" s="82"/>
      <c r="F482" s="84"/>
      <c r="G482" s="82"/>
      <c r="H482" s="11"/>
      <c r="I482" s="69"/>
      <c r="J482" s="78"/>
      <c r="K482" s="78"/>
      <c r="L482" s="83"/>
    </row>
    <row r="483" spans="1:12" x14ac:dyDescent="0.25">
      <c r="A483" s="81"/>
      <c r="B483" s="69"/>
      <c r="C483" s="11"/>
      <c r="D483" s="82"/>
      <c r="E483" s="82"/>
      <c r="F483" s="84"/>
      <c r="G483" s="82"/>
      <c r="H483" s="11"/>
      <c r="I483" s="69"/>
      <c r="J483" s="78"/>
      <c r="K483" s="78"/>
      <c r="L483" s="83"/>
    </row>
    <row r="484" spans="1:12" x14ac:dyDescent="0.25">
      <c r="A484" s="81"/>
      <c r="B484" s="69"/>
      <c r="C484" s="11"/>
      <c r="D484" s="82"/>
      <c r="E484" s="82"/>
      <c r="F484" s="84"/>
      <c r="G484" s="82"/>
      <c r="H484" s="11"/>
      <c r="I484" s="69"/>
      <c r="J484" s="78"/>
      <c r="K484" s="78"/>
      <c r="L484" s="83"/>
    </row>
    <row r="485" spans="1:12" x14ac:dyDescent="0.25">
      <c r="A485" s="81"/>
      <c r="B485" s="69"/>
      <c r="C485" s="11"/>
      <c r="D485" s="82"/>
      <c r="E485" s="82"/>
      <c r="F485" s="84"/>
      <c r="G485" s="82"/>
      <c r="H485" s="11"/>
      <c r="I485" s="69"/>
      <c r="J485" s="78"/>
      <c r="K485" s="78"/>
      <c r="L485" s="83"/>
    </row>
    <row r="486" spans="1:12" x14ac:dyDescent="0.25">
      <c r="A486" s="81"/>
      <c r="B486" s="69"/>
      <c r="C486" s="11"/>
      <c r="D486" s="82"/>
      <c r="E486" s="82"/>
      <c r="F486" s="84"/>
      <c r="G486" s="82"/>
      <c r="H486" s="11"/>
      <c r="I486" s="69"/>
      <c r="J486" s="78"/>
      <c r="K486" s="78"/>
      <c r="L486" s="83"/>
    </row>
    <row r="487" spans="1:12" x14ac:dyDescent="0.25">
      <c r="A487" s="81"/>
      <c r="B487" s="69"/>
      <c r="C487" s="11"/>
      <c r="D487" s="82"/>
      <c r="E487" s="82"/>
      <c r="F487" s="84"/>
      <c r="G487" s="82"/>
      <c r="H487" s="11"/>
      <c r="I487" s="69"/>
      <c r="J487" s="78"/>
      <c r="K487" s="78"/>
      <c r="L487" s="83"/>
    </row>
    <row r="488" spans="1:12" x14ac:dyDescent="0.25">
      <c r="A488" s="81"/>
      <c r="B488" s="69"/>
      <c r="C488" s="11"/>
      <c r="D488" s="82"/>
      <c r="E488" s="82"/>
      <c r="F488" s="84"/>
      <c r="G488" s="82"/>
      <c r="H488" s="11"/>
      <c r="I488" s="69"/>
      <c r="J488" s="78"/>
      <c r="K488" s="78"/>
      <c r="L488" s="83"/>
    </row>
    <row r="489" spans="1:12" x14ac:dyDescent="0.25">
      <c r="A489" s="81"/>
      <c r="B489" s="69"/>
      <c r="C489" s="11"/>
      <c r="D489" s="82"/>
      <c r="E489" s="82"/>
      <c r="F489" s="84"/>
      <c r="G489" s="82"/>
      <c r="H489" s="11"/>
      <c r="I489" s="69"/>
      <c r="J489" s="78"/>
      <c r="K489" s="78"/>
      <c r="L489" s="83"/>
    </row>
    <row r="490" spans="1:12" x14ac:dyDescent="0.25">
      <c r="A490" s="81"/>
      <c r="B490" s="69"/>
      <c r="C490" s="11"/>
      <c r="D490" s="82"/>
      <c r="E490" s="82"/>
      <c r="F490" s="84"/>
      <c r="G490" s="82"/>
      <c r="H490" s="11"/>
      <c r="I490" s="69"/>
      <c r="J490" s="78"/>
      <c r="K490" s="78"/>
      <c r="L490" s="83"/>
    </row>
    <row r="491" spans="1:12" x14ac:dyDescent="0.25">
      <c r="A491" s="81"/>
      <c r="B491" s="69"/>
      <c r="C491" s="11"/>
      <c r="D491" s="82"/>
      <c r="E491" s="82"/>
      <c r="F491" s="84"/>
      <c r="G491" s="82"/>
      <c r="H491" s="11"/>
      <c r="I491" s="69"/>
      <c r="J491" s="78"/>
      <c r="K491" s="78"/>
      <c r="L491" s="83"/>
    </row>
    <row r="492" spans="1:12" x14ac:dyDescent="0.25">
      <c r="A492" s="81"/>
      <c r="B492" s="69"/>
      <c r="C492" s="11"/>
      <c r="D492" s="82"/>
      <c r="E492" s="82"/>
      <c r="F492" s="84"/>
      <c r="G492" s="82"/>
      <c r="H492" s="11"/>
      <c r="I492" s="69"/>
      <c r="J492" s="78"/>
      <c r="K492" s="78"/>
      <c r="L492" s="83"/>
    </row>
    <row r="493" spans="1:12" x14ac:dyDescent="0.25">
      <c r="A493" s="81"/>
      <c r="B493" s="69"/>
      <c r="C493" s="11"/>
      <c r="D493" s="82"/>
      <c r="E493" s="82"/>
      <c r="F493" s="84"/>
      <c r="G493" s="82"/>
      <c r="H493" s="11"/>
      <c r="I493" s="69"/>
      <c r="J493" s="78"/>
      <c r="K493" s="78"/>
      <c r="L493" s="83"/>
    </row>
    <row r="494" spans="1:12" x14ac:dyDescent="0.25">
      <c r="A494" s="81"/>
      <c r="B494" s="69"/>
      <c r="C494" s="11"/>
      <c r="D494" s="82"/>
      <c r="E494" s="82"/>
      <c r="F494" s="84"/>
      <c r="G494" s="82"/>
      <c r="H494" s="11"/>
      <c r="I494" s="69"/>
      <c r="J494" s="78"/>
      <c r="K494" s="78"/>
      <c r="L494" s="83"/>
    </row>
    <row r="495" spans="1:12" x14ac:dyDescent="0.25">
      <c r="A495" s="81"/>
      <c r="B495" s="69"/>
      <c r="C495" s="11"/>
      <c r="D495" s="82"/>
      <c r="E495" s="82"/>
      <c r="F495" s="84"/>
      <c r="G495" s="82"/>
      <c r="H495" s="11"/>
      <c r="I495" s="69"/>
      <c r="J495" s="78"/>
      <c r="K495" s="78"/>
      <c r="L495" s="83"/>
    </row>
    <row r="496" spans="1:12" x14ac:dyDescent="0.25">
      <c r="A496" s="81"/>
      <c r="B496" s="69"/>
      <c r="C496" s="11"/>
      <c r="D496" s="82"/>
      <c r="E496" s="82"/>
      <c r="F496" s="84"/>
      <c r="G496" s="82"/>
      <c r="H496" s="11"/>
      <c r="I496" s="69"/>
      <c r="J496" s="78"/>
      <c r="K496" s="78"/>
      <c r="L496" s="83"/>
    </row>
    <row r="497" spans="1:12" x14ac:dyDescent="0.25">
      <c r="A497" s="81"/>
      <c r="B497" s="69"/>
      <c r="C497" s="11"/>
      <c r="D497" s="82"/>
      <c r="E497" s="82"/>
      <c r="F497" s="84"/>
      <c r="G497" s="82"/>
      <c r="H497" s="11"/>
      <c r="I497" s="69"/>
      <c r="J497" s="78"/>
      <c r="K497" s="78"/>
      <c r="L497" s="83"/>
    </row>
    <row r="498" spans="1:12" x14ac:dyDescent="0.25">
      <c r="A498" s="81"/>
      <c r="B498" s="69"/>
      <c r="C498" s="11"/>
      <c r="D498" s="82"/>
      <c r="E498" s="82"/>
      <c r="F498" s="84"/>
      <c r="G498" s="82"/>
      <c r="H498" s="11"/>
      <c r="I498" s="69"/>
      <c r="J498" s="78"/>
      <c r="K498" s="78"/>
      <c r="L498" s="83"/>
    </row>
    <row r="499" spans="1:12" x14ac:dyDescent="0.25">
      <c r="A499" s="81"/>
      <c r="B499" s="69"/>
      <c r="C499" s="11"/>
      <c r="D499" s="82"/>
      <c r="E499" s="82"/>
      <c r="F499" s="84"/>
      <c r="G499" s="82"/>
      <c r="H499" s="11"/>
      <c r="I499" s="69"/>
      <c r="J499" s="78"/>
      <c r="K499" s="78"/>
      <c r="L499" s="83"/>
    </row>
    <row r="500" spans="1:12" x14ac:dyDescent="0.25">
      <c r="A500" s="81"/>
      <c r="B500" s="69"/>
      <c r="C500" s="11"/>
      <c r="D500" s="82"/>
      <c r="E500" s="82"/>
      <c r="F500" s="84"/>
      <c r="G500" s="82"/>
      <c r="H500" s="11"/>
      <c r="I500" s="69"/>
      <c r="J500" s="78"/>
      <c r="K500" s="78"/>
      <c r="L500" s="83"/>
    </row>
    <row r="501" spans="1:12" x14ac:dyDescent="0.25">
      <c r="A501" s="81"/>
      <c r="B501" s="69"/>
      <c r="C501" s="11"/>
      <c r="D501" s="82"/>
      <c r="E501" s="82"/>
      <c r="F501" s="84"/>
      <c r="G501" s="82"/>
      <c r="H501" s="11"/>
      <c r="I501" s="69"/>
      <c r="J501" s="78"/>
      <c r="K501" s="78"/>
      <c r="L501" s="83"/>
    </row>
    <row r="502" spans="1:12" x14ac:dyDescent="0.25">
      <c r="A502" s="81"/>
      <c r="B502" s="69"/>
      <c r="C502" s="11"/>
      <c r="D502" s="82"/>
      <c r="E502" s="82"/>
      <c r="F502" s="84"/>
      <c r="G502" s="82"/>
      <c r="H502" s="11"/>
      <c r="I502" s="69"/>
      <c r="J502" s="78"/>
      <c r="K502" s="78"/>
      <c r="L502" s="83"/>
    </row>
    <row r="503" spans="1:12" x14ac:dyDescent="0.25">
      <c r="A503" s="81"/>
      <c r="B503" s="69"/>
      <c r="C503" s="11"/>
      <c r="D503" s="82"/>
      <c r="E503" s="82"/>
      <c r="F503" s="84"/>
      <c r="G503" s="82"/>
      <c r="H503" s="11"/>
      <c r="I503" s="69"/>
      <c r="J503" s="78"/>
      <c r="K503" s="78"/>
      <c r="L503" s="83"/>
    </row>
    <row r="504" spans="1:12" x14ac:dyDescent="0.25">
      <c r="A504" s="81"/>
      <c r="B504" s="69"/>
      <c r="C504" s="11"/>
      <c r="D504" s="82"/>
      <c r="E504" s="82"/>
      <c r="F504" s="84"/>
      <c r="G504" s="82"/>
      <c r="H504" s="11"/>
      <c r="I504" s="69"/>
      <c r="J504" s="78"/>
      <c r="K504" s="78"/>
      <c r="L504" s="83"/>
    </row>
    <row r="505" spans="1:12" x14ac:dyDescent="0.25">
      <c r="A505" s="81"/>
      <c r="B505" s="69"/>
      <c r="C505" s="11"/>
      <c r="D505" s="82"/>
      <c r="E505" s="82"/>
      <c r="F505" s="84"/>
      <c r="G505" s="82"/>
      <c r="H505" s="11"/>
      <c r="I505" s="69"/>
      <c r="J505" s="78"/>
      <c r="K505" s="78"/>
      <c r="L505" s="83"/>
    </row>
    <row r="506" spans="1:12" x14ac:dyDescent="0.25">
      <c r="A506" s="81"/>
      <c r="B506" s="69"/>
      <c r="C506" s="11"/>
      <c r="D506" s="82"/>
      <c r="E506" s="82"/>
      <c r="F506" s="84"/>
      <c r="G506" s="82"/>
      <c r="H506" s="11"/>
      <c r="I506" s="69"/>
      <c r="J506" s="78"/>
      <c r="K506" s="78"/>
      <c r="L506" s="83"/>
    </row>
    <row r="507" spans="1:12" x14ac:dyDescent="0.25">
      <c r="A507" s="81"/>
      <c r="B507" s="69"/>
      <c r="C507" s="11"/>
      <c r="D507" s="82"/>
      <c r="E507" s="82"/>
      <c r="F507" s="84"/>
      <c r="G507" s="82"/>
      <c r="H507" s="11"/>
      <c r="I507" s="69"/>
      <c r="J507" s="78"/>
      <c r="K507" s="78"/>
      <c r="L507" s="83"/>
    </row>
    <row r="508" spans="1:12" x14ac:dyDescent="0.25">
      <c r="A508" s="81"/>
      <c r="B508" s="69"/>
      <c r="C508" s="11"/>
      <c r="D508" s="82"/>
      <c r="E508" s="82"/>
      <c r="F508" s="84"/>
      <c r="G508" s="82"/>
      <c r="H508" s="11"/>
      <c r="I508" s="69"/>
      <c r="J508" s="78"/>
      <c r="K508" s="78"/>
      <c r="L508" s="83"/>
    </row>
    <row r="509" spans="1:12" x14ac:dyDescent="0.25">
      <c r="A509" s="81"/>
      <c r="B509" s="69"/>
      <c r="C509" s="11"/>
      <c r="D509" s="82"/>
      <c r="E509" s="82"/>
      <c r="F509" s="84"/>
      <c r="G509" s="82"/>
      <c r="H509" s="11"/>
      <c r="I509" s="69"/>
      <c r="J509" s="78"/>
      <c r="K509" s="78"/>
      <c r="L509" s="83"/>
    </row>
    <row r="510" spans="1:12" x14ac:dyDescent="0.25">
      <c r="A510" s="81"/>
      <c r="B510" s="69"/>
      <c r="C510" s="11"/>
      <c r="D510" s="82"/>
      <c r="E510" s="82"/>
      <c r="F510" s="84"/>
      <c r="G510" s="82"/>
      <c r="H510" s="11"/>
      <c r="I510" s="69"/>
      <c r="J510" s="78"/>
      <c r="K510" s="78"/>
      <c r="L510" s="83"/>
    </row>
    <row r="511" spans="1:12" x14ac:dyDescent="0.25">
      <c r="A511" s="81"/>
      <c r="B511" s="69"/>
      <c r="C511" s="11"/>
      <c r="D511" s="82"/>
      <c r="E511" s="82"/>
      <c r="F511" s="84"/>
      <c r="G511" s="82"/>
      <c r="H511" s="11"/>
      <c r="I511" s="69"/>
      <c r="J511" s="78"/>
      <c r="K511" s="78"/>
      <c r="L511" s="83"/>
    </row>
    <row r="512" spans="1:12" x14ac:dyDescent="0.25">
      <c r="A512" s="81"/>
      <c r="B512" s="69"/>
      <c r="C512" s="11"/>
      <c r="D512" s="82"/>
      <c r="E512" s="82"/>
      <c r="F512" s="84"/>
      <c r="G512" s="82"/>
      <c r="H512" s="11"/>
      <c r="I512" s="69"/>
      <c r="J512" s="78"/>
      <c r="K512" s="78"/>
      <c r="L512" s="83"/>
    </row>
    <row r="513" spans="1:12" x14ac:dyDescent="0.25">
      <c r="A513" s="81"/>
      <c r="B513" s="69"/>
      <c r="C513" s="11"/>
      <c r="D513" s="82"/>
      <c r="E513" s="82"/>
      <c r="F513" s="84"/>
      <c r="G513" s="82"/>
      <c r="H513" s="11"/>
      <c r="I513" s="69"/>
      <c r="J513" s="78"/>
      <c r="K513" s="78"/>
      <c r="L513" s="83"/>
    </row>
    <row r="514" spans="1:12" x14ac:dyDescent="0.25">
      <c r="A514" s="81"/>
      <c r="B514" s="69"/>
      <c r="C514" s="11"/>
      <c r="D514" s="82"/>
      <c r="E514" s="82"/>
      <c r="F514" s="84"/>
      <c r="G514" s="82"/>
      <c r="H514" s="11"/>
      <c r="I514" s="69"/>
      <c r="J514" s="78"/>
      <c r="K514" s="78"/>
      <c r="L514" s="83"/>
    </row>
    <row r="515" spans="1:12" x14ac:dyDescent="0.25">
      <c r="A515" s="81"/>
      <c r="B515" s="69"/>
      <c r="C515" s="11"/>
      <c r="D515" s="82"/>
      <c r="E515" s="82"/>
      <c r="F515" s="84"/>
      <c r="G515" s="82"/>
      <c r="H515" s="11"/>
      <c r="I515" s="69"/>
      <c r="J515" s="78"/>
      <c r="K515" s="78"/>
      <c r="L515" s="83"/>
    </row>
    <row r="516" spans="1:12" x14ac:dyDescent="0.25">
      <c r="A516" s="81"/>
      <c r="B516" s="69"/>
      <c r="C516" s="11"/>
      <c r="D516" s="82"/>
      <c r="E516" s="82"/>
      <c r="F516" s="84"/>
      <c r="G516" s="82"/>
      <c r="H516" s="11"/>
      <c r="I516" s="69"/>
      <c r="J516" s="78"/>
      <c r="K516" s="78"/>
      <c r="L516" s="83"/>
    </row>
    <row r="517" spans="1:12" x14ac:dyDescent="0.25">
      <c r="A517" s="81"/>
      <c r="B517" s="69"/>
      <c r="C517" s="11"/>
      <c r="D517" s="82"/>
      <c r="E517" s="82"/>
      <c r="F517" s="84"/>
      <c r="G517" s="82"/>
      <c r="H517" s="11"/>
      <c r="I517" s="69"/>
      <c r="J517" s="78"/>
      <c r="K517" s="78"/>
      <c r="L517" s="83"/>
    </row>
    <row r="518" spans="1:12" x14ac:dyDescent="0.25">
      <c r="A518" s="81"/>
      <c r="B518" s="69"/>
      <c r="C518" s="11"/>
      <c r="D518" s="82"/>
      <c r="E518" s="82"/>
      <c r="F518" s="84"/>
      <c r="G518" s="82"/>
      <c r="H518" s="11"/>
      <c r="I518" s="69"/>
      <c r="J518" s="78"/>
      <c r="K518" s="78"/>
      <c r="L518" s="83"/>
    </row>
    <row r="519" spans="1:12" x14ac:dyDescent="0.25">
      <c r="A519" s="81"/>
      <c r="B519" s="69"/>
      <c r="C519" s="11"/>
      <c r="D519" s="82"/>
      <c r="E519" s="82"/>
      <c r="F519" s="84"/>
      <c r="G519" s="82"/>
      <c r="H519" s="11"/>
      <c r="I519" s="69"/>
      <c r="J519" s="78"/>
      <c r="K519" s="78"/>
      <c r="L519" s="83"/>
    </row>
    <row r="520" spans="1:12" x14ac:dyDescent="0.25">
      <c r="A520" s="81"/>
      <c r="B520" s="69"/>
      <c r="C520" s="11"/>
      <c r="D520" s="82"/>
      <c r="E520" s="82"/>
      <c r="F520" s="84"/>
      <c r="G520" s="82"/>
      <c r="H520" s="11"/>
      <c r="I520" s="69"/>
      <c r="J520" s="78"/>
      <c r="K520" s="78"/>
      <c r="L520" s="83"/>
    </row>
    <row r="521" spans="1:12" x14ac:dyDescent="0.25">
      <c r="A521" s="81"/>
      <c r="B521" s="69"/>
      <c r="C521" s="11"/>
      <c r="D521" s="82"/>
      <c r="E521" s="82"/>
      <c r="F521" s="84"/>
      <c r="G521" s="82"/>
      <c r="H521" s="11"/>
      <c r="I521" s="69"/>
      <c r="J521" s="78"/>
      <c r="K521" s="78"/>
      <c r="L521" s="83"/>
    </row>
    <row r="522" spans="1:12" x14ac:dyDescent="0.25">
      <c r="A522" s="81"/>
      <c r="B522" s="69"/>
      <c r="C522" s="11"/>
      <c r="D522" s="82"/>
      <c r="E522" s="82"/>
      <c r="F522" s="84"/>
      <c r="G522" s="82"/>
      <c r="H522" s="11"/>
      <c r="I522" s="69"/>
      <c r="J522" s="78"/>
      <c r="K522" s="78"/>
      <c r="L522" s="83"/>
    </row>
    <row r="523" spans="1:12" x14ac:dyDescent="0.25">
      <c r="A523" s="81"/>
      <c r="B523" s="69"/>
      <c r="C523" s="11"/>
      <c r="D523" s="82"/>
      <c r="E523" s="82"/>
      <c r="F523" s="84"/>
      <c r="G523" s="82"/>
      <c r="H523" s="11"/>
      <c r="I523" s="69"/>
      <c r="J523" s="78"/>
      <c r="K523" s="78"/>
      <c r="L523" s="83"/>
    </row>
    <row r="524" spans="1:12" x14ac:dyDescent="0.25">
      <c r="A524" s="81"/>
      <c r="B524" s="69"/>
      <c r="C524" s="11"/>
      <c r="D524" s="82"/>
      <c r="E524" s="82"/>
      <c r="F524" s="84"/>
      <c r="G524" s="82"/>
      <c r="H524" s="11"/>
      <c r="I524" s="69"/>
      <c r="J524" s="78"/>
      <c r="K524" s="78"/>
      <c r="L524" s="83"/>
    </row>
    <row r="525" spans="1:12" x14ac:dyDescent="0.25">
      <c r="A525" s="81"/>
      <c r="B525" s="69"/>
      <c r="C525" s="11"/>
      <c r="D525" s="82"/>
      <c r="E525" s="82"/>
      <c r="F525" s="84"/>
      <c r="G525" s="82"/>
      <c r="H525" s="11"/>
      <c r="I525" s="69"/>
      <c r="J525" s="78"/>
      <c r="K525" s="78"/>
      <c r="L525" s="83"/>
    </row>
    <row r="526" spans="1:12" x14ac:dyDescent="0.25">
      <c r="A526" s="81"/>
      <c r="B526" s="69"/>
      <c r="C526" s="11"/>
      <c r="D526" s="82"/>
      <c r="E526" s="82"/>
      <c r="F526" s="84"/>
      <c r="G526" s="82"/>
      <c r="H526" s="11"/>
      <c r="I526" s="69"/>
      <c r="J526" s="78"/>
      <c r="K526" s="78"/>
      <c r="L526" s="83"/>
    </row>
    <row r="527" spans="1:12" x14ac:dyDescent="0.25">
      <c r="A527" s="81"/>
      <c r="B527" s="69"/>
      <c r="C527" s="11"/>
      <c r="D527" s="82"/>
      <c r="E527" s="82"/>
      <c r="F527" s="84"/>
      <c r="G527" s="82"/>
      <c r="H527" s="11"/>
      <c r="I527" s="69"/>
      <c r="J527" s="78"/>
      <c r="K527" s="78"/>
      <c r="L527" s="83"/>
    </row>
    <row r="528" spans="1:12" x14ac:dyDescent="0.25">
      <c r="A528" s="81"/>
      <c r="B528" s="69"/>
      <c r="C528" s="11"/>
      <c r="D528" s="82"/>
      <c r="E528" s="82"/>
      <c r="F528" s="84"/>
      <c r="G528" s="82"/>
      <c r="H528" s="11"/>
      <c r="I528" s="69"/>
      <c r="J528" s="78"/>
      <c r="K528" s="78"/>
      <c r="L528" s="83"/>
    </row>
    <row r="529" spans="1:12" x14ac:dyDescent="0.25">
      <c r="A529" s="81"/>
      <c r="B529" s="69"/>
      <c r="C529" s="11"/>
      <c r="D529" s="82"/>
      <c r="E529" s="82"/>
      <c r="F529" s="84"/>
      <c r="G529" s="82"/>
      <c r="H529" s="11"/>
      <c r="I529" s="69"/>
      <c r="J529" s="78"/>
      <c r="K529" s="78"/>
      <c r="L529" s="83"/>
    </row>
    <row r="530" spans="1:12" x14ac:dyDescent="0.25">
      <c r="A530" s="81"/>
      <c r="B530" s="69"/>
      <c r="C530" s="11"/>
      <c r="D530" s="82"/>
      <c r="E530" s="82"/>
      <c r="F530" s="84"/>
      <c r="G530" s="82"/>
      <c r="H530" s="11"/>
      <c r="I530" s="69"/>
      <c r="J530" s="78"/>
      <c r="K530" s="78"/>
      <c r="L530" s="83"/>
    </row>
    <row r="531" spans="1:12" x14ac:dyDescent="0.25">
      <c r="A531" s="81"/>
      <c r="B531" s="69"/>
      <c r="C531" s="11"/>
      <c r="D531" s="82"/>
      <c r="E531" s="82"/>
      <c r="F531" s="84"/>
      <c r="G531" s="82"/>
      <c r="H531" s="11"/>
      <c r="I531" s="69"/>
      <c r="J531" s="78"/>
      <c r="K531" s="78"/>
      <c r="L531" s="83"/>
    </row>
    <row r="532" spans="1:12" x14ac:dyDescent="0.25">
      <c r="A532" s="81"/>
      <c r="B532" s="69"/>
      <c r="C532" s="11"/>
      <c r="D532" s="82"/>
      <c r="E532" s="82"/>
      <c r="F532" s="84"/>
      <c r="G532" s="82"/>
      <c r="H532" s="11"/>
      <c r="I532" s="69"/>
      <c r="J532" s="78"/>
      <c r="K532" s="78"/>
      <c r="L532" s="83"/>
    </row>
    <row r="533" spans="1:12" x14ac:dyDescent="0.25">
      <c r="A533" s="81"/>
      <c r="B533" s="69"/>
      <c r="C533" s="11"/>
      <c r="D533" s="82"/>
      <c r="E533" s="82"/>
      <c r="F533" s="84"/>
      <c r="G533" s="82"/>
      <c r="H533" s="11"/>
      <c r="I533" s="69"/>
      <c r="J533" s="78"/>
      <c r="K533" s="78"/>
      <c r="L533" s="83"/>
    </row>
    <row r="534" spans="1:12" x14ac:dyDescent="0.25">
      <c r="A534" s="81"/>
      <c r="B534" s="69"/>
      <c r="C534" s="11"/>
      <c r="D534" s="82"/>
      <c r="E534" s="82"/>
      <c r="F534" s="84"/>
      <c r="G534" s="82"/>
      <c r="H534" s="11"/>
      <c r="I534" s="69"/>
      <c r="J534" s="78"/>
      <c r="K534" s="78"/>
      <c r="L534" s="83"/>
    </row>
    <row r="535" spans="1:12" x14ac:dyDescent="0.25">
      <c r="A535" s="81"/>
      <c r="B535" s="69"/>
      <c r="C535" s="11"/>
      <c r="D535" s="82"/>
      <c r="E535" s="82"/>
      <c r="F535" s="84"/>
      <c r="G535" s="82"/>
      <c r="H535" s="11"/>
      <c r="I535" s="69"/>
      <c r="J535" s="78"/>
      <c r="K535" s="78"/>
      <c r="L535" s="83"/>
    </row>
    <row r="536" spans="1:12" x14ac:dyDescent="0.25">
      <c r="A536" s="81"/>
      <c r="B536" s="69"/>
      <c r="C536" s="11"/>
      <c r="D536" s="82"/>
      <c r="E536" s="82"/>
      <c r="F536" s="84"/>
      <c r="G536" s="82"/>
      <c r="H536" s="11"/>
      <c r="I536" s="69"/>
      <c r="J536" s="78"/>
      <c r="K536" s="78"/>
      <c r="L536" s="83"/>
    </row>
    <row r="537" spans="1:12" x14ac:dyDescent="0.25">
      <c r="A537" s="81"/>
      <c r="B537" s="69"/>
      <c r="C537" s="11"/>
      <c r="D537" s="82"/>
      <c r="E537" s="82"/>
      <c r="F537" s="84"/>
      <c r="G537" s="82"/>
      <c r="H537" s="11"/>
      <c r="I537" s="69"/>
      <c r="J537" s="78"/>
      <c r="K537" s="78"/>
      <c r="L537" s="83"/>
    </row>
    <row r="538" spans="1:12" x14ac:dyDescent="0.25">
      <c r="A538" s="81"/>
      <c r="B538" s="69"/>
      <c r="C538" s="11"/>
      <c r="D538" s="82"/>
      <c r="E538" s="82"/>
      <c r="F538" s="84"/>
      <c r="G538" s="82"/>
      <c r="H538" s="11"/>
      <c r="I538" s="69"/>
      <c r="J538" s="78"/>
      <c r="K538" s="78"/>
      <c r="L538" s="83"/>
    </row>
    <row r="539" spans="1:12" x14ac:dyDescent="0.25">
      <c r="A539" s="81"/>
      <c r="B539" s="69"/>
      <c r="C539" s="11"/>
      <c r="D539" s="82"/>
      <c r="E539" s="82"/>
      <c r="F539" s="84"/>
      <c r="G539" s="82"/>
      <c r="H539" s="11"/>
      <c r="I539" s="69"/>
      <c r="J539" s="78"/>
      <c r="K539" s="78"/>
      <c r="L539" s="83"/>
    </row>
    <row r="540" spans="1:12" x14ac:dyDescent="0.25">
      <c r="A540" s="81"/>
      <c r="B540" s="69"/>
      <c r="C540" s="11"/>
      <c r="D540" s="82"/>
      <c r="E540" s="82"/>
      <c r="F540" s="84"/>
      <c r="G540" s="82"/>
      <c r="H540" s="11"/>
      <c r="I540" s="69"/>
      <c r="J540" s="78"/>
      <c r="K540" s="78"/>
      <c r="L540" s="83"/>
    </row>
    <row r="541" spans="1:12" x14ac:dyDescent="0.25">
      <c r="A541" s="81"/>
      <c r="B541" s="69"/>
      <c r="C541" s="11"/>
      <c r="D541" s="82"/>
      <c r="E541" s="82"/>
      <c r="F541" s="84"/>
      <c r="G541" s="82"/>
      <c r="H541" s="11"/>
      <c r="I541" s="69"/>
      <c r="J541" s="78"/>
      <c r="K541" s="78"/>
      <c r="L541" s="83"/>
    </row>
    <row r="542" spans="1:12" x14ac:dyDescent="0.25">
      <c r="A542" s="81"/>
      <c r="B542" s="69"/>
      <c r="C542" s="11"/>
      <c r="D542" s="82"/>
      <c r="E542" s="82"/>
      <c r="F542" s="84"/>
      <c r="G542" s="82"/>
      <c r="H542" s="11"/>
      <c r="I542" s="69"/>
      <c r="J542" s="78"/>
      <c r="K542" s="78"/>
      <c r="L542" s="83"/>
    </row>
    <row r="543" spans="1:12" x14ac:dyDescent="0.25">
      <c r="A543" s="81"/>
      <c r="B543" s="69"/>
      <c r="C543" s="11"/>
      <c r="D543" s="82"/>
      <c r="E543" s="82"/>
      <c r="F543" s="84"/>
      <c r="G543" s="82"/>
      <c r="H543" s="11"/>
      <c r="I543" s="69"/>
      <c r="J543" s="78"/>
      <c r="K543" s="78"/>
      <c r="L543" s="83"/>
    </row>
    <row r="544" spans="1:12" x14ac:dyDescent="0.25">
      <c r="A544" s="81"/>
      <c r="B544" s="69"/>
      <c r="C544" s="11"/>
      <c r="D544" s="82"/>
      <c r="E544" s="82"/>
      <c r="F544" s="84"/>
      <c r="G544" s="82"/>
      <c r="H544" s="11"/>
      <c r="I544" s="69"/>
      <c r="J544" s="78"/>
      <c r="K544" s="78"/>
      <c r="L544" s="83"/>
    </row>
    <row r="545" spans="1:12" x14ac:dyDescent="0.25">
      <c r="A545" s="81"/>
      <c r="B545" s="69"/>
      <c r="C545" s="11"/>
      <c r="D545" s="82"/>
      <c r="E545" s="82"/>
      <c r="F545" s="84"/>
      <c r="G545" s="82"/>
      <c r="H545" s="11"/>
      <c r="I545" s="69"/>
      <c r="J545" s="78"/>
      <c r="K545" s="78"/>
      <c r="L545" s="83"/>
    </row>
    <row r="546" spans="1:12" x14ac:dyDescent="0.25">
      <c r="A546" s="81"/>
      <c r="B546" s="69"/>
      <c r="C546" s="11"/>
      <c r="D546" s="82"/>
      <c r="E546" s="82"/>
      <c r="F546" s="84"/>
      <c r="G546" s="82"/>
      <c r="H546" s="11"/>
      <c r="I546" s="69"/>
      <c r="J546" s="78"/>
      <c r="K546" s="78"/>
      <c r="L546" s="83"/>
    </row>
    <row r="547" spans="1:12" x14ac:dyDescent="0.25">
      <c r="A547" s="81"/>
      <c r="B547" s="69"/>
      <c r="C547" s="11"/>
      <c r="D547" s="82"/>
      <c r="E547" s="82"/>
      <c r="F547" s="84"/>
      <c r="G547" s="82"/>
      <c r="H547" s="11"/>
      <c r="I547" s="69"/>
      <c r="J547" s="78"/>
      <c r="K547" s="78"/>
      <c r="L547" s="83"/>
    </row>
    <row r="548" spans="1:12" x14ac:dyDescent="0.25">
      <c r="A548" s="81"/>
      <c r="B548" s="69"/>
      <c r="C548" s="11"/>
      <c r="D548" s="82"/>
      <c r="E548" s="82"/>
      <c r="F548" s="84"/>
      <c r="G548" s="82"/>
      <c r="H548" s="11"/>
      <c r="I548" s="69"/>
      <c r="J548" s="78"/>
      <c r="K548" s="78"/>
      <c r="L548" s="83"/>
    </row>
    <row r="549" spans="1:12" x14ac:dyDescent="0.25">
      <c r="A549" s="81"/>
      <c r="B549" s="69"/>
      <c r="C549" s="11"/>
      <c r="D549" s="82"/>
      <c r="E549" s="82"/>
      <c r="F549" s="84"/>
      <c r="G549" s="82"/>
      <c r="H549" s="11"/>
      <c r="I549" s="69"/>
      <c r="J549" s="78"/>
      <c r="K549" s="78"/>
      <c r="L549" s="83"/>
    </row>
    <row r="550" spans="1:12" x14ac:dyDescent="0.25">
      <c r="A550" s="81"/>
      <c r="B550" s="69"/>
      <c r="C550" s="11"/>
      <c r="D550" s="82"/>
      <c r="E550" s="82"/>
      <c r="F550" s="84"/>
      <c r="G550" s="82"/>
      <c r="H550" s="11"/>
      <c r="I550" s="69"/>
      <c r="J550" s="78"/>
      <c r="K550" s="78"/>
      <c r="L550" s="83"/>
    </row>
    <row r="551" spans="1:12" x14ac:dyDescent="0.25">
      <c r="A551" s="81"/>
      <c r="B551" s="69"/>
      <c r="C551" s="11"/>
      <c r="D551" s="82"/>
      <c r="E551" s="82"/>
      <c r="F551" s="84"/>
      <c r="G551" s="82"/>
      <c r="H551" s="11"/>
      <c r="I551" s="69"/>
      <c r="J551" s="78"/>
      <c r="K551" s="78"/>
      <c r="L551" s="83"/>
    </row>
    <row r="552" spans="1:12" x14ac:dyDescent="0.25">
      <c r="A552" s="81"/>
      <c r="B552" s="69"/>
      <c r="C552" s="11"/>
      <c r="D552" s="82"/>
      <c r="E552" s="82"/>
      <c r="F552" s="84"/>
      <c r="G552" s="82"/>
      <c r="H552" s="11"/>
      <c r="I552" s="69"/>
      <c r="J552" s="78"/>
      <c r="K552" s="78"/>
      <c r="L552" s="83"/>
    </row>
    <row r="553" spans="1:12" x14ac:dyDescent="0.25">
      <c r="A553" s="81"/>
      <c r="B553" s="69"/>
      <c r="C553" s="11"/>
      <c r="D553" s="82"/>
      <c r="E553" s="82"/>
      <c r="F553" s="84"/>
      <c r="G553" s="82"/>
      <c r="H553" s="11"/>
      <c r="I553" s="69"/>
      <c r="J553" s="78"/>
      <c r="K553" s="78"/>
      <c r="L553" s="83"/>
    </row>
    <row r="554" spans="1:12" x14ac:dyDescent="0.25">
      <c r="A554" s="81"/>
      <c r="B554" s="69"/>
      <c r="C554" s="11"/>
      <c r="D554" s="82"/>
      <c r="E554" s="82"/>
      <c r="F554" s="84"/>
      <c r="G554" s="82"/>
      <c r="H554" s="11"/>
      <c r="I554" s="69"/>
      <c r="J554" s="78"/>
      <c r="K554" s="78"/>
      <c r="L554" s="83"/>
    </row>
    <row r="555" spans="1:12" x14ac:dyDescent="0.25">
      <c r="A555" s="81"/>
      <c r="B555" s="69"/>
      <c r="C555" s="11"/>
      <c r="D555" s="82"/>
      <c r="E555" s="82"/>
      <c r="F555" s="84"/>
      <c r="G555" s="82"/>
      <c r="H555" s="11"/>
      <c r="I555" s="69"/>
      <c r="J555" s="78"/>
      <c r="K555" s="78"/>
      <c r="L555" s="83"/>
    </row>
    <row r="556" spans="1:12" x14ac:dyDescent="0.25">
      <c r="A556" s="81"/>
      <c r="B556" s="69"/>
      <c r="C556" s="11"/>
      <c r="D556" s="82"/>
      <c r="E556" s="82"/>
      <c r="F556" s="84"/>
      <c r="G556" s="82"/>
      <c r="H556" s="11"/>
      <c r="I556" s="69"/>
      <c r="J556" s="78"/>
      <c r="K556" s="78"/>
      <c r="L556" s="83"/>
    </row>
    <row r="557" spans="1:12" x14ac:dyDescent="0.25">
      <c r="A557" s="81"/>
      <c r="B557" s="69"/>
      <c r="C557" s="11"/>
      <c r="D557" s="82"/>
      <c r="E557" s="82"/>
      <c r="F557" s="84"/>
      <c r="G557" s="82"/>
      <c r="H557" s="11"/>
      <c r="I557" s="69"/>
      <c r="J557" s="78"/>
      <c r="K557" s="78"/>
      <c r="L557" s="83"/>
    </row>
    <row r="558" spans="1:12" x14ac:dyDescent="0.25">
      <c r="A558" s="81"/>
      <c r="B558" s="69"/>
      <c r="C558" s="11"/>
      <c r="D558" s="82"/>
      <c r="E558" s="82"/>
      <c r="F558" s="84"/>
      <c r="G558" s="82"/>
      <c r="H558" s="11"/>
      <c r="I558" s="69"/>
      <c r="J558" s="78"/>
      <c r="K558" s="78"/>
      <c r="L558" s="83"/>
    </row>
    <row r="559" spans="1:12" x14ac:dyDescent="0.25">
      <c r="A559" s="81"/>
      <c r="B559" s="69"/>
      <c r="C559" s="11"/>
      <c r="D559" s="82"/>
      <c r="E559" s="82"/>
      <c r="F559" s="84"/>
      <c r="G559" s="82"/>
      <c r="H559" s="11"/>
      <c r="I559" s="69"/>
      <c r="J559" s="78"/>
      <c r="K559" s="78"/>
      <c r="L559" s="83"/>
    </row>
    <row r="560" spans="1:12" x14ac:dyDescent="0.25">
      <c r="A560" s="81"/>
      <c r="B560" s="69"/>
      <c r="C560" s="11"/>
      <c r="D560" s="82"/>
      <c r="E560" s="82"/>
      <c r="F560" s="84"/>
      <c r="G560" s="82"/>
      <c r="H560" s="11"/>
      <c r="I560" s="69"/>
      <c r="J560" s="78"/>
      <c r="K560" s="78"/>
      <c r="L560" s="83"/>
    </row>
    <row r="561" spans="1:12" x14ac:dyDescent="0.25">
      <c r="A561" s="81"/>
      <c r="B561" s="69"/>
      <c r="C561" s="11"/>
      <c r="D561" s="82"/>
      <c r="E561" s="82"/>
      <c r="F561" s="84"/>
      <c r="G561" s="82"/>
      <c r="H561" s="11"/>
      <c r="I561" s="69"/>
      <c r="J561" s="78"/>
      <c r="K561" s="78"/>
      <c r="L561" s="83"/>
    </row>
    <row r="562" spans="1:12" x14ac:dyDescent="0.25">
      <c r="A562" s="81"/>
      <c r="B562" s="69"/>
      <c r="C562" s="11"/>
      <c r="D562" s="82"/>
      <c r="E562" s="82"/>
      <c r="F562" s="84"/>
      <c r="G562" s="82"/>
      <c r="H562" s="11"/>
      <c r="I562" s="69"/>
      <c r="J562" s="78"/>
      <c r="K562" s="78"/>
      <c r="L562" s="83"/>
    </row>
    <row r="563" spans="1:12" x14ac:dyDescent="0.25">
      <c r="A563" s="81"/>
      <c r="B563" s="69"/>
      <c r="C563" s="11"/>
      <c r="D563" s="82"/>
      <c r="E563" s="82"/>
      <c r="F563" s="84"/>
      <c r="G563" s="82"/>
      <c r="H563" s="11"/>
      <c r="I563" s="69"/>
      <c r="J563" s="78"/>
      <c r="K563" s="78"/>
      <c r="L563" s="83"/>
    </row>
    <row r="564" spans="1:12" x14ac:dyDescent="0.25">
      <c r="A564" s="81"/>
      <c r="B564" s="69"/>
      <c r="C564" s="11"/>
      <c r="D564" s="82"/>
      <c r="E564" s="82"/>
      <c r="F564" s="84"/>
      <c r="G564" s="82"/>
      <c r="H564" s="11"/>
      <c r="I564" s="69"/>
      <c r="J564" s="78"/>
      <c r="K564" s="78"/>
      <c r="L564" s="83"/>
    </row>
    <row r="565" spans="1:12" x14ac:dyDescent="0.25">
      <c r="A565" s="81"/>
      <c r="B565" s="69"/>
      <c r="C565" s="11"/>
      <c r="D565" s="82"/>
      <c r="E565" s="82"/>
      <c r="F565" s="84"/>
      <c r="G565" s="82"/>
      <c r="H565" s="11"/>
      <c r="I565" s="69"/>
      <c r="J565" s="78"/>
      <c r="K565" s="78"/>
      <c r="L565" s="83"/>
    </row>
    <row r="566" spans="1:12" x14ac:dyDescent="0.25">
      <c r="A566" s="81"/>
      <c r="B566" s="69"/>
      <c r="C566" s="11"/>
      <c r="D566" s="82"/>
      <c r="E566" s="82"/>
      <c r="F566" s="84"/>
      <c r="G566" s="82"/>
      <c r="H566" s="11"/>
      <c r="I566" s="69"/>
      <c r="J566" s="78"/>
      <c r="K566" s="78"/>
      <c r="L566" s="83"/>
    </row>
    <row r="567" spans="1:12" x14ac:dyDescent="0.25">
      <c r="A567" s="81"/>
      <c r="B567" s="69"/>
      <c r="C567" s="11"/>
      <c r="D567" s="82"/>
      <c r="E567" s="82"/>
      <c r="F567" s="84"/>
      <c r="G567" s="82"/>
      <c r="H567" s="11"/>
      <c r="I567" s="69"/>
      <c r="J567" s="78"/>
      <c r="K567" s="78"/>
      <c r="L567" s="83"/>
    </row>
    <row r="568" spans="1:12" x14ac:dyDescent="0.25">
      <c r="A568" s="81"/>
      <c r="B568" s="69"/>
      <c r="C568" s="11"/>
      <c r="D568" s="82"/>
      <c r="E568" s="82"/>
      <c r="F568" s="84"/>
      <c r="G568" s="82"/>
      <c r="H568" s="11"/>
      <c r="I568" s="69"/>
      <c r="J568" s="78"/>
      <c r="K568" s="78"/>
      <c r="L568" s="83"/>
    </row>
    <row r="569" spans="1:12" x14ac:dyDescent="0.25">
      <c r="A569" s="81"/>
      <c r="B569" s="69"/>
      <c r="C569" s="11"/>
      <c r="D569" s="82"/>
      <c r="E569" s="82"/>
      <c r="F569" s="84"/>
      <c r="G569" s="82"/>
      <c r="H569" s="11"/>
      <c r="I569" s="69"/>
      <c r="J569" s="78"/>
      <c r="K569" s="78"/>
      <c r="L569" s="83"/>
    </row>
    <row r="570" spans="1:12" x14ac:dyDescent="0.25">
      <c r="A570" s="81"/>
      <c r="B570" s="69"/>
      <c r="C570" s="11"/>
      <c r="D570" s="82"/>
      <c r="E570" s="82"/>
      <c r="F570" s="84"/>
      <c r="G570" s="82"/>
      <c r="H570" s="11"/>
      <c r="I570" s="69"/>
      <c r="J570" s="78"/>
      <c r="K570" s="78"/>
      <c r="L570" s="83"/>
    </row>
    <row r="571" spans="1:12" x14ac:dyDescent="0.25">
      <c r="A571" s="81"/>
      <c r="B571" s="69"/>
      <c r="C571" s="11"/>
      <c r="D571" s="82"/>
      <c r="E571" s="82"/>
      <c r="F571" s="84"/>
      <c r="G571" s="82"/>
      <c r="H571" s="11"/>
      <c r="I571" s="69"/>
      <c r="J571" s="78"/>
      <c r="K571" s="78"/>
      <c r="L571" s="83"/>
    </row>
    <row r="572" spans="1:12" x14ac:dyDescent="0.25">
      <c r="A572" s="81"/>
      <c r="B572" s="69"/>
      <c r="C572" s="11"/>
      <c r="D572" s="82"/>
      <c r="E572" s="82"/>
      <c r="F572" s="84"/>
      <c r="G572" s="82"/>
      <c r="H572" s="11"/>
      <c r="I572" s="69"/>
      <c r="J572" s="78"/>
      <c r="K572" s="78"/>
      <c r="L572" s="83"/>
    </row>
    <row r="573" spans="1:12" x14ac:dyDescent="0.25">
      <c r="A573" s="81"/>
      <c r="B573" s="69"/>
      <c r="C573" s="11"/>
      <c r="D573" s="82"/>
      <c r="E573" s="82"/>
      <c r="F573" s="84"/>
      <c r="G573" s="82"/>
      <c r="H573" s="11"/>
      <c r="I573" s="69"/>
      <c r="J573" s="78"/>
      <c r="K573" s="78"/>
      <c r="L573" s="83"/>
    </row>
    <row r="574" spans="1:12" x14ac:dyDescent="0.25">
      <c r="A574" s="81"/>
      <c r="B574" s="69"/>
      <c r="C574" s="11"/>
      <c r="D574" s="82"/>
      <c r="E574" s="82"/>
      <c r="F574" s="84"/>
      <c r="G574" s="82"/>
      <c r="H574" s="11"/>
      <c r="I574" s="69"/>
      <c r="J574" s="78"/>
      <c r="K574" s="78"/>
      <c r="L574" s="83"/>
    </row>
    <row r="575" spans="1:12" x14ac:dyDescent="0.25">
      <c r="A575" s="81"/>
      <c r="B575" s="69"/>
      <c r="C575" s="11"/>
      <c r="D575" s="82"/>
      <c r="E575" s="82"/>
      <c r="F575" s="84"/>
      <c r="G575" s="82"/>
      <c r="H575" s="11"/>
      <c r="I575" s="69"/>
      <c r="J575" s="78"/>
      <c r="K575" s="78"/>
      <c r="L575" s="83"/>
    </row>
    <row r="576" spans="1:12" x14ac:dyDescent="0.25">
      <c r="A576" s="81"/>
      <c r="B576" s="69"/>
      <c r="C576" s="11"/>
      <c r="D576" s="82"/>
      <c r="E576" s="82"/>
      <c r="F576" s="84"/>
      <c r="G576" s="82"/>
      <c r="H576" s="11"/>
      <c r="I576" s="69"/>
      <c r="J576" s="78"/>
      <c r="K576" s="78"/>
      <c r="L576" s="83"/>
    </row>
    <row r="577" spans="1:12" x14ac:dyDescent="0.25">
      <c r="A577" s="81"/>
      <c r="B577" s="69"/>
      <c r="C577" s="11"/>
      <c r="D577" s="82"/>
      <c r="E577" s="82"/>
      <c r="F577" s="84"/>
      <c r="G577" s="82"/>
      <c r="H577" s="11"/>
      <c r="I577" s="69"/>
      <c r="J577" s="78"/>
      <c r="K577" s="78"/>
      <c r="L577" s="83"/>
    </row>
    <row r="578" spans="1:12" x14ac:dyDescent="0.25">
      <c r="A578" s="81"/>
      <c r="B578" s="69"/>
      <c r="C578" s="11"/>
      <c r="D578" s="82"/>
      <c r="E578" s="82"/>
      <c r="F578" s="84"/>
      <c r="G578" s="82"/>
      <c r="H578" s="11"/>
      <c r="I578" s="69"/>
      <c r="J578" s="78"/>
      <c r="K578" s="78"/>
      <c r="L578" s="83"/>
    </row>
    <row r="579" spans="1:12" x14ac:dyDescent="0.25">
      <c r="A579" s="81"/>
      <c r="B579" s="69"/>
      <c r="C579" s="11"/>
      <c r="D579" s="82"/>
      <c r="E579" s="82"/>
      <c r="F579" s="84"/>
      <c r="G579" s="82"/>
      <c r="H579" s="11"/>
      <c r="I579" s="69"/>
      <c r="J579" s="78"/>
      <c r="K579" s="78"/>
      <c r="L579" s="83"/>
    </row>
    <row r="580" spans="1:12" x14ac:dyDescent="0.25">
      <c r="A580" s="81"/>
      <c r="B580" s="69"/>
      <c r="C580" s="11"/>
      <c r="D580" s="82"/>
      <c r="E580" s="82"/>
      <c r="F580" s="84"/>
      <c r="G580" s="82"/>
      <c r="H580" s="11"/>
      <c r="I580" s="69"/>
      <c r="J580" s="78"/>
      <c r="K580" s="78"/>
      <c r="L580" s="83"/>
    </row>
    <row r="581" spans="1:12" x14ac:dyDescent="0.25">
      <c r="A581" s="81"/>
      <c r="B581" s="69"/>
      <c r="C581" s="11"/>
      <c r="D581" s="82"/>
      <c r="E581" s="82"/>
      <c r="F581" s="84"/>
      <c r="G581" s="82"/>
      <c r="H581" s="11"/>
      <c r="I581" s="69"/>
      <c r="J581" s="78"/>
      <c r="K581" s="78"/>
      <c r="L581" s="83"/>
    </row>
    <row r="582" spans="1:12" x14ac:dyDescent="0.25">
      <c r="A582" s="81"/>
      <c r="B582" s="69"/>
      <c r="C582" s="11"/>
      <c r="D582" s="82"/>
      <c r="E582" s="82"/>
      <c r="F582" s="84"/>
      <c r="G582" s="82"/>
      <c r="H582" s="11"/>
      <c r="I582" s="69"/>
      <c r="J582" s="78"/>
      <c r="K582" s="78"/>
      <c r="L582" s="83"/>
    </row>
    <row r="583" spans="1:12" x14ac:dyDescent="0.25">
      <c r="A583" s="81"/>
      <c r="B583" s="69"/>
      <c r="C583" s="11"/>
      <c r="D583" s="82"/>
      <c r="E583" s="82"/>
      <c r="F583" s="84"/>
      <c r="G583" s="82"/>
      <c r="H583" s="11"/>
      <c r="I583" s="69"/>
      <c r="J583" s="78"/>
      <c r="K583" s="78"/>
      <c r="L583" s="83"/>
    </row>
    <row r="584" spans="1:12" x14ac:dyDescent="0.25">
      <c r="A584" s="81"/>
      <c r="B584" s="69"/>
      <c r="C584" s="11"/>
      <c r="D584" s="82"/>
      <c r="E584" s="82"/>
      <c r="F584" s="84"/>
      <c r="G584" s="82"/>
      <c r="H584" s="11"/>
      <c r="I584" s="69"/>
      <c r="J584" s="78"/>
      <c r="K584" s="78"/>
      <c r="L584" s="83"/>
    </row>
    <row r="585" spans="1:12" x14ac:dyDescent="0.25">
      <c r="A585" s="81"/>
      <c r="B585" s="69"/>
      <c r="C585" s="11"/>
      <c r="D585" s="82"/>
      <c r="E585" s="82"/>
      <c r="F585" s="84"/>
      <c r="G585" s="82"/>
      <c r="H585" s="11"/>
      <c r="I585" s="69"/>
      <c r="J585" s="78"/>
      <c r="K585" s="78"/>
      <c r="L585" s="83"/>
    </row>
    <row r="586" spans="1:12" x14ac:dyDescent="0.25">
      <c r="A586" s="81"/>
      <c r="B586" s="69"/>
      <c r="C586" s="11"/>
      <c r="D586" s="82"/>
      <c r="E586" s="82"/>
      <c r="F586" s="84"/>
      <c r="G586" s="82"/>
      <c r="H586" s="11"/>
      <c r="I586" s="69"/>
      <c r="J586" s="78"/>
      <c r="K586" s="78"/>
      <c r="L586" s="83"/>
    </row>
    <row r="587" spans="1:12" x14ac:dyDescent="0.25">
      <c r="A587" s="81"/>
      <c r="B587" s="69"/>
      <c r="C587" s="11"/>
      <c r="D587" s="82"/>
      <c r="E587" s="82"/>
      <c r="F587" s="84"/>
      <c r="G587" s="82"/>
      <c r="H587" s="11"/>
      <c r="I587" s="69"/>
      <c r="J587" s="78"/>
      <c r="K587" s="78"/>
      <c r="L587" s="83"/>
    </row>
    <row r="588" spans="1:12" x14ac:dyDescent="0.25">
      <c r="A588" s="81"/>
      <c r="B588" s="69"/>
      <c r="C588" s="11"/>
      <c r="D588" s="82"/>
      <c r="E588" s="82"/>
      <c r="F588" s="84"/>
      <c r="G588" s="82"/>
      <c r="H588" s="11"/>
      <c r="I588" s="69"/>
      <c r="J588" s="78"/>
      <c r="K588" s="78"/>
      <c r="L588" s="83"/>
    </row>
    <row r="589" spans="1:12" x14ac:dyDescent="0.25">
      <c r="A589" s="81"/>
      <c r="B589" s="69"/>
      <c r="C589" s="11"/>
      <c r="D589" s="82"/>
      <c r="E589" s="82"/>
      <c r="F589" s="84"/>
      <c r="G589" s="82"/>
      <c r="H589" s="11"/>
      <c r="I589" s="69"/>
      <c r="J589" s="78"/>
      <c r="K589" s="78"/>
      <c r="L589" s="83"/>
    </row>
    <row r="590" spans="1:12" x14ac:dyDescent="0.25">
      <c r="A590" s="81"/>
      <c r="B590" s="69"/>
      <c r="C590" s="11"/>
      <c r="D590" s="82"/>
      <c r="E590" s="82"/>
      <c r="F590" s="84"/>
      <c r="G590" s="82"/>
      <c r="H590" s="11"/>
      <c r="I590" s="69"/>
      <c r="J590" s="78"/>
      <c r="K590" s="78"/>
      <c r="L590" s="83"/>
    </row>
    <row r="591" spans="1:12" x14ac:dyDescent="0.25">
      <c r="A591" s="81"/>
      <c r="B591" s="69"/>
      <c r="C591" s="11"/>
      <c r="D591" s="82"/>
      <c r="E591" s="82"/>
      <c r="F591" s="84"/>
      <c r="G591" s="82"/>
      <c r="H591" s="11"/>
      <c r="I591" s="69"/>
      <c r="J591" s="78"/>
      <c r="K591" s="78"/>
      <c r="L591" s="83"/>
    </row>
    <row r="592" spans="1:12" x14ac:dyDescent="0.25">
      <c r="A592" s="81"/>
      <c r="B592" s="69"/>
      <c r="C592" s="11"/>
      <c r="D592" s="82"/>
      <c r="E592" s="82"/>
      <c r="F592" s="84"/>
      <c r="G592" s="82"/>
      <c r="H592" s="11"/>
      <c r="I592" s="69"/>
      <c r="J592" s="78"/>
      <c r="K592" s="78"/>
      <c r="L592" s="83"/>
    </row>
    <row r="593" spans="1:12" x14ac:dyDescent="0.25">
      <c r="A593" s="81"/>
      <c r="B593" s="69"/>
      <c r="C593" s="11"/>
      <c r="D593" s="82"/>
      <c r="E593" s="82"/>
      <c r="F593" s="84"/>
      <c r="G593" s="82"/>
      <c r="H593" s="11"/>
      <c r="I593" s="69"/>
      <c r="J593" s="78"/>
      <c r="K593" s="78"/>
      <c r="L593" s="83"/>
    </row>
    <row r="594" spans="1:12" x14ac:dyDescent="0.25">
      <c r="A594" s="81"/>
      <c r="B594" s="69"/>
      <c r="C594" s="11"/>
      <c r="D594" s="82"/>
      <c r="E594" s="82"/>
      <c r="F594" s="84"/>
      <c r="G594" s="82"/>
      <c r="H594" s="11"/>
      <c r="I594" s="69"/>
      <c r="J594" s="78"/>
      <c r="K594" s="78"/>
      <c r="L594" s="83"/>
    </row>
    <row r="595" spans="1:12" x14ac:dyDescent="0.25">
      <c r="A595" s="81"/>
      <c r="B595" s="69"/>
      <c r="C595" s="11"/>
      <c r="D595" s="82"/>
      <c r="E595" s="82"/>
      <c r="F595" s="84"/>
      <c r="G595" s="82"/>
      <c r="H595" s="11"/>
      <c r="I595" s="69"/>
      <c r="J595" s="78"/>
      <c r="K595" s="78"/>
      <c r="L595" s="83"/>
    </row>
    <row r="596" spans="1:12" x14ac:dyDescent="0.25">
      <c r="A596" s="81"/>
      <c r="B596" s="69"/>
      <c r="C596" s="11"/>
      <c r="D596" s="82"/>
      <c r="E596" s="82"/>
      <c r="F596" s="84"/>
      <c r="G596" s="82"/>
      <c r="H596" s="11"/>
      <c r="I596" s="69"/>
      <c r="J596" s="78"/>
      <c r="K596" s="78"/>
      <c r="L596" s="83"/>
    </row>
    <row r="597" spans="1:12" x14ac:dyDescent="0.25">
      <c r="A597" s="81"/>
      <c r="B597" s="69"/>
      <c r="C597" s="11"/>
      <c r="D597" s="82"/>
      <c r="E597" s="82"/>
      <c r="F597" s="84"/>
      <c r="G597" s="82"/>
      <c r="H597" s="11"/>
      <c r="I597" s="69"/>
      <c r="J597" s="78"/>
      <c r="K597" s="78"/>
      <c r="L597" s="83"/>
    </row>
    <row r="598" spans="1:12" x14ac:dyDescent="0.25">
      <c r="A598" s="81"/>
      <c r="B598" s="69"/>
      <c r="C598" s="11"/>
      <c r="D598" s="82"/>
      <c r="E598" s="82"/>
      <c r="F598" s="84"/>
      <c r="G598" s="82"/>
      <c r="H598" s="11"/>
      <c r="I598" s="69"/>
      <c r="J598" s="78"/>
      <c r="K598" s="78"/>
      <c r="L598" s="83"/>
    </row>
    <row r="599" spans="1:12" x14ac:dyDescent="0.25">
      <c r="A599" s="81"/>
      <c r="B599" s="69"/>
      <c r="C599" s="11"/>
      <c r="D599" s="82"/>
      <c r="E599" s="82"/>
      <c r="F599" s="84"/>
      <c r="G599" s="82"/>
      <c r="H599" s="11"/>
      <c r="I599" s="69"/>
      <c r="J599" s="78"/>
      <c r="K599" s="78"/>
      <c r="L599" s="83"/>
    </row>
    <row r="600" spans="1:12" x14ac:dyDescent="0.25">
      <c r="A600" s="81"/>
      <c r="B600" s="69"/>
      <c r="C600" s="11"/>
      <c r="D600" s="82"/>
      <c r="E600" s="82"/>
      <c r="F600" s="84"/>
      <c r="G600" s="82"/>
      <c r="H600" s="11"/>
      <c r="I600" s="69"/>
      <c r="J600" s="78"/>
      <c r="K600" s="78"/>
      <c r="L600" s="83"/>
    </row>
    <row r="601" spans="1:12" x14ac:dyDescent="0.25">
      <c r="A601" s="81"/>
      <c r="B601" s="69"/>
      <c r="C601" s="11"/>
      <c r="D601" s="82"/>
      <c r="E601" s="82"/>
      <c r="F601" s="84"/>
      <c r="G601" s="82"/>
      <c r="H601" s="11"/>
      <c r="I601" s="69"/>
      <c r="J601" s="78"/>
      <c r="K601" s="78"/>
      <c r="L601" s="83"/>
    </row>
    <row r="602" spans="1:12" x14ac:dyDescent="0.25">
      <c r="A602" s="81"/>
      <c r="B602" s="69"/>
      <c r="C602" s="11"/>
      <c r="D602" s="82"/>
      <c r="E602" s="82"/>
      <c r="F602" s="84"/>
      <c r="G602" s="82"/>
      <c r="H602" s="11"/>
      <c r="I602" s="69"/>
      <c r="J602" s="78"/>
      <c r="K602" s="78"/>
      <c r="L602" s="83"/>
    </row>
    <row r="603" spans="1:12" x14ac:dyDescent="0.25">
      <c r="A603" s="81"/>
      <c r="B603" s="69"/>
      <c r="C603" s="11"/>
      <c r="D603" s="82"/>
      <c r="E603" s="82"/>
      <c r="F603" s="84"/>
      <c r="G603" s="82"/>
      <c r="H603" s="11"/>
      <c r="I603" s="69"/>
      <c r="J603" s="78"/>
      <c r="K603" s="78"/>
      <c r="L603" s="83"/>
    </row>
    <row r="604" spans="1:12" x14ac:dyDescent="0.25">
      <c r="A604" s="81"/>
      <c r="B604" s="69"/>
      <c r="C604" s="11"/>
      <c r="D604" s="82"/>
      <c r="E604" s="82"/>
      <c r="F604" s="84"/>
      <c r="G604" s="82"/>
      <c r="H604" s="11"/>
      <c r="I604" s="69"/>
      <c r="J604" s="78"/>
      <c r="K604" s="78"/>
      <c r="L604" s="83"/>
    </row>
    <row r="605" spans="1:12" x14ac:dyDescent="0.25">
      <c r="A605" s="81"/>
      <c r="B605" s="69"/>
      <c r="C605" s="11"/>
      <c r="D605" s="82"/>
      <c r="E605" s="82"/>
      <c r="F605" s="84"/>
      <c r="G605" s="82"/>
      <c r="H605" s="11"/>
      <c r="I605" s="69"/>
      <c r="J605" s="78"/>
      <c r="K605" s="78"/>
      <c r="L605" s="83"/>
    </row>
    <row r="606" spans="1:12" x14ac:dyDescent="0.25">
      <c r="A606" s="81"/>
      <c r="B606" s="69"/>
      <c r="C606" s="11"/>
      <c r="D606" s="82"/>
      <c r="E606" s="82"/>
      <c r="F606" s="84"/>
      <c r="G606" s="82"/>
      <c r="H606" s="11"/>
      <c r="I606" s="69"/>
      <c r="J606" s="78"/>
      <c r="K606" s="78"/>
      <c r="L606" s="83"/>
    </row>
    <row r="607" spans="1:12" x14ac:dyDescent="0.25">
      <c r="A607" s="81"/>
      <c r="B607" s="69"/>
      <c r="C607" s="11"/>
      <c r="D607" s="82"/>
      <c r="E607" s="82"/>
      <c r="F607" s="84"/>
      <c r="G607" s="82"/>
      <c r="H607" s="11"/>
      <c r="I607" s="69"/>
      <c r="J607" s="78"/>
      <c r="K607" s="78"/>
      <c r="L607" s="83"/>
    </row>
    <row r="608" spans="1:12" x14ac:dyDescent="0.25">
      <c r="A608" s="81"/>
      <c r="B608" s="69"/>
      <c r="C608" s="11"/>
      <c r="D608" s="82"/>
      <c r="E608" s="82"/>
      <c r="F608" s="84"/>
      <c r="G608" s="82"/>
      <c r="H608" s="11"/>
      <c r="I608" s="69"/>
      <c r="J608" s="78"/>
      <c r="K608" s="78"/>
      <c r="L608" s="83"/>
    </row>
    <row r="609" spans="1:12" x14ac:dyDescent="0.25">
      <c r="A609" s="81"/>
      <c r="B609" s="69"/>
      <c r="C609" s="11"/>
      <c r="D609" s="82"/>
      <c r="E609" s="82"/>
      <c r="F609" s="84"/>
      <c r="G609" s="82"/>
      <c r="H609" s="11"/>
      <c r="I609" s="69"/>
      <c r="J609" s="78"/>
      <c r="K609" s="78"/>
      <c r="L609" s="83"/>
    </row>
    <row r="610" spans="1:12" x14ac:dyDescent="0.25">
      <c r="A610" s="81"/>
      <c r="B610" s="69"/>
      <c r="C610" s="11"/>
      <c r="D610" s="82"/>
      <c r="E610" s="82"/>
      <c r="F610" s="84"/>
      <c r="G610" s="82"/>
      <c r="H610" s="11"/>
      <c r="I610" s="69"/>
      <c r="J610" s="78"/>
      <c r="K610" s="78"/>
      <c r="L610" s="83"/>
    </row>
    <row r="611" spans="1:12" x14ac:dyDescent="0.25">
      <c r="A611" s="81"/>
      <c r="B611" s="69"/>
      <c r="C611" s="11"/>
      <c r="D611" s="82"/>
      <c r="E611" s="82"/>
      <c r="F611" s="84"/>
      <c r="G611" s="82"/>
      <c r="H611" s="11"/>
      <c r="I611" s="69"/>
      <c r="J611" s="78"/>
      <c r="K611" s="78"/>
      <c r="L611" s="83"/>
    </row>
    <row r="612" spans="1:12" x14ac:dyDescent="0.25">
      <c r="A612" s="81"/>
      <c r="B612" s="69"/>
      <c r="C612" s="11"/>
      <c r="D612" s="82"/>
      <c r="E612" s="82"/>
      <c r="F612" s="84"/>
      <c r="G612" s="82"/>
      <c r="H612" s="11"/>
      <c r="I612" s="69"/>
      <c r="J612" s="78"/>
      <c r="K612" s="78"/>
      <c r="L612" s="83"/>
    </row>
    <row r="613" spans="1:12" x14ac:dyDescent="0.25">
      <c r="A613" s="81"/>
      <c r="B613" s="69"/>
      <c r="C613" s="11"/>
      <c r="D613" s="82"/>
      <c r="E613" s="82"/>
      <c r="F613" s="84"/>
      <c r="G613" s="82"/>
      <c r="H613" s="11"/>
      <c r="I613" s="69"/>
      <c r="J613" s="78"/>
      <c r="K613" s="78"/>
      <c r="L613" s="83"/>
    </row>
    <row r="614" spans="1:12" x14ac:dyDescent="0.25">
      <c r="A614" s="81"/>
      <c r="B614" s="69"/>
      <c r="C614" s="11"/>
      <c r="D614" s="82"/>
      <c r="E614" s="82"/>
      <c r="F614" s="84"/>
      <c r="G614" s="82"/>
      <c r="H614" s="11"/>
      <c r="I614" s="69"/>
      <c r="J614" s="78"/>
      <c r="K614" s="78"/>
      <c r="L614" s="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abSelected="1" zoomScaleNormal="100" workbookViewId="0">
      <selection activeCell="B4" sqref="B4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1038</v>
      </c>
      <c r="E1" s="39" t="s">
        <v>906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902</v>
      </c>
      <c r="S1" s="39" t="s">
        <v>1024</v>
      </c>
      <c r="T1" s="39" t="s">
        <v>1027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6305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1019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819</v>
      </c>
      <c r="L2" s="41" t="s">
        <v>823</v>
      </c>
      <c r="M2" s="41" t="s">
        <v>825</v>
      </c>
      <c r="N2" s="41" t="s">
        <v>842</v>
      </c>
      <c r="O2" s="48">
        <v>1</v>
      </c>
      <c r="P2" s="41" t="s">
        <v>843</v>
      </c>
      <c r="Q2" s="41" t="s">
        <v>845</v>
      </c>
      <c r="R2" s="41" t="s">
        <v>910</v>
      </c>
      <c r="S2" s="41" t="s">
        <v>1022</v>
      </c>
      <c r="T2" s="41" t="s">
        <v>857</v>
      </c>
      <c r="U2" s="49" t="s">
        <v>851</v>
      </c>
      <c r="V2" s="49" t="s">
        <v>851</v>
      </c>
      <c r="W2" s="49" t="s">
        <v>851</v>
      </c>
      <c r="X2" s="49" t="s">
        <v>852</v>
      </c>
      <c r="Y2" s="49" t="s">
        <v>852</v>
      </c>
      <c r="Z2" s="49" t="s">
        <v>852</v>
      </c>
      <c r="AA2" s="49" t="s">
        <v>848</v>
      </c>
      <c r="AB2" s="49" t="s">
        <v>851</v>
      </c>
      <c r="AC2" s="49" t="s">
        <v>851</v>
      </c>
      <c r="AD2" s="49" t="s">
        <v>851</v>
      </c>
      <c r="AE2" s="49" t="s">
        <v>851</v>
      </c>
      <c r="AF2" s="49" t="s">
        <v>851</v>
      </c>
      <c r="AG2" s="49" t="s">
        <v>851</v>
      </c>
    </row>
    <row r="3" spans="1:33" x14ac:dyDescent="0.25">
      <c r="A3" s="40">
        <v>2000002</v>
      </c>
      <c r="B3" s="40" t="s">
        <v>4431</v>
      </c>
      <c r="C3" s="41" t="s">
        <v>904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1019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1056</v>
      </c>
      <c r="K3" s="41" t="s">
        <v>821</v>
      </c>
      <c r="L3" s="46">
        <v>140000</v>
      </c>
      <c r="M3" s="41" t="s">
        <v>826</v>
      </c>
      <c r="N3" s="41" t="s">
        <v>842</v>
      </c>
      <c r="O3" s="48">
        <v>1</v>
      </c>
      <c r="P3" s="41" t="s">
        <v>843</v>
      </c>
      <c r="Q3" s="41" t="s">
        <v>1018</v>
      </c>
      <c r="R3" s="41" t="s">
        <v>1028</v>
      </c>
      <c r="S3" s="41" t="s">
        <v>1023</v>
      </c>
      <c r="T3" s="41" t="s">
        <v>898</v>
      </c>
      <c r="U3" s="49" t="s">
        <v>851</v>
      </c>
      <c r="V3" s="49" t="s">
        <v>851</v>
      </c>
      <c r="W3" s="49" t="s">
        <v>851</v>
      </c>
      <c r="X3" s="49" t="s">
        <v>853</v>
      </c>
      <c r="Y3" s="49" t="s">
        <v>851</v>
      </c>
      <c r="Z3" s="49" t="s">
        <v>851</v>
      </c>
      <c r="AA3" s="49" t="s">
        <v>848</v>
      </c>
      <c r="AB3" s="49" t="s">
        <v>851</v>
      </c>
      <c r="AC3" s="49" t="s">
        <v>851</v>
      </c>
      <c r="AD3" s="49" t="s">
        <v>851</v>
      </c>
      <c r="AE3" s="49" t="s">
        <v>851</v>
      </c>
      <c r="AF3" s="49" t="s">
        <v>851</v>
      </c>
      <c r="AG3" s="49" t="s">
        <v>851</v>
      </c>
    </row>
    <row r="4" spans="1:33" x14ac:dyDescent="0.25">
      <c r="A4" s="40">
        <v>2000003</v>
      </c>
      <c r="B4" s="40" t="s">
        <v>4451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1020</v>
      </c>
      <c r="F4" s="41" t="s">
        <v>1037</v>
      </c>
      <c r="G4" s="41" t="s">
        <v>26</v>
      </c>
      <c r="H4" s="41" t="s">
        <v>1029</v>
      </c>
      <c r="I4" s="43">
        <v>45627</v>
      </c>
      <c r="J4" s="41" t="s">
        <v>818</v>
      </c>
      <c r="K4" s="41" t="s">
        <v>822</v>
      </c>
      <c r="L4" s="41" t="s">
        <v>823</v>
      </c>
      <c r="M4" s="41" t="s">
        <v>827</v>
      </c>
      <c r="N4" s="41" t="s">
        <v>842</v>
      </c>
      <c r="O4" s="48">
        <v>0</v>
      </c>
      <c r="P4" s="41" t="s">
        <v>843</v>
      </c>
      <c r="Q4" s="41" t="s">
        <v>846</v>
      </c>
      <c r="R4" s="41" t="s">
        <v>903</v>
      </c>
      <c r="S4" s="41" t="s">
        <v>851</v>
      </c>
      <c r="T4" s="41" t="s">
        <v>851</v>
      </c>
      <c r="U4" s="49" t="s">
        <v>851</v>
      </c>
      <c r="V4" s="49" t="s">
        <v>851</v>
      </c>
      <c r="W4" s="49" t="s">
        <v>851</v>
      </c>
      <c r="X4" s="49" t="s">
        <v>851</v>
      </c>
      <c r="Y4" s="49" t="s">
        <v>868</v>
      </c>
      <c r="Z4" s="49" t="s">
        <v>851</v>
      </c>
      <c r="AA4" s="49" t="s">
        <v>848</v>
      </c>
      <c r="AB4" s="49" t="s">
        <v>851</v>
      </c>
      <c r="AC4" s="49" t="s">
        <v>854</v>
      </c>
      <c r="AD4" s="49" t="s">
        <v>854</v>
      </c>
      <c r="AE4" s="49" t="s">
        <v>854</v>
      </c>
      <c r="AF4" s="49" t="s">
        <v>855</v>
      </c>
      <c r="AG4" s="49" t="s">
        <v>851</v>
      </c>
    </row>
    <row r="5" spans="1:33" x14ac:dyDescent="0.25">
      <c r="A5" s="40">
        <v>2000004</v>
      </c>
      <c r="B5" s="40" t="s">
        <v>141</v>
      </c>
      <c r="C5" s="41" t="s">
        <v>905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1020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822</v>
      </c>
      <c r="L5" s="41" t="s">
        <v>823</v>
      </c>
      <c r="M5" s="41" t="s">
        <v>824</v>
      </c>
      <c r="N5" s="41" t="s">
        <v>842</v>
      </c>
      <c r="O5" s="48">
        <v>0</v>
      </c>
      <c r="P5" s="41" t="s">
        <v>843</v>
      </c>
      <c r="Q5" s="41" t="s">
        <v>845</v>
      </c>
      <c r="R5" s="41" t="s">
        <v>1054</v>
      </c>
      <c r="S5" s="41" t="s">
        <v>851</v>
      </c>
      <c r="T5" s="41" t="s">
        <v>851</v>
      </c>
      <c r="U5" s="49" t="s">
        <v>851</v>
      </c>
      <c r="V5" s="49" t="s">
        <v>851</v>
      </c>
      <c r="W5" s="49" t="s">
        <v>851</v>
      </c>
      <c r="X5" s="49" t="s">
        <v>857</v>
      </c>
      <c r="Y5" s="49" t="s">
        <v>857</v>
      </c>
      <c r="Z5" s="49" t="s">
        <v>857</v>
      </c>
      <c r="AA5" s="49" t="s">
        <v>848</v>
      </c>
      <c r="AB5" s="49" t="s">
        <v>856</v>
      </c>
      <c r="AC5" s="49" t="s">
        <v>856</v>
      </c>
      <c r="AD5" s="49" t="s">
        <v>856</v>
      </c>
      <c r="AE5" s="49" t="s">
        <v>856</v>
      </c>
      <c r="AF5" s="49" t="s">
        <v>855</v>
      </c>
      <c r="AG5" s="49" t="s">
        <v>850</v>
      </c>
    </row>
    <row r="6" spans="1:33" x14ac:dyDescent="0.25">
      <c r="A6" s="40">
        <v>2000005</v>
      </c>
      <c r="B6" s="40" t="s">
        <v>4452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1019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822</v>
      </c>
      <c r="L6" s="41" t="s">
        <v>823</v>
      </c>
      <c r="M6" s="41" t="s">
        <v>828</v>
      </c>
      <c r="N6" s="41" t="s">
        <v>842</v>
      </c>
      <c r="O6" s="48">
        <v>1</v>
      </c>
      <c r="P6" s="41" t="s">
        <v>844</v>
      </c>
      <c r="Q6" s="41" t="s">
        <v>1018</v>
      </c>
      <c r="R6" s="41" t="s">
        <v>910</v>
      </c>
      <c r="S6" s="41" t="s">
        <v>1026</v>
      </c>
      <c r="T6" s="41" t="s">
        <v>899</v>
      </c>
      <c r="U6" s="41" t="s">
        <v>858</v>
      </c>
      <c r="V6" s="41" t="s">
        <v>858</v>
      </c>
      <c r="W6" s="49" t="s">
        <v>858</v>
      </c>
      <c r="X6" s="49" t="s">
        <v>858</v>
      </c>
      <c r="Y6" s="49" t="s">
        <v>858</v>
      </c>
      <c r="Z6" s="49" t="s">
        <v>858</v>
      </c>
      <c r="AA6" s="49" t="s">
        <v>848</v>
      </c>
      <c r="AB6" s="49" t="s">
        <v>859</v>
      </c>
      <c r="AC6" s="49" t="s">
        <v>859</v>
      </c>
      <c r="AD6" s="49" t="s">
        <v>859</v>
      </c>
      <c r="AE6" s="49" t="s">
        <v>859</v>
      </c>
      <c r="AF6" s="49" t="s">
        <v>860</v>
      </c>
      <c r="AG6" s="49" t="s">
        <v>851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1020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822</v>
      </c>
      <c r="L7" s="41" t="s">
        <v>823</v>
      </c>
      <c r="M7" s="41" t="s">
        <v>829</v>
      </c>
      <c r="N7" s="41" t="s">
        <v>842</v>
      </c>
      <c r="O7" s="48">
        <v>0</v>
      </c>
      <c r="P7" s="41" t="s">
        <v>844</v>
      </c>
      <c r="Q7" s="41" t="s">
        <v>1018</v>
      </c>
      <c r="R7" s="41" t="s">
        <v>1054</v>
      </c>
      <c r="S7" s="41" t="s">
        <v>851</v>
      </c>
      <c r="T7" s="41" t="s">
        <v>858</v>
      </c>
      <c r="U7" s="41" t="s">
        <v>858</v>
      </c>
      <c r="V7" s="41" t="s">
        <v>858</v>
      </c>
      <c r="W7" s="49" t="s">
        <v>861</v>
      </c>
      <c r="X7" s="49" t="s">
        <v>862</v>
      </c>
      <c r="Y7" s="49" t="s">
        <v>862</v>
      </c>
      <c r="Z7" s="49" t="s">
        <v>863</v>
      </c>
      <c r="AA7" s="49" t="s">
        <v>848</v>
      </c>
      <c r="AB7" s="49" t="s">
        <v>864</v>
      </c>
      <c r="AC7" s="49" t="s">
        <v>864</v>
      </c>
      <c r="AD7" s="49" t="s">
        <v>864</v>
      </c>
      <c r="AE7" s="49" t="s">
        <v>864</v>
      </c>
      <c r="AF7" s="49" t="s">
        <v>865</v>
      </c>
      <c r="AG7" s="49" t="s">
        <v>850</v>
      </c>
    </row>
    <row r="8" spans="1:33" x14ac:dyDescent="0.25">
      <c r="A8" s="40">
        <v>2000007</v>
      </c>
      <c r="B8" s="40" t="s">
        <v>4453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1020</v>
      </c>
      <c r="F8" s="41" t="s">
        <v>806</v>
      </c>
      <c r="G8" s="41" t="s">
        <v>26</v>
      </c>
      <c r="H8" s="41" t="s">
        <v>1030</v>
      </c>
      <c r="I8" s="43">
        <v>45536</v>
      </c>
      <c r="J8" s="41" t="s">
        <v>818</v>
      </c>
      <c r="K8" s="41" t="s">
        <v>820</v>
      </c>
      <c r="L8" s="44">
        <v>300000</v>
      </c>
      <c r="M8" s="41" t="s">
        <v>830</v>
      </c>
      <c r="N8" s="41" t="s">
        <v>842</v>
      </c>
      <c r="O8" s="48">
        <v>1</v>
      </c>
      <c r="P8" s="41" t="s">
        <v>843</v>
      </c>
      <c r="Q8" s="41" t="s">
        <v>845</v>
      </c>
      <c r="R8" s="41" t="s">
        <v>1016</v>
      </c>
      <c r="S8" s="41" t="s">
        <v>851</v>
      </c>
      <c r="T8" s="41" t="s">
        <v>851</v>
      </c>
      <c r="U8" s="49" t="s">
        <v>851</v>
      </c>
      <c r="V8" s="49" t="s">
        <v>851</v>
      </c>
      <c r="W8" s="49" t="s">
        <v>866</v>
      </c>
      <c r="X8" s="49" t="s">
        <v>867</v>
      </c>
      <c r="Y8" s="49" t="s">
        <v>867</v>
      </c>
      <c r="Z8" s="49" t="s">
        <v>868</v>
      </c>
      <c r="AA8" s="49" t="s">
        <v>848</v>
      </c>
      <c r="AB8" s="49" t="s">
        <v>851</v>
      </c>
      <c r="AC8" s="49" t="s">
        <v>851</v>
      </c>
      <c r="AD8" s="49" t="s">
        <v>851</v>
      </c>
      <c r="AE8" s="49" t="s">
        <v>851</v>
      </c>
      <c r="AF8" s="49" t="s">
        <v>851</v>
      </c>
      <c r="AG8" s="49" t="s">
        <v>851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1020</v>
      </c>
      <c r="F9" s="41" t="s">
        <v>1052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822</v>
      </c>
      <c r="L9" s="41" t="s">
        <v>823</v>
      </c>
      <c r="M9" s="41" t="s">
        <v>26</v>
      </c>
      <c r="N9" s="41" t="s">
        <v>842</v>
      </c>
      <c r="O9" s="48">
        <v>0</v>
      </c>
      <c r="P9" s="41" t="s">
        <v>843</v>
      </c>
      <c r="Q9" s="41" t="s">
        <v>1018</v>
      </c>
      <c r="R9" s="41" t="s">
        <v>903</v>
      </c>
      <c r="S9" s="41" t="s">
        <v>858</v>
      </c>
      <c r="T9" s="41" t="s">
        <v>851</v>
      </c>
      <c r="U9" s="49" t="s">
        <v>851</v>
      </c>
      <c r="V9" s="49" t="s">
        <v>851</v>
      </c>
      <c r="W9" s="49" t="s">
        <v>869</v>
      </c>
      <c r="X9" s="49" t="s">
        <v>870</v>
      </c>
      <c r="Y9" s="49" t="s">
        <v>870</v>
      </c>
      <c r="Z9" s="49" t="s">
        <v>848</v>
      </c>
      <c r="AA9" s="49" t="s">
        <v>849</v>
      </c>
      <c r="AB9" s="49" t="s">
        <v>871</v>
      </c>
      <c r="AC9" s="49" t="s">
        <v>871</v>
      </c>
      <c r="AD9" s="49" t="s">
        <v>871</v>
      </c>
      <c r="AE9" s="49" t="s">
        <v>871</v>
      </c>
      <c r="AF9" s="49" t="s">
        <v>872</v>
      </c>
      <c r="AG9" s="49" t="s">
        <v>851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1020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1056</v>
      </c>
      <c r="K10" s="41" t="s">
        <v>819</v>
      </c>
      <c r="L10" s="46">
        <v>500000</v>
      </c>
      <c r="M10" s="41" t="s">
        <v>831</v>
      </c>
      <c r="N10" s="41" t="s">
        <v>842</v>
      </c>
      <c r="O10" s="48">
        <v>1</v>
      </c>
      <c r="P10" s="41" t="s">
        <v>844</v>
      </c>
      <c r="Q10" s="41" t="s">
        <v>847</v>
      </c>
      <c r="R10" s="41" t="s">
        <v>1016</v>
      </c>
      <c r="S10" s="41" t="s">
        <v>858</v>
      </c>
      <c r="T10" s="41" t="s">
        <v>858</v>
      </c>
      <c r="U10" s="41" t="s">
        <v>858</v>
      </c>
      <c r="V10" s="41" t="s">
        <v>858</v>
      </c>
      <c r="W10" s="49" t="s">
        <v>873</v>
      </c>
      <c r="X10" s="49" t="s">
        <v>874</v>
      </c>
      <c r="Y10" s="49" t="s">
        <v>875</v>
      </c>
      <c r="Z10" s="49" t="s">
        <v>876</v>
      </c>
      <c r="AA10" s="49" t="s">
        <v>848</v>
      </c>
      <c r="AB10" s="49" t="s">
        <v>877</v>
      </c>
      <c r="AC10" s="49" t="s">
        <v>878</v>
      </c>
      <c r="AD10" s="49" t="s">
        <v>878</v>
      </c>
      <c r="AE10" s="49" t="s">
        <v>878</v>
      </c>
      <c r="AF10" s="49" t="s">
        <v>860</v>
      </c>
      <c r="AG10" s="49" t="s">
        <v>851</v>
      </c>
    </row>
    <row r="11" spans="1:33" x14ac:dyDescent="0.25">
      <c r="A11" s="40">
        <v>2000010</v>
      </c>
      <c r="B11" s="40" t="s">
        <v>4454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1020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822</v>
      </c>
      <c r="L11" s="41" t="s">
        <v>823</v>
      </c>
      <c r="M11" s="41" t="s">
        <v>832</v>
      </c>
      <c r="N11" s="41" t="s">
        <v>842</v>
      </c>
      <c r="O11" s="48">
        <v>0</v>
      </c>
      <c r="P11" s="41" t="s">
        <v>844</v>
      </c>
      <c r="Q11" s="41" t="s">
        <v>1018</v>
      </c>
      <c r="R11" s="41" t="s">
        <v>903</v>
      </c>
      <c r="S11" s="41" t="s">
        <v>851</v>
      </c>
      <c r="T11" s="41" t="s">
        <v>858</v>
      </c>
      <c r="U11" s="41" t="s">
        <v>858</v>
      </c>
      <c r="V11" s="41" t="s">
        <v>858</v>
      </c>
      <c r="W11" s="49" t="s">
        <v>879</v>
      </c>
      <c r="X11" s="49" t="s">
        <v>880</v>
      </c>
      <c r="Y11" s="49" t="s">
        <v>880</v>
      </c>
      <c r="Z11" s="49" t="s">
        <v>881</v>
      </c>
      <c r="AA11" s="49" t="s">
        <v>848</v>
      </c>
      <c r="AB11" s="49" t="s">
        <v>882</v>
      </c>
      <c r="AC11" s="49" t="s">
        <v>882</v>
      </c>
      <c r="AD11" s="49" t="s">
        <v>882</v>
      </c>
      <c r="AE11" s="49" t="s">
        <v>882</v>
      </c>
      <c r="AF11" s="49" t="s">
        <v>865</v>
      </c>
      <c r="AG11" s="49" t="s">
        <v>851</v>
      </c>
    </row>
    <row r="12" spans="1:33" x14ac:dyDescent="0.25">
      <c r="A12" s="40">
        <v>2000011</v>
      </c>
      <c r="B12" s="40" t="s">
        <v>6335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1020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822</v>
      </c>
      <c r="L12" s="41" t="s">
        <v>823</v>
      </c>
      <c r="M12" s="41" t="s">
        <v>833</v>
      </c>
      <c r="N12" s="41" t="s">
        <v>842</v>
      </c>
      <c r="O12" s="48">
        <v>0</v>
      </c>
      <c r="P12" s="41" t="s">
        <v>843</v>
      </c>
      <c r="Q12" s="41" t="s">
        <v>1018</v>
      </c>
      <c r="R12" s="41" t="s">
        <v>1054</v>
      </c>
      <c r="S12" s="41" t="s">
        <v>858</v>
      </c>
      <c r="T12" s="41" t="s">
        <v>851</v>
      </c>
      <c r="U12" s="49" t="s">
        <v>851</v>
      </c>
      <c r="V12" s="49" t="s">
        <v>851</v>
      </c>
      <c r="W12" s="49" t="s">
        <v>856</v>
      </c>
      <c r="X12" s="49" t="s">
        <v>867</v>
      </c>
      <c r="Y12" s="49" t="s">
        <v>867</v>
      </c>
      <c r="Z12" s="49" t="s">
        <v>883</v>
      </c>
      <c r="AA12" s="49" t="s">
        <v>848</v>
      </c>
      <c r="AB12" s="49" t="s">
        <v>854</v>
      </c>
      <c r="AC12" s="49" t="s">
        <v>854</v>
      </c>
      <c r="AD12" s="49" t="s">
        <v>854</v>
      </c>
      <c r="AE12" s="49" t="s">
        <v>854</v>
      </c>
      <c r="AF12" s="49" t="s">
        <v>855</v>
      </c>
      <c r="AG12" s="49" t="s">
        <v>851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1020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822</v>
      </c>
      <c r="L13" s="41" t="s">
        <v>823</v>
      </c>
      <c r="M13" s="41" t="s">
        <v>834</v>
      </c>
      <c r="N13" s="41" t="s">
        <v>842</v>
      </c>
      <c r="O13" s="48">
        <v>0</v>
      </c>
      <c r="P13" s="41" t="s">
        <v>844</v>
      </c>
      <c r="Q13" s="41" t="s">
        <v>1018</v>
      </c>
      <c r="R13" s="41" t="s">
        <v>1055</v>
      </c>
      <c r="S13" s="41" t="s">
        <v>851</v>
      </c>
      <c r="T13" s="41" t="s">
        <v>858</v>
      </c>
      <c r="U13" s="41" t="s">
        <v>858</v>
      </c>
      <c r="V13" s="41" t="s">
        <v>858</v>
      </c>
      <c r="W13" s="49" t="s">
        <v>861</v>
      </c>
      <c r="X13" s="49" t="s">
        <v>862</v>
      </c>
      <c r="Y13" s="49" t="s">
        <v>862</v>
      </c>
      <c r="Z13" s="49" t="s">
        <v>863</v>
      </c>
      <c r="AA13" s="49" t="s">
        <v>848</v>
      </c>
      <c r="AB13" s="49" t="s">
        <v>864</v>
      </c>
      <c r="AC13" s="49" t="s">
        <v>864</v>
      </c>
      <c r="AD13" s="49" t="s">
        <v>864</v>
      </c>
      <c r="AE13" s="49" t="s">
        <v>864</v>
      </c>
      <c r="AF13" s="49" t="s">
        <v>865</v>
      </c>
      <c r="AG13" s="49" t="s">
        <v>850</v>
      </c>
    </row>
    <row r="14" spans="1:33" x14ac:dyDescent="0.25">
      <c r="A14" s="40">
        <v>2000013</v>
      </c>
      <c r="B14" s="40" t="s">
        <v>1039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1020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822</v>
      </c>
      <c r="L14" s="41" t="s">
        <v>823</v>
      </c>
      <c r="M14" s="41" t="s">
        <v>834</v>
      </c>
      <c r="N14" s="41" t="s">
        <v>842</v>
      </c>
      <c r="O14" s="48">
        <v>1</v>
      </c>
      <c r="P14" s="41" t="s">
        <v>844</v>
      </c>
      <c r="Q14" s="41" t="s">
        <v>1018</v>
      </c>
      <c r="R14" s="41" t="s">
        <v>1054</v>
      </c>
      <c r="S14" s="41" t="s">
        <v>851</v>
      </c>
      <c r="T14" s="41" t="s">
        <v>858</v>
      </c>
      <c r="U14" s="41" t="s">
        <v>858</v>
      </c>
      <c r="V14" s="41" t="s">
        <v>858</v>
      </c>
      <c r="W14" s="49" t="s">
        <v>861</v>
      </c>
      <c r="X14" s="49" t="s">
        <v>862</v>
      </c>
      <c r="Y14" s="49" t="s">
        <v>862</v>
      </c>
      <c r="Z14" s="49" t="s">
        <v>863</v>
      </c>
      <c r="AA14" s="49" t="s">
        <v>848</v>
      </c>
      <c r="AB14" s="49" t="s">
        <v>864</v>
      </c>
      <c r="AC14" s="49" t="s">
        <v>864</v>
      </c>
      <c r="AD14" s="49" t="s">
        <v>864</v>
      </c>
      <c r="AE14" s="49" t="s">
        <v>864</v>
      </c>
      <c r="AF14" s="49" t="s">
        <v>865</v>
      </c>
      <c r="AG14" s="49" t="s">
        <v>851</v>
      </c>
    </row>
    <row r="15" spans="1:33" x14ac:dyDescent="0.25">
      <c r="A15" s="40">
        <v>2000014</v>
      </c>
      <c r="B15" s="40" t="s">
        <v>4455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1020</v>
      </c>
      <c r="F15" s="41" t="s">
        <v>810</v>
      </c>
      <c r="G15" s="42" t="s">
        <v>797</v>
      </c>
      <c r="H15" s="41" t="s">
        <v>1031</v>
      </c>
      <c r="I15" s="43">
        <v>42736</v>
      </c>
      <c r="J15" s="44" t="s">
        <v>1056</v>
      </c>
      <c r="K15" s="41" t="s">
        <v>819</v>
      </c>
      <c r="L15" s="46">
        <v>600000</v>
      </c>
      <c r="M15" s="41" t="s">
        <v>835</v>
      </c>
      <c r="N15" s="41" t="s">
        <v>842</v>
      </c>
      <c r="O15" s="48">
        <v>0.7</v>
      </c>
      <c r="P15" s="41" t="s">
        <v>843</v>
      </c>
      <c r="Q15" s="41" t="s">
        <v>845</v>
      </c>
      <c r="R15" s="41" t="s">
        <v>1016</v>
      </c>
      <c r="S15" s="41" t="s">
        <v>858</v>
      </c>
      <c r="T15" s="41" t="s">
        <v>851</v>
      </c>
      <c r="U15" s="49" t="s">
        <v>851</v>
      </c>
      <c r="V15" s="49" t="s">
        <v>851</v>
      </c>
      <c r="W15" s="49" t="s">
        <v>884</v>
      </c>
      <c r="X15" s="49" t="s">
        <v>885</v>
      </c>
      <c r="Y15" s="49" t="s">
        <v>886</v>
      </c>
      <c r="Z15" s="49" t="s">
        <v>883</v>
      </c>
      <c r="AA15" s="49" t="s">
        <v>897</v>
      </c>
      <c r="AB15" s="49" t="s">
        <v>887</v>
      </c>
      <c r="AC15" s="49" t="s">
        <v>887</v>
      </c>
      <c r="AD15" s="49" t="s">
        <v>887</v>
      </c>
      <c r="AE15" s="49" t="s">
        <v>887</v>
      </c>
      <c r="AF15" s="49" t="s">
        <v>855</v>
      </c>
      <c r="AG15" s="49" t="s">
        <v>850</v>
      </c>
    </row>
    <row r="16" spans="1:33" x14ac:dyDescent="0.25">
      <c r="A16" s="40">
        <v>2000015</v>
      </c>
      <c r="B16" s="40" t="s">
        <v>4430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1019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820</v>
      </c>
      <c r="L16" s="44">
        <v>400000</v>
      </c>
      <c r="M16" s="41" t="s">
        <v>836</v>
      </c>
      <c r="N16" s="41" t="s">
        <v>842</v>
      </c>
      <c r="O16" s="48">
        <v>1</v>
      </c>
      <c r="P16" s="41" t="s">
        <v>843</v>
      </c>
      <c r="Q16" s="41" t="s">
        <v>845</v>
      </c>
      <c r="R16" s="41" t="s">
        <v>1016</v>
      </c>
      <c r="S16" s="41" t="s">
        <v>857</v>
      </c>
      <c r="T16" s="41" t="s">
        <v>900</v>
      </c>
      <c r="U16" s="49" t="s">
        <v>851</v>
      </c>
      <c r="V16" s="49" t="s">
        <v>851</v>
      </c>
      <c r="W16" s="49" t="s">
        <v>854</v>
      </c>
      <c r="X16" s="49" t="s">
        <v>848</v>
      </c>
      <c r="Y16" s="49" t="s">
        <v>888</v>
      </c>
      <c r="Z16" s="49" t="s">
        <v>868</v>
      </c>
      <c r="AA16" s="49" t="s">
        <v>848</v>
      </c>
      <c r="AB16" s="49" t="s">
        <v>889</v>
      </c>
      <c r="AC16" s="49" t="s">
        <v>889</v>
      </c>
      <c r="AD16" s="49" t="s">
        <v>869</v>
      </c>
      <c r="AE16" s="49" t="s">
        <v>854</v>
      </c>
      <c r="AF16" s="49" t="s">
        <v>890</v>
      </c>
      <c r="AG16" s="49" t="s">
        <v>851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1020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822</v>
      </c>
      <c r="L17" s="41" t="s">
        <v>823</v>
      </c>
      <c r="M17" s="41" t="s">
        <v>837</v>
      </c>
      <c r="N17" s="41" t="s">
        <v>842</v>
      </c>
      <c r="O17" s="48">
        <v>0</v>
      </c>
      <c r="P17" s="41" t="s">
        <v>844</v>
      </c>
      <c r="Q17" s="41" t="s">
        <v>845</v>
      </c>
      <c r="R17" s="41" t="s">
        <v>903</v>
      </c>
      <c r="S17" s="41" t="s">
        <v>858</v>
      </c>
      <c r="T17" s="41" t="s">
        <v>858</v>
      </c>
      <c r="U17" s="41" t="s">
        <v>858</v>
      </c>
      <c r="V17" s="41" t="s">
        <v>858</v>
      </c>
      <c r="W17" s="49" t="s">
        <v>861</v>
      </c>
      <c r="X17" s="49" t="s">
        <v>862</v>
      </c>
      <c r="Y17" s="49" t="s">
        <v>862</v>
      </c>
      <c r="Z17" s="49" t="s">
        <v>863</v>
      </c>
      <c r="AA17" s="49" t="s">
        <v>848</v>
      </c>
      <c r="AB17" s="49" t="s">
        <v>864</v>
      </c>
      <c r="AC17" s="49" t="s">
        <v>864</v>
      </c>
      <c r="AD17" s="49" t="s">
        <v>864</v>
      </c>
      <c r="AE17" s="49" t="s">
        <v>864</v>
      </c>
      <c r="AF17" s="49" t="s">
        <v>865</v>
      </c>
      <c r="AG17" s="49" t="s">
        <v>850</v>
      </c>
    </row>
    <row r="18" spans="1:33" x14ac:dyDescent="0.25">
      <c r="A18" s="40">
        <v>2000017</v>
      </c>
      <c r="B18" s="40" t="s">
        <v>4429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1019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821</v>
      </c>
      <c r="L18" s="41" t="s">
        <v>823</v>
      </c>
      <c r="M18" s="41" t="s">
        <v>838</v>
      </c>
      <c r="N18" s="41" t="s">
        <v>842</v>
      </c>
      <c r="O18" s="48">
        <v>1</v>
      </c>
      <c r="P18" s="41" t="s">
        <v>843</v>
      </c>
      <c r="Q18" s="41" t="s">
        <v>845</v>
      </c>
      <c r="R18" s="41" t="s">
        <v>1016</v>
      </c>
      <c r="S18" s="41" t="s">
        <v>1022</v>
      </c>
      <c r="T18" s="41" t="s">
        <v>901</v>
      </c>
      <c r="U18" s="49" t="s">
        <v>851</v>
      </c>
      <c r="V18" s="49" t="s">
        <v>851</v>
      </c>
      <c r="W18" s="49" t="s">
        <v>851</v>
      </c>
      <c r="X18" s="49" t="s">
        <v>853</v>
      </c>
      <c r="Y18" s="49" t="s">
        <v>891</v>
      </c>
      <c r="Z18" s="49" t="s">
        <v>848</v>
      </c>
      <c r="AA18" s="49" t="s">
        <v>848</v>
      </c>
      <c r="AB18" s="49" t="s">
        <v>851</v>
      </c>
      <c r="AC18" s="49" t="s">
        <v>851</v>
      </c>
      <c r="AD18" s="49" t="s">
        <v>851</v>
      </c>
      <c r="AE18" s="49" t="s">
        <v>851</v>
      </c>
      <c r="AF18" s="49" t="s">
        <v>851</v>
      </c>
      <c r="AG18" s="49" t="s">
        <v>851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1020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822</v>
      </c>
      <c r="L19" s="41" t="s">
        <v>823</v>
      </c>
      <c r="M19" s="41" t="s">
        <v>839</v>
      </c>
      <c r="N19" s="41" t="s">
        <v>842</v>
      </c>
      <c r="O19" s="48">
        <v>0</v>
      </c>
      <c r="P19" s="41" t="s">
        <v>844</v>
      </c>
      <c r="Q19" s="41" t="s">
        <v>1018</v>
      </c>
      <c r="R19" s="41" t="s">
        <v>1054</v>
      </c>
      <c r="S19" s="41" t="s">
        <v>851</v>
      </c>
      <c r="T19" s="41" t="s">
        <v>858</v>
      </c>
      <c r="U19" s="41" t="s">
        <v>858</v>
      </c>
      <c r="V19" s="41" t="s">
        <v>858</v>
      </c>
      <c r="W19" s="49" t="s">
        <v>861</v>
      </c>
      <c r="X19" s="49" t="s">
        <v>862</v>
      </c>
      <c r="Y19" s="49" t="s">
        <v>862</v>
      </c>
      <c r="Z19" s="49" t="s">
        <v>863</v>
      </c>
      <c r="AA19" s="49" t="s">
        <v>848</v>
      </c>
      <c r="AB19" s="49" t="s">
        <v>864</v>
      </c>
      <c r="AC19" s="49" t="s">
        <v>864</v>
      </c>
      <c r="AD19" s="49" t="s">
        <v>864</v>
      </c>
      <c r="AE19" s="49" t="s">
        <v>864</v>
      </c>
      <c r="AF19" s="49" t="s">
        <v>865</v>
      </c>
      <c r="AG19" s="49" t="s">
        <v>851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1020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822</v>
      </c>
      <c r="L20" s="41" t="s">
        <v>823</v>
      </c>
      <c r="M20" s="41" t="s">
        <v>840</v>
      </c>
      <c r="N20" s="41" t="s">
        <v>842</v>
      </c>
      <c r="O20" s="48">
        <v>0</v>
      </c>
      <c r="P20" s="41" t="s">
        <v>844</v>
      </c>
      <c r="Q20" s="41" t="s">
        <v>845</v>
      </c>
      <c r="R20" s="41" t="s">
        <v>1054</v>
      </c>
      <c r="S20" s="41" t="s">
        <v>851</v>
      </c>
      <c r="T20" s="41" t="s">
        <v>858</v>
      </c>
      <c r="U20" s="41" t="s">
        <v>858</v>
      </c>
      <c r="V20" s="41" t="s">
        <v>858</v>
      </c>
      <c r="W20" s="49" t="s">
        <v>892</v>
      </c>
      <c r="X20" s="49" t="s">
        <v>893</v>
      </c>
      <c r="Y20" s="49" t="s">
        <v>893</v>
      </c>
      <c r="Z20" s="49" t="s">
        <v>894</v>
      </c>
      <c r="AA20" s="49" t="s">
        <v>848</v>
      </c>
      <c r="AB20" s="49" t="s">
        <v>895</v>
      </c>
      <c r="AC20" s="49" t="s">
        <v>895</v>
      </c>
      <c r="AD20" s="49" t="s">
        <v>895</v>
      </c>
      <c r="AE20" s="49" t="s">
        <v>895</v>
      </c>
      <c r="AF20" s="49" t="s">
        <v>896</v>
      </c>
      <c r="AG20" s="49" t="s">
        <v>851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1020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822</v>
      </c>
      <c r="L21" s="41" t="s">
        <v>823</v>
      </c>
      <c r="M21" s="47" t="s">
        <v>841</v>
      </c>
      <c r="N21" s="41" t="s">
        <v>842</v>
      </c>
      <c r="O21" s="48">
        <v>0</v>
      </c>
      <c r="P21" s="41" t="s">
        <v>843</v>
      </c>
      <c r="Q21" s="41" t="s">
        <v>845</v>
      </c>
      <c r="R21" s="41" t="s">
        <v>1054</v>
      </c>
      <c r="S21" s="41" t="s">
        <v>858</v>
      </c>
      <c r="T21" s="41" t="s">
        <v>851</v>
      </c>
      <c r="U21" s="49" t="s">
        <v>851</v>
      </c>
      <c r="V21" s="49" t="s">
        <v>851</v>
      </c>
      <c r="W21" s="49" t="s">
        <v>851</v>
      </c>
      <c r="X21" s="49" t="s">
        <v>857</v>
      </c>
      <c r="Y21" s="49" t="s">
        <v>857</v>
      </c>
      <c r="Z21" s="49" t="s">
        <v>857</v>
      </c>
      <c r="AA21" s="49" t="s">
        <v>848</v>
      </c>
      <c r="AB21" s="49" t="s">
        <v>856</v>
      </c>
      <c r="AC21" s="49" t="s">
        <v>856</v>
      </c>
      <c r="AD21" s="49" t="s">
        <v>856</v>
      </c>
      <c r="AE21" s="49" t="s">
        <v>856</v>
      </c>
      <c r="AF21" s="49" t="s">
        <v>855</v>
      </c>
      <c r="AG21" s="49" t="s">
        <v>850</v>
      </c>
    </row>
    <row r="22" spans="1:33" x14ac:dyDescent="0.25">
      <c r="A22" s="40">
        <v>2000021</v>
      </c>
      <c r="B22" s="40" t="s">
        <v>4456</v>
      </c>
      <c r="C22" s="41" t="s">
        <v>905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1020</v>
      </c>
      <c r="F22" s="41" t="s">
        <v>1053</v>
      </c>
      <c r="G22" s="50" t="s">
        <v>907</v>
      </c>
      <c r="H22" s="41" t="s">
        <v>908</v>
      </c>
      <c r="I22" s="43">
        <v>45658</v>
      </c>
      <c r="J22" s="41" t="s">
        <v>818</v>
      </c>
      <c r="K22" s="41" t="s">
        <v>822</v>
      </c>
      <c r="L22" s="44">
        <f>72000/1.2</f>
        <v>60000</v>
      </c>
      <c r="M22" s="47" t="s">
        <v>909</v>
      </c>
      <c r="N22" s="41" t="s">
        <v>842</v>
      </c>
      <c r="O22" s="48">
        <v>1</v>
      </c>
      <c r="P22" s="41" t="s">
        <v>843</v>
      </c>
      <c r="Q22" s="41" t="s">
        <v>1018</v>
      </c>
      <c r="R22" s="41" t="s">
        <v>910</v>
      </c>
      <c r="S22" s="41" t="s">
        <v>851</v>
      </c>
      <c r="T22" s="41" t="s">
        <v>851</v>
      </c>
      <c r="U22" s="49" t="s">
        <v>851</v>
      </c>
      <c r="V22" s="49" t="s">
        <v>851</v>
      </c>
      <c r="W22" s="49" t="s">
        <v>851</v>
      </c>
      <c r="X22" s="49" t="s">
        <v>851</v>
      </c>
      <c r="Y22" s="49" t="s">
        <v>851</v>
      </c>
      <c r="Z22" s="49" t="s">
        <v>851</v>
      </c>
      <c r="AA22" s="49" t="s">
        <v>848</v>
      </c>
      <c r="AB22" s="49" t="s">
        <v>851</v>
      </c>
      <c r="AC22" s="49" t="s">
        <v>851</v>
      </c>
      <c r="AD22" s="49" t="s">
        <v>851</v>
      </c>
      <c r="AE22" s="49" t="s">
        <v>851</v>
      </c>
      <c r="AF22" s="49" t="s">
        <v>855</v>
      </c>
      <c r="AG22" s="49" t="s">
        <v>851</v>
      </c>
    </row>
    <row r="23" spans="1:33" x14ac:dyDescent="0.25">
      <c r="A23" s="40">
        <v>2000022</v>
      </c>
      <c r="B23" s="40" t="s">
        <v>4457</v>
      </c>
      <c r="C23" s="41" t="s">
        <v>904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1020</v>
      </c>
      <c r="F23" s="41" t="s">
        <v>920</v>
      </c>
      <c r="G23" s="50" t="s">
        <v>26</v>
      </c>
      <c r="H23" s="41" t="s">
        <v>941</v>
      </c>
      <c r="I23" s="43">
        <v>44197</v>
      </c>
      <c r="J23" s="41" t="s">
        <v>818</v>
      </c>
      <c r="K23" s="41" t="s">
        <v>819</v>
      </c>
      <c r="L23" s="41" t="s">
        <v>823</v>
      </c>
      <c r="M23" s="47" t="s">
        <v>942</v>
      </c>
      <c r="N23" s="41" t="s">
        <v>1012</v>
      </c>
      <c r="O23" s="48">
        <v>1</v>
      </c>
      <c r="P23" s="41" t="s">
        <v>844</v>
      </c>
      <c r="Q23" s="41" t="s">
        <v>1018</v>
      </c>
      <c r="R23" s="41" t="s">
        <v>910</v>
      </c>
      <c r="S23" s="41" t="s">
        <v>858</v>
      </c>
      <c r="T23" s="41" t="s">
        <v>851</v>
      </c>
      <c r="U23" s="49" t="s">
        <v>851</v>
      </c>
      <c r="V23" s="49" t="s">
        <v>851</v>
      </c>
      <c r="W23" s="49" t="s">
        <v>851</v>
      </c>
      <c r="X23" s="49" t="s">
        <v>875</v>
      </c>
      <c r="Y23" s="49" t="s">
        <v>875</v>
      </c>
      <c r="Z23" s="49" t="s">
        <v>876</v>
      </c>
      <c r="AA23" s="49" t="s">
        <v>848</v>
      </c>
      <c r="AB23" s="49" t="s">
        <v>998</v>
      </c>
      <c r="AC23" s="49" t="s">
        <v>997</v>
      </c>
      <c r="AD23" s="49" t="s">
        <v>858</v>
      </c>
      <c r="AE23" s="49" t="s">
        <v>858</v>
      </c>
      <c r="AF23" s="49" t="s">
        <v>858</v>
      </c>
      <c r="AG23" s="49" t="s">
        <v>858</v>
      </c>
    </row>
    <row r="24" spans="1:33" x14ac:dyDescent="0.25">
      <c r="A24" s="40">
        <v>2000023</v>
      </c>
      <c r="B24" s="40" t="s">
        <v>911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1019</v>
      </c>
      <c r="F24" s="41" t="s">
        <v>921</v>
      </c>
      <c r="G24" s="50" t="s">
        <v>943</v>
      </c>
      <c r="H24" s="41" t="s">
        <v>944</v>
      </c>
      <c r="I24" s="43">
        <v>44197</v>
      </c>
      <c r="J24" s="41" t="s">
        <v>818</v>
      </c>
      <c r="K24" s="41" t="s">
        <v>819</v>
      </c>
      <c r="L24" s="41" t="s">
        <v>823</v>
      </c>
      <c r="M24" s="47" t="s">
        <v>945</v>
      </c>
      <c r="N24" s="41" t="s">
        <v>1012</v>
      </c>
      <c r="O24" s="48">
        <v>1</v>
      </c>
      <c r="P24" s="41" t="s">
        <v>843</v>
      </c>
      <c r="Q24" s="41" t="s">
        <v>845</v>
      </c>
      <c r="R24" s="41" t="s">
        <v>1016</v>
      </c>
      <c r="S24" s="41" t="s">
        <v>872</v>
      </c>
      <c r="T24" s="41" t="s">
        <v>1021</v>
      </c>
      <c r="U24" s="49" t="s">
        <v>851</v>
      </c>
      <c r="V24" s="49" t="s">
        <v>851</v>
      </c>
      <c r="W24" s="49" t="s">
        <v>857</v>
      </c>
      <c r="X24" s="49" t="s">
        <v>891</v>
      </c>
      <c r="Y24" s="49" t="s">
        <v>891</v>
      </c>
      <c r="Z24" s="49" t="s">
        <v>848</v>
      </c>
      <c r="AA24" s="49" t="s">
        <v>848</v>
      </c>
      <c r="AB24" s="49" t="s">
        <v>851</v>
      </c>
      <c r="AC24" s="49" t="s">
        <v>851</v>
      </c>
      <c r="AD24" s="49" t="s">
        <v>851</v>
      </c>
      <c r="AE24" s="49" t="s">
        <v>851</v>
      </c>
      <c r="AF24" s="49" t="s">
        <v>851</v>
      </c>
      <c r="AG24" s="49" t="s">
        <v>851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1020</v>
      </c>
      <c r="F25" s="41" t="s">
        <v>922</v>
      </c>
      <c r="G25" s="50" t="s">
        <v>946</v>
      </c>
      <c r="H25" s="41" t="s">
        <v>947</v>
      </c>
      <c r="I25" s="43">
        <v>44197</v>
      </c>
      <c r="J25" s="41" t="s">
        <v>818</v>
      </c>
      <c r="K25" s="41" t="s">
        <v>819</v>
      </c>
      <c r="L25" s="41" t="s">
        <v>823</v>
      </c>
      <c r="M25" s="47" t="s">
        <v>968</v>
      </c>
      <c r="N25" s="41" t="s">
        <v>1012</v>
      </c>
      <c r="O25" s="48">
        <v>1</v>
      </c>
      <c r="P25" s="41" t="s">
        <v>844</v>
      </c>
      <c r="Q25" s="41" t="s">
        <v>1018</v>
      </c>
      <c r="R25" s="41" t="s">
        <v>1016</v>
      </c>
      <c r="S25" s="41" t="s">
        <v>858</v>
      </c>
      <c r="T25" s="41" t="s">
        <v>858</v>
      </c>
      <c r="U25" s="41" t="s">
        <v>858</v>
      </c>
      <c r="V25" s="41" t="s">
        <v>858</v>
      </c>
      <c r="W25" s="49" t="s">
        <v>999</v>
      </c>
      <c r="X25" s="49" t="s">
        <v>1000</v>
      </c>
      <c r="Y25" s="49" t="s">
        <v>1000</v>
      </c>
      <c r="Z25" s="49" t="s">
        <v>876</v>
      </c>
      <c r="AA25" s="49" t="s">
        <v>848</v>
      </c>
      <c r="AB25" s="49" t="s">
        <v>882</v>
      </c>
      <c r="AC25" s="49" t="s">
        <v>882</v>
      </c>
      <c r="AD25" s="49" t="s">
        <v>882</v>
      </c>
      <c r="AE25" s="49" t="s">
        <v>882</v>
      </c>
      <c r="AF25" s="49" t="s">
        <v>860</v>
      </c>
      <c r="AG25" s="49" t="s">
        <v>858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1020</v>
      </c>
      <c r="F26" s="41" t="s">
        <v>805</v>
      </c>
      <c r="G26" s="50" t="s">
        <v>948</v>
      </c>
      <c r="H26" s="41" t="s">
        <v>780</v>
      </c>
      <c r="I26" s="43">
        <v>44197</v>
      </c>
      <c r="J26" s="41" t="s">
        <v>818</v>
      </c>
      <c r="K26" s="41" t="s">
        <v>819</v>
      </c>
      <c r="L26" s="41" t="s">
        <v>823</v>
      </c>
      <c r="M26" s="47" t="s">
        <v>829</v>
      </c>
      <c r="N26" s="41" t="s">
        <v>1013</v>
      </c>
      <c r="O26" s="48">
        <v>0.7</v>
      </c>
      <c r="P26" s="41" t="s">
        <v>844</v>
      </c>
      <c r="Q26" s="41" t="s">
        <v>1014</v>
      </c>
      <c r="R26" s="41" t="s">
        <v>1017</v>
      </c>
      <c r="S26" s="41" t="s">
        <v>858</v>
      </c>
      <c r="T26" s="41" t="s">
        <v>851</v>
      </c>
      <c r="U26" s="41" t="s">
        <v>858</v>
      </c>
      <c r="V26" s="41" t="s">
        <v>858</v>
      </c>
      <c r="W26" s="49" t="s">
        <v>999</v>
      </c>
      <c r="X26" s="49" t="s">
        <v>853</v>
      </c>
      <c r="Y26" s="49" t="s">
        <v>1001</v>
      </c>
      <c r="Z26" s="49" t="s">
        <v>862</v>
      </c>
      <c r="AA26" s="49" t="s">
        <v>848</v>
      </c>
      <c r="AB26" s="49" t="s">
        <v>1002</v>
      </c>
      <c r="AC26" s="49" t="s">
        <v>1002</v>
      </c>
      <c r="AD26" s="49" t="s">
        <v>1002</v>
      </c>
      <c r="AE26" s="49" t="s">
        <v>1002</v>
      </c>
      <c r="AF26" s="49" t="s">
        <v>855</v>
      </c>
      <c r="AG26" s="49" t="s">
        <v>851</v>
      </c>
    </row>
    <row r="27" spans="1:33" x14ac:dyDescent="0.25">
      <c r="A27" s="40">
        <v>2000026</v>
      </c>
      <c r="B27" s="40" t="s">
        <v>912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1020</v>
      </c>
      <c r="F27" s="41" t="s">
        <v>1036</v>
      </c>
      <c r="G27" s="50" t="s">
        <v>26</v>
      </c>
      <c r="H27" s="41" t="s">
        <v>1035</v>
      </c>
      <c r="I27" s="43">
        <v>44197</v>
      </c>
      <c r="J27" s="41" t="s">
        <v>818</v>
      </c>
      <c r="K27" s="41" t="s">
        <v>819</v>
      </c>
      <c r="L27" s="41" t="s">
        <v>823</v>
      </c>
      <c r="M27" s="47" t="s">
        <v>969</v>
      </c>
      <c r="N27" s="41" t="s">
        <v>842</v>
      </c>
      <c r="O27" s="48">
        <v>0.5</v>
      </c>
      <c r="P27" s="41" t="s">
        <v>844</v>
      </c>
      <c r="Q27" s="41" t="s">
        <v>847</v>
      </c>
      <c r="R27" s="41" t="s">
        <v>1016</v>
      </c>
      <c r="S27" s="41" t="s">
        <v>858</v>
      </c>
      <c r="T27" s="41" t="s">
        <v>858</v>
      </c>
      <c r="U27" s="41" t="s">
        <v>1001</v>
      </c>
      <c r="V27" s="41" t="s">
        <v>858</v>
      </c>
      <c r="W27" s="49" t="s">
        <v>862</v>
      </c>
      <c r="X27" s="49" t="s">
        <v>1000</v>
      </c>
      <c r="Y27" s="49" t="s">
        <v>1000</v>
      </c>
      <c r="Z27" s="49" t="s">
        <v>1000</v>
      </c>
      <c r="AA27" s="49" t="s">
        <v>1000</v>
      </c>
      <c r="AB27" s="49" t="s">
        <v>862</v>
      </c>
      <c r="AC27" s="49" t="s">
        <v>862</v>
      </c>
      <c r="AD27" s="49" t="s">
        <v>862</v>
      </c>
      <c r="AE27" s="49" t="s">
        <v>862</v>
      </c>
      <c r="AF27" s="49" t="s">
        <v>860</v>
      </c>
      <c r="AG27" s="49" t="s">
        <v>858</v>
      </c>
    </row>
    <row r="28" spans="1:33" x14ac:dyDescent="0.25">
      <c r="A28" s="40">
        <v>2000027</v>
      </c>
      <c r="B28" s="40" t="s">
        <v>161</v>
      </c>
      <c r="C28" s="41" t="s">
        <v>904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1020</v>
      </c>
      <c r="F28" s="41" t="s">
        <v>923</v>
      </c>
      <c r="G28" s="50" t="s">
        <v>949</v>
      </c>
      <c r="H28" s="41" t="s">
        <v>950</v>
      </c>
      <c r="I28" s="43">
        <v>44197</v>
      </c>
      <c r="J28" s="41" t="s">
        <v>818</v>
      </c>
      <c r="K28" s="41" t="s">
        <v>819</v>
      </c>
      <c r="L28" s="41" t="s">
        <v>823</v>
      </c>
      <c r="M28" s="47" t="s">
        <v>970</v>
      </c>
      <c r="N28" s="41" t="s">
        <v>1013</v>
      </c>
      <c r="O28" s="48">
        <v>1</v>
      </c>
      <c r="P28" s="41" t="s">
        <v>844</v>
      </c>
      <c r="Q28" s="41" t="s">
        <v>847</v>
      </c>
      <c r="R28" s="41" t="s">
        <v>1016</v>
      </c>
      <c r="S28" s="41" t="s">
        <v>851</v>
      </c>
      <c r="T28" s="41" t="s">
        <v>858</v>
      </c>
      <c r="U28" s="41" t="s">
        <v>858</v>
      </c>
      <c r="V28" s="41" t="s">
        <v>858</v>
      </c>
      <c r="W28" s="49" t="s">
        <v>997</v>
      </c>
      <c r="X28" s="49" t="s">
        <v>875</v>
      </c>
      <c r="Y28" s="49" t="s">
        <v>1000</v>
      </c>
      <c r="Z28" s="49" t="s">
        <v>874</v>
      </c>
      <c r="AA28" s="49" t="s">
        <v>848</v>
      </c>
      <c r="AB28" s="49" t="s">
        <v>1003</v>
      </c>
      <c r="AC28" s="49" t="s">
        <v>1003</v>
      </c>
      <c r="AD28" s="49" t="s">
        <v>1003</v>
      </c>
      <c r="AE28" s="49" t="s">
        <v>1003</v>
      </c>
      <c r="AF28" s="49" t="s">
        <v>860</v>
      </c>
      <c r="AG28" s="49" t="s">
        <v>858</v>
      </c>
    </row>
    <row r="29" spans="1:33" x14ac:dyDescent="0.25">
      <c r="A29" s="40">
        <v>2000028</v>
      </c>
      <c r="B29" s="40" t="s">
        <v>4458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1020</v>
      </c>
      <c r="F29" s="41" t="s">
        <v>924</v>
      </c>
      <c r="G29" s="50" t="s">
        <v>26</v>
      </c>
      <c r="H29" s="41" t="s">
        <v>951</v>
      </c>
      <c r="I29" s="43">
        <v>44197</v>
      </c>
      <c r="J29" s="41" t="s">
        <v>818</v>
      </c>
      <c r="K29" s="41" t="s">
        <v>819</v>
      </c>
      <c r="L29" s="41" t="s">
        <v>823</v>
      </c>
      <c r="M29" s="47" t="s">
        <v>971</v>
      </c>
      <c r="N29" s="41" t="s">
        <v>1013</v>
      </c>
      <c r="O29" s="48">
        <v>1</v>
      </c>
      <c r="P29" s="41" t="s">
        <v>844</v>
      </c>
      <c r="Q29" s="41" t="s">
        <v>847</v>
      </c>
      <c r="R29" s="41" t="s">
        <v>1016</v>
      </c>
      <c r="S29" s="41" t="s">
        <v>851</v>
      </c>
      <c r="T29" s="41" t="s">
        <v>858</v>
      </c>
      <c r="U29" s="41" t="s">
        <v>876</v>
      </c>
      <c r="V29" s="41" t="s">
        <v>858</v>
      </c>
      <c r="W29" s="49" t="s">
        <v>997</v>
      </c>
      <c r="X29" s="49" t="s">
        <v>1005</v>
      </c>
      <c r="Y29" s="49" t="s">
        <v>1004</v>
      </c>
      <c r="Z29" s="49" t="s">
        <v>876</v>
      </c>
      <c r="AA29" s="49" t="s">
        <v>848</v>
      </c>
      <c r="AB29" s="49" t="s">
        <v>862</v>
      </c>
      <c r="AC29" s="49" t="s">
        <v>862</v>
      </c>
      <c r="AD29" s="49" t="s">
        <v>862</v>
      </c>
      <c r="AE29" s="49" t="s">
        <v>862</v>
      </c>
      <c r="AF29" s="49" t="s">
        <v>860</v>
      </c>
      <c r="AG29" s="49" t="s">
        <v>858</v>
      </c>
    </row>
    <row r="30" spans="1:33" x14ac:dyDescent="0.25">
      <c r="A30" s="40">
        <v>2000029</v>
      </c>
      <c r="B30" s="40" t="s">
        <v>148</v>
      </c>
      <c r="C30" s="41" t="s">
        <v>904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1020</v>
      </c>
      <c r="F30" s="41" t="s">
        <v>925</v>
      </c>
      <c r="G30" s="50" t="s">
        <v>26</v>
      </c>
      <c r="H30" s="41" t="s">
        <v>1032</v>
      </c>
      <c r="I30" s="43">
        <v>44197</v>
      </c>
      <c r="J30" s="41" t="s">
        <v>818</v>
      </c>
      <c r="K30" s="41" t="s">
        <v>819</v>
      </c>
      <c r="L30" s="41" t="s">
        <v>823</v>
      </c>
      <c r="M30" s="47" t="s">
        <v>972</v>
      </c>
      <c r="N30" s="41" t="s">
        <v>1013</v>
      </c>
      <c r="O30" s="48">
        <v>1</v>
      </c>
      <c r="P30" s="41" t="s">
        <v>844</v>
      </c>
      <c r="Q30" s="41" t="s">
        <v>1015</v>
      </c>
      <c r="R30" s="41" t="s">
        <v>1016</v>
      </c>
      <c r="S30" s="41" t="s">
        <v>851</v>
      </c>
      <c r="T30" s="41" t="s">
        <v>858</v>
      </c>
      <c r="U30" s="41" t="s">
        <v>858</v>
      </c>
      <c r="V30" s="41" t="s">
        <v>858</v>
      </c>
      <c r="W30" s="49" t="s">
        <v>862</v>
      </c>
      <c r="X30" s="49" t="s">
        <v>874</v>
      </c>
      <c r="Y30" s="49" t="s">
        <v>874</v>
      </c>
      <c r="Z30" s="49" t="s">
        <v>874</v>
      </c>
      <c r="AA30" s="49" t="s">
        <v>848</v>
      </c>
      <c r="AB30" s="49" t="s">
        <v>862</v>
      </c>
      <c r="AC30" s="49" t="s">
        <v>862</v>
      </c>
      <c r="AD30" s="49" t="s">
        <v>862</v>
      </c>
      <c r="AE30" s="49" t="s">
        <v>862</v>
      </c>
      <c r="AF30" s="49" t="s">
        <v>860</v>
      </c>
      <c r="AG30" s="49" t="s">
        <v>858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1020</v>
      </c>
      <c r="F31" s="41" t="s">
        <v>926</v>
      </c>
      <c r="G31" s="50" t="s">
        <v>953</v>
      </c>
      <c r="H31" s="41" t="s">
        <v>952</v>
      </c>
      <c r="I31" s="43">
        <v>42736</v>
      </c>
      <c r="J31" s="41" t="s">
        <v>818</v>
      </c>
      <c r="K31" s="41" t="s">
        <v>819</v>
      </c>
      <c r="L31" s="41" t="s">
        <v>823</v>
      </c>
      <c r="M31" s="47" t="s">
        <v>973</v>
      </c>
      <c r="N31" s="41" t="s">
        <v>1013</v>
      </c>
      <c r="O31" s="48">
        <v>0.3</v>
      </c>
      <c r="P31" s="41" t="s">
        <v>844</v>
      </c>
      <c r="Q31" s="41" t="s">
        <v>1015</v>
      </c>
      <c r="R31" s="41" t="s">
        <v>903</v>
      </c>
      <c r="S31" s="41" t="s">
        <v>851</v>
      </c>
      <c r="T31" s="41" t="s">
        <v>858</v>
      </c>
      <c r="U31" s="41" t="s">
        <v>858</v>
      </c>
      <c r="V31" s="41" t="s">
        <v>858</v>
      </c>
      <c r="W31" s="49" t="s">
        <v>997</v>
      </c>
      <c r="X31" s="49" t="s">
        <v>1006</v>
      </c>
      <c r="Y31" s="49" t="s">
        <v>1006</v>
      </c>
      <c r="Z31" s="49" t="s">
        <v>1006</v>
      </c>
      <c r="AA31" s="49" t="s">
        <v>848</v>
      </c>
      <c r="AB31" s="49" t="s">
        <v>997</v>
      </c>
      <c r="AC31" s="49" t="s">
        <v>997</v>
      </c>
      <c r="AD31" s="49" t="s">
        <v>997</v>
      </c>
      <c r="AE31" s="49" t="s">
        <v>997</v>
      </c>
      <c r="AF31" s="49" t="s">
        <v>860</v>
      </c>
      <c r="AG31" s="49" t="s">
        <v>858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1020</v>
      </c>
      <c r="F32" s="41" t="s">
        <v>927</v>
      </c>
      <c r="G32" s="50" t="s">
        <v>26</v>
      </c>
      <c r="H32" s="41" t="s">
        <v>954</v>
      </c>
      <c r="I32" s="43">
        <v>44197</v>
      </c>
      <c r="J32" s="41" t="s">
        <v>818</v>
      </c>
      <c r="K32" s="41" t="s">
        <v>819</v>
      </c>
      <c r="L32" s="41" t="s">
        <v>823</v>
      </c>
      <c r="M32" s="47" t="s">
        <v>974</v>
      </c>
      <c r="N32" s="41" t="s">
        <v>1013</v>
      </c>
      <c r="O32" s="48">
        <v>1</v>
      </c>
      <c r="P32" s="41" t="s">
        <v>843</v>
      </c>
      <c r="Q32" s="41" t="s">
        <v>847</v>
      </c>
      <c r="R32" s="41" t="s">
        <v>1016</v>
      </c>
      <c r="S32" s="41" t="s">
        <v>851</v>
      </c>
      <c r="T32" s="41" t="s">
        <v>851</v>
      </c>
      <c r="U32" s="49" t="s">
        <v>851</v>
      </c>
      <c r="V32" s="49" t="s">
        <v>851</v>
      </c>
      <c r="W32" s="49" t="s">
        <v>851</v>
      </c>
      <c r="X32" s="49" t="s">
        <v>1001</v>
      </c>
      <c r="Y32" s="49" t="s">
        <v>870</v>
      </c>
      <c r="Z32" s="49" t="s">
        <v>867</v>
      </c>
      <c r="AA32" s="49" t="s">
        <v>848</v>
      </c>
      <c r="AB32" s="49" t="s">
        <v>851</v>
      </c>
      <c r="AC32" s="49" t="s">
        <v>851</v>
      </c>
      <c r="AD32" s="49" t="s">
        <v>851</v>
      </c>
      <c r="AE32" s="49" t="s">
        <v>851</v>
      </c>
      <c r="AF32" s="49" t="s">
        <v>855</v>
      </c>
      <c r="AG32" s="49" t="s">
        <v>851</v>
      </c>
    </row>
    <row r="33" spans="1:33" x14ac:dyDescent="0.25">
      <c r="A33" s="40">
        <v>2000032</v>
      </c>
      <c r="B33" s="40" t="s">
        <v>4459</v>
      </c>
      <c r="C33" s="41" t="s">
        <v>904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1020</v>
      </c>
      <c r="F33" s="41" t="s">
        <v>928</v>
      </c>
      <c r="G33" s="50" t="s">
        <v>26</v>
      </c>
      <c r="H33" s="41" t="s">
        <v>955</v>
      </c>
      <c r="I33" s="43">
        <v>44197</v>
      </c>
      <c r="J33" s="41" t="s">
        <v>818</v>
      </c>
      <c r="K33" s="41" t="s">
        <v>819</v>
      </c>
      <c r="L33" s="41" t="s">
        <v>823</v>
      </c>
      <c r="M33" s="47" t="s">
        <v>975</v>
      </c>
      <c r="N33" s="41" t="s">
        <v>1012</v>
      </c>
      <c r="O33" s="48">
        <v>1</v>
      </c>
      <c r="P33" s="41" t="s">
        <v>844</v>
      </c>
      <c r="Q33" s="41" t="s">
        <v>1015</v>
      </c>
      <c r="R33" s="41" t="s">
        <v>1055</v>
      </c>
      <c r="S33" s="41" t="s">
        <v>851</v>
      </c>
      <c r="T33" s="41" t="s">
        <v>851</v>
      </c>
      <c r="U33" s="41" t="s">
        <v>858</v>
      </c>
      <c r="V33" s="41" t="s">
        <v>858</v>
      </c>
      <c r="W33" s="49" t="s">
        <v>862</v>
      </c>
      <c r="X33" s="49" t="s">
        <v>1000</v>
      </c>
      <c r="Y33" s="49" t="s">
        <v>1000</v>
      </c>
      <c r="Z33" s="49" t="s">
        <v>1000</v>
      </c>
      <c r="AA33" s="49" t="s">
        <v>848</v>
      </c>
      <c r="AB33" s="49" t="s">
        <v>862</v>
      </c>
      <c r="AC33" s="49" t="s">
        <v>862</v>
      </c>
      <c r="AD33" s="49" t="s">
        <v>862</v>
      </c>
      <c r="AE33" s="49" t="s">
        <v>862</v>
      </c>
      <c r="AF33" s="49" t="s">
        <v>860</v>
      </c>
      <c r="AG33" s="49" t="s">
        <v>858</v>
      </c>
    </row>
    <row r="34" spans="1:33" x14ac:dyDescent="0.25">
      <c r="A34" s="40">
        <v>2000033</v>
      </c>
      <c r="B34" s="40" t="s">
        <v>4460</v>
      </c>
      <c r="C34" s="41" t="s">
        <v>904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1020</v>
      </c>
      <c r="F34" s="41" t="s">
        <v>929</v>
      </c>
      <c r="G34" s="50" t="s">
        <v>26</v>
      </c>
      <c r="H34" s="41" t="s">
        <v>956</v>
      </c>
      <c r="I34" s="43">
        <v>44197</v>
      </c>
      <c r="J34" s="41" t="s">
        <v>818</v>
      </c>
      <c r="K34" s="41" t="s">
        <v>819</v>
      </c>
      <c r="L34" s="41" t="s">
        <v>823</v>
      </c>
      <c r="M34" s="47" t="s">
        <v>26</v>
      </c>
      <c r="N34" s="41" t="s">
        <v>1013</v>
      </c>
      <c r="O34" s="48">
        <v>1</v>
      </c>
      <c r="P34" s="41" t="s">
        <v>843</v>
      </c>
      <c r="Q34" s="41" t="s">
        <v>1015</v>
      </c>
      <c r="R34" s="41" t="s">
        <v>1017</v>
      </c>
      <c r="S34" s="41" t="s">
        <v>851</v>
      </c>
      <c r="T34" s="41" t="s">
        <v>851</v>
      </c>
      <c r="U34" s="49" t="s">
        <v>851</v>
      </c>
      <c r="V34" s="49" t="s">
        <v>851</v>
      </c>
      <c r="W34" s="49" t="s">
        <v>851</v>
      </c>
      <c r="X34" s="49" t="s">
        <v>1001</v>
      </c>
      <c r="Y34" s="49" t="s">
        <v>1001</v>
      </c>
      <c r="Z34" s="49" t="s">
        <v>888</v>
      </c>
      <c r="AA34" s="49" t="s">
        <v>848</v>
      </c>
      <c r="AB34" s="49" t="s">
        <v>871</v>
      </c>
      <c r="AC34" s="49" t="s">
        <v>871</v>
      </c>
      <c r="AD34" s="49" t="s">
        <v>871</v>
      </c>
      <c r="AE34" s="49" t="s">
        <v>871</v>
      </c>
      <c r="AF34" s="49" t="s">
        <v>855</v>
      </c>
      <c r="AG34" s="49" t="s">
        <v>851</v>
      </c>
    </row>
    <row r="35" spans="1:33" x14ac:dyDescent="0.25">
      <c r="A35" s="40">
        <v>2000034</v>
      </c>
      <c r="B35" s="40" t="s">
        <v>913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1020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819</v>
      </c>
      <c r="L35" s="41" t="s">
        <v>823</v>
      </c>
      <c r="M35" s="47" t="s">
        <v>976</v>
      </c>
      <c r="N35" s="41" t="s">
        <v>1013</v>
      </c>
      <c r="O35" s="48">
        <v>0</v>
      </c>
      <c r="P35" s="41" t="s">
        <v>844</v>
      </c>
      <c r="Q35" s="41" t="s">
        <v>1015</v>
      </c>
      <c r="R35" s="41" t="s">
        <v>903</v>
      </c>
      <c r="S35" s="41" t="s">
        <v>851</v>
      </c>
      <c r="T35" s="41" t="s">
        <v>851</v>
      </c>
      <c r="U35" s="41" t="s">
        <v>858</v>
      </c>
      <c r="V35" s="41" t="s">
        <v>858</v>
      </c>
      <c r="W35" s="49" t="s">
        <v>997</v>
      </c>
      <c r="X35" s="49" t="s">
        <v>876</v>
      </c>
      <c r="Y35" s="49" t="s">
        <v>874</v>
      </c>
      <c r="Z35" s="49" t="s">
        <v>876</v>
      </c>
      <c r="AA35" s="49" t="s">
        <v>848</v>
      </c>
      <c r="AB35" s="49" t="s">
        <v>997</v>
      </c>
      <c r="AC35" s="49" t="s">
        <v>997</v>
      </c>
      <c r="AD35" s="49" t="s">
        <v>997</v>
      </c>
      <c r="AE35" s="49" t="s">
        <v>997</v>
      </c>
      <c r="AF35" s="49" t="s">
        <v>860</v>
      </c>
      <c r="AG35" s="49" t="s">
        <v>858</v>
      </c>
    </row>
    <row r="36" spans="1:33" x14ac:dyDescent="0.25">
      <c r="A36" s="40">
        <v>2000035</v>
      </c>
      <c r="B36" s="40" t="s">
        <v>914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1020</v>
      </c>
      <c r="F36" s="41" t="s">
        <v>1034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819</v>
      </c>
      <c r="L36" s="41" t="s">
        <v>823</v>
      </c>
      <c r="M36" s="47" t="s">
        <v>977</v>
      </c>
      <c r="N36" s="41" t="s">
        <v>1013</v>
      </c>
      <c r="O36" s="48">
        <v>1</v>
      </c>
      <c r="P36" s="41" t="s">
        <v>844</v>
      </c>
      <c r="Q36" s="41" t="s">
        <v>1015</v>
      </c>
      <c r="R36" s="41" t="s">
        <v>1016</v>
      </c>
      <c r="S36" s="41" t="s">
        <v>851</v>
      </c>
      <c r="T36" s="41" t="s">
        <v>851</v>
      </c>
      <c r="U36" s="41" t="s">
        <v>858</v>
      </c>
      <c r="V36" s="41" t="s">
        <v>858</v>
      </c>
      <c r="W36" s="49" t="s">
        <v>999</v>
      </c>
      <c r="X36" s="49" t="s">
        <v>874</v>
      </c>
      <c r="Y36" s="49" t="s">
        <v>1004</v>
      </c>
      <c r="Z36" s="49" t="s">
        <v>876</v>
      </c>
      <c r="AA36" s="49" t="s">
        <v>848</v>
      </c>
      <c r="AB36" s="49" t="s">
        <v>999</v>
      </c>
      <c r="AC36" s="49" t="s">
        <v>999</v>
      </c>
      <c r="AD36" s="49" t="s">
        <v>999</v>
      </c>
      <c r="AE36" s="49" t="s">
        <v>999</v>
      </c>
      <c r="AF36" s="49" t="s">
        <v>860</v>
      </c>
      <c r="AG36" s="49" t="s">
        <v>858</v>
      </c>
    </row>
    <row r="37" spans="1:33" x14ac:dyDescent="0.25">
      <c r="A37" s="40">
        <v>2000036</v>
      </c>
      <c r="B37" s="40" t="s">
        <v>4461</v>
      </c>
      <c r="C37" s="41" t="s">
        <v>904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1020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819</v>
      </c>
      <c r="L37" s="41" t="s">
        <v>823</v>
      </c>
      <c r="M37" s="47" t="s">
        <v>978</v>
      </c>
      <c r="N37" s="41" t="s">
        <v>1013</v>
      </c>
      <c r="O37" s="48">
        <v>0.7</v>
      </c>
      <c r="P37" s="41" t="s">
        <v>843</v>
      </c>
      <c r="Q37" s="41" t="s">
        <v>847</v>
      </c>
      <c r="R37" s="41" t="s">
        <v>910</v>
      </c>
      <c r="S37" s="41" t="s">
        <v>851</v>
      </c>
      <c r="T37" s="41" t="s">
        <v>851</v>
      </c>
      <c r="U37" s="49" t="s">
        <v>851</v>
      </c>
      <c r="V37" s="49" t="s">
        <v>851</v>
      </c>
      <c r="W37" s="49" t="s">
        <v>851</v>
      </c>
      <c r="X37" s="49" t="s">
        <v>853</v>
      </c>
      <c r="Y37" s="49" t="s">
        <v>1001</v>
      </c>
      <c r="Z37" s="49" t="s">
        <v>888</v>
      </c>
      <c r="AA37" s="49" t="s">
        <v>848</v>
      </c>
      <c r="AB37" s="49" t="s">
        <v>851</v>
      </c>
      <c r="AC37" s="49" t="s">
        <v>869</v>
      </c>
      <c r="AD37" s="49" t="s">
        <v>851</v>
      </c>
      <c r="AE37" s="49" t="s">
        <v>854</v>
      </c>
      <c r="AF37" s="49" t="s">
        <v>1007</v>
      </c>
      <c r="AG37" s="49" t="s">
        <v>851</v>
      </c>
    </row>
    <row r="38" spans="1:33" x14ac:dyDescent="0.25">
      <c r="A38" s="40">
        <v>2000037</v>
      </c>
      <c r="B38" s="40" t="s">
        <v>4462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1020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819</v>
      </c>
      <c r="L38" s="41" t="s">
        <v>823</v>
      </c>
      <c r="M38" s="47" t="s">
        <v>979</v>
      </c>
      <c r="N38" s="41" t="s">
        <v>1012</v>
      </c>
      <c r="O38" s="48">
        <v>1</v>
      </c>
      <c r="P38" s="41" t="s">
        <v>843</v>
      </c>
      <c r="Q38" s="41" t="s">
        <v>847</v>
      </c>
      <c r="R38" s="41" t="s">
        <v>1017</v>
      </c>
      <c r="S38" s="41" t="s">
        <v>851</v>
      </c>
      <c r="T38" s="41" t="s">
        <v>851</v>
      </c>
      <c r="U38" s="49" t="s">
        <v>851</v>
      </c>
      <c r="V38" s="49" t="s">
        <v>851</v>
      </c>
      <c r="W38" s="49" t="s">
        <v>851</v>
      </c>
      <c r="X38" s="49" t="s">
        <v>1001</v>
      </c>
      <c r="Y38" s="49" t="s">
        <v>1001</v>
      </c>
      <c r="Z38" s="49" t="s">
        <v>888</v>
      </c>
      <c r="AA38" s="49" t="s">
        <v>848</v>
      </c>
      <c r="AB38" s="49" t="s">
        <v>851</v>
      </c>
      <c r="AC38" s="49" t="s">
        <v>851</v>
      </c>
      <c r="AD38" s="49" t="s">
        <v>851</v>
      </c>
      <c r="AE38" s="49" t="s">
        <v>851</v>
      </c>
      <c r="AF38" s="49" t="s">
        <v>851</v>
      </c>
      <c r="AG38" s="49" t="s">
        <v>851</v>
      </c>
    </row>
    <row r="39" spans="1:33" x14ac:dyDescent="0.25">
      <c r="A39" s="40">
        <v>2000038</v>
      </c>
      <c r="B39" s="40" t="s">
        <v>4463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1020</v>
      </c>
      <c r="F39" s="41" t="s">
        <v>930</v>
      </c>
      <c r="G39" s="50" t="s">
        <v>26</v>
      </c>
      <c r="H39" s="41" t="s">
        <v>957</v>
      </c>
      <c r="I39" s="43">
        <v>44197</v>
      </c>
      <c r="J39" s="41" t="s">
        <v>818</v>
      </c>
      <c r="K39" s="41" t="s">
        <v>819</v>
      </c>
      <c r="L39" s="41" t="s">
        <v>823</v>
      </c>
      <c r="M39" s="47" t="s">
        <v>980</v>
      </c>
      <c r="N39" s="41" t="s">
        <v>1012</v>
      </c>
      <c r="O39" s="48">
        <v>1</v>
      </c>
      <c r="P39" s="41" t="s">
        <v>843</v>
      </c>
      <c r="Q39" s="41" t="s">
        <v>845</v>
      </c>
      <c r="R39" s="41" t="s">
        <v>1017</v>
      </c>
      <c r="S39" s="41" t="s">
        <v>851</v>
      </c>
      <c r="T39" s="41" t="s">
        <v>851</v>
      </c>
      <c r="U39" s="49" t="s">
        <v>851</v>
      </c>
      <c r="V39" s="49" t="s">
        <v>851</v>
      </c>
      <c r="W39" s="49" t="s">
        <v>869</v>
      </c>
      <c r="X39" s="49" t="s">
        <v>851</v>
      </c>
      <c r="Y39" s="49" t="s">
        <v>851</v>
      </c>
      <c r="Z39" s="49" t="s">
        <v>851</v>
      </c>
      <c r="AA39" s="49" t="s">
        <v>848</v>
      </c>
      <c r="AB39" s="49" t="s">
        <v>851</v>
      </c>
      <c r="AC39" s="49" t="s">
        <v>851</v>
      </c>
      <c r="AD39" s="49" t="s">
        <v>851</v>
      </c>
      <c r="AE39" s="49" t="s">
        <v>851</v>
      </c>
      <c r="AF39" s="49" t="s">
        <v>851</v>
      </c>
      <c r="AG39" s="49" t="s">
        <v>851</v>
      </c>
    </row>
    <row r="40" spans="1:33" x14ac:dyDescent="0.25">
      <c r="A40" s="40">
        <v>2000039</v>
      </c>
      <c r="B40" s="40" t="s">
        <v>4464</v>
      </c>
      <c r="C40" s="41" t="s">
        <v>904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1019</v>
      </c>
      <c r="F40" s="41" t="s">
        <v>931</v>
      </c>
      <c r="G40" s="50" t="s">
        <v>26</v>
      </c>
      <c r="H40" s="41" t="s">
        <v>958</v>
      </c>
      <c r="I40" s="43">
        <v>44197</v>
      </c>
      <c r="J40" s="41" t="s">
        <v>818</v>
      </c>
      <c r="K40" s="41" t="s">
        <v>822</v>
      </c>
      <c r="L40" s="41" t="s">
        <v>823</v>
      </c>
      <c r="M40" s="47" t="s">
        <v>981</v>
      </c>
      <c r="N40" s="41" t="s">
        <v>842</v>
      </c>
      <c r="O40" s="48">
        <v>1</v>
      </c>
      <c r="P40" s="41" t="s">
        <v>843</v>
      </c>
      <c r="Q40" s="41" t="s">
        <v>845</v>
      </c>
      <c r="R40" s="41" t="s">
        <v>910</v>
      </c>
      <c r="S40" s="41" t="s">
        <v>857</v>
      </c>
      <c r="T40" s="41" t="s">
        <v>900</v>
      </c>
      <c r="U40" s="49" t="s">
        <v>851</v>
      </c>
      <c r="V40" s="49" t="s">
        <v>851</v>
      </c>
      <c r="W40" s="49" t="s">
        <v>889</v>
      </c>
      <c r="X40" s="49" t="s">
        <v>853</v>
      </c>
      <c r="Y40" s="49" t="s">
        <v>891</v>
      </c>
      <c r="Z40" s="49" t="s">
        <v>888</v>
      </c>
      <c r="AA40" s="49" t="s">
        <v>848</v>
      </c>
      <c r="AB40" s="49" t="s">
        <v>1008</v>
      </c>
      <c r="AC40" s="49" t="s">
        <v>1008</v>
      </c>
      <c r="AD40" s="49" t="s">
        <v>1008</v>
      </c>
      <c r="AE40" s="49" t="s">
        <v>1008</v>
      </c>
      <c r="AF40" s="49" t="s">
        <v>851</v>
      </c>
      <c r="AG40" s="49" t="s">
        <v>851</v>
      </c>
    </row>
    <row r="41" spans="1:33" x14ac:dyDescent="0.25">
      <c r="A41" s="40">
        <v>2000040</v>
      </c>
      <c r="B41" s="40" t="s">
        <v>4465</v>
      </c>
      <c r="C41" s="41" t="s">
        <v>904</v>
      </c>
      <c r="D41" s="44">
        <f>SUMIF(CREANCES!$B$2:$B$99999,'INFO CLIENTS'!B41,CREANCES!$J$2:$J$99999) - SUMIF(CREANCES!$B$2:$B$99999,'INFO CLIENTS'!B41,CREANCES!$K$2:$K$99999)</f>
        <v>690873</v>
      </c>
      <c r="E41" s="41" t="s">
        <v>1020</v>
      </c>
      <c r="F41" s="41" t="s">
        <v>932</v>
      </c>
      <c r="G41" s="50" t="s">
        <v>26</v>
      </c>
      <c r="H41" s="41" t="s">
        <v>1033</v>
      </c>
      <c r="I41" s="43">
        <v>44197</v>
      </c>
      <c r="J41" s="41" t="s">
        <v>818</v>
      </c>
      <c r="K41" s="41" t="s">
        <v>819</v>
      </c>
      <c r="L41" s="41" t="s">
        <v>823</v>
      </c>
      <c r="M41" s="47" t="s">
        <v>982</v>
      </c>
      <c r="N41" s="41" t="s">
        <v>1013</v>
      </c>
      <c r="O41" s="48">
        <v>1</v>
      </c>
      <c r="P41" s="41" t="s">
        <v>844</v>
      </c>
      <c r="Q41" s="41" t="s">
        <v>1015</v>
      </c>
      <c r="R41" s="41" t="s">
        <v>1016</v>
      </c>
      <c r="S41" s="41" t="s">
        <v>851</v>
      </c>
      <c r="T41" s="41" t="s">
        <v>851</v>
      </c>
      <c r="U41" s="41" t="s">
        <v>858</v>
      </c>
      <c r="V41" s="41" t="s">
        <v>858</v>
      </c>
      <c r="W41" s="49" t="s">
        <v>1009</v>
      </c>
      <c r="X41" s="49" t="s">
        <v>874</v>
      </c>
      <c r="Y41" s="49" t="s">
        <v>1004</v>
      </c>
      <c r="Z41" s="49" t="s">
        <v>876</v>
      </c>
      <c r="AA41" s="49" t="s">
        <v>848</v>
      </c>
      <c r="AB41" s="49" t="s">
        <v>997</v>
      </c>
      <c r="AC41" s="49" t="s">
        <v>997</v>
      </c>
      <c r="AD41" s="49" t="s">
        <v>997</v>
      </c>
      <c r="AE41" s="49" t="s">
        <v>997</v>
      </c>
      <c r="AF41" s="49" t="s">
        <v>860</v>
      </c>
      <c r="AG41" s="49" t="s">
        <v>858</v>
      </c>
    </row>
    <row r="42" spans="1:33" x14ac:dyDescent="0.25">
      <c r="A42" s="40">
        <v>2000041</v>
      </c>
      <c r="B42" s="40" t="s">
        <v>4466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1020</v>
      </c>
      <c r="F42" s="41" t="s">
        <v>933</v>
      </c>
      <c r="G42" s="50" t="s">
        <v>26</v>
      </c>
      <c r="H42" s="41" t="s">
        <v>959</v>
      </c>
      <c r="I42" s="43">
        <v>44197</v>
      </c>
      <c r="J42" s="41" t="s">
        <v>818</v>
      </c>
      <c r="K42" s="41" t="s">
        <v>822</v>
      </c>
      <c r="L42" s="41" t="s">
        <v>823</v>
      </c>
      <c r="M42" s="47" t="s">
        <v>983</v>
      </c>
      <c r="N42" s="41" t="s">
        <v>1013</v>
      </c>
      <c r="O42" s="48">
        <v>1</v>
      </c>
      <c r="P42" s="41" t="s">
        <v>844</v>
      </c>
      <c r="Q42" s="41" t="s">
        <v>1018</v>
      </c>
      <c r="R42" s="41" t="s">
        <v>903</v>
      </c>
      <c r="S42" s="41" t="s">
        <v>851</v>
      </c>
      <c r="T42" s="41" t="s">
        <v>851</v>
      </c>
      <c r="U42" s="41" t="s">
        <v>858</v>
      </c>
      <c r="V42" s="41" t="s">
        <v>858</v>
      </c>
      <c r="W42" s="49" t="s">
        <v>997</v>
      </c>
      <c r="X42" s="49" t="s">
        <v>874</v>
      </c>
      <c r="Y42" s="49" t="s">
        <v>1004</v>
      </c>
      <c r="Z42" s="49" t="s">
        <v>876</v>
      </c>
      <c r="AA42" s="49" t="s">
        <v>848</v>
      </c>
      <c r="AB42" s="49" t="s">
        <v>999</v>
      </c>
      <c r="AC42" s="49" t="s">
        <v>999</v>
      </c>
      <c r="AD42" s="49" t="s">
        <v>999</v>
      </c>
      <c r="AE42" s="49" t="s">
        <v>999</v>
      </c>
      <c r="AF42" s="49" t="s">
        <v>858</v>
      </c>
      <c r="AG42" s="49" t="s">
        <v>858</v>
      </c>
    </row>
    <row r="43" spans="1:33" x14ac:dyDescent="0.25">
      <c r="A43" s="40">
        <v>2000042</v>
      </c>
      <c r="B43" s="40" t="s">
        <v>150</v>
      </c>
      <c r="C43" s="41" t="s">
        <v>904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1020</v>
      </c>
      <c r="F43" s="41" t="s">
        <v>1034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819</v>
      </c>
      <c r="L43" s="41" t="s">
        <v>823</v>
      </c>
      <c r="M43" s="47" t="s">
        <v>984</v>
      </c>
      <c r="N43" s="41" t="s">
        <v>1013</v>
      </c>
      <c r="O43" s="48">
        <v>1</v>
      </c>
      <c r="P43" s="41" t="s">
        <v>844</v>
      </c>
      <c r="Q43" s="41" t="s">
        <v>1015</v>
      </c>
      <c r="R43" s="41" t="s">
        <v>1016</v>
      </c>
      <c r="S43" s="41" t="s">
        <v>851</v>
      </c>
      <c r="T43" s="41" t="s">
        <v>851</v>
      </c>
      <c r="U43" s="41" t="s">
        <v>858</v>
      </c>
      <c r="V43" s="41" t="s">
        <v>858</v>
      </c>
      <c r="W43" s="49" t="s">
        <v>999</v>
      </c>
      <c r="X43" s="49" t="s">
        <v>1005</v>
      </c>
      <c r="Y43" s="49" t="s">
        <v>1004</v>
      </c>
      <c r="Z43" s="49" t="s">
        <v>876</v>
      </c>
      <c r="AA43" s="49" t="s">
        <v>848</v>
      </c>
      <c r="AB43" s="49" t="s">
        <v>1009</v>
      </c>
      <c r="AC43" s="49" t="s">
        <v>1009</v>
      </c>
      <c r="AD43" s="49" t="s">
        <v>1009</v>
      </c>
      <c r="AE43" s="49" t="s">
        <v>1009</v>
      </c>
      <c r="AF43" s="49" t="s">
        <v>860</v>
      </c>
      <c r="AG43" s="49" t="s">
        <v>858</v>
      </c>
    </row>
    <row r="44" spans="1:33" x14ac:dyDescent="0.25">
      <c r="A44" s="40">
        <v>2000043</v>
      </c>
      <c r="B44" s="40" t="s">
        <v>915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1020</v>
      </c>
      <c r="F44" s="41" t="s">
        <v>934</v>
      </c>
      <c r="G44" s="50" t="s">
        <v>26</v>
      </c>
      <c r="H44" s="41" t="s">
        <v>960</v>
      </c>
      <c r="I44" s="43">
        <v>44197</v>
      </c>
      <c r="J44" s="41" t="s">
        <v>818</v>
      </c>
      <c r="K44" s="41" t="s">
        <v>822</v>
      </c>
      <c r="L44" s="41" t="s">
        <v>823</v>
      </c>
      <c r="M44" s="47" t="s">
        <v>26</v>
      </c>
      <c r="N44" s="41" t="s">
        <v>842</v>
      </c>
      <c r="O44" s="48">
        <v>1</v>
      </c>
      <c r="P44" s="41" t="s">
        <v>843</v>
      </c>
      <c r="Q44" s="41" t="s">
        <v>1018</v>
      </c>
      <c r="R44" s="41" t="s">
        <v>910</v>
      </c>
      <c r="S44" s="41" t="s">
        <v>851</v>
      </c>
      <c r="T44" s="41" t="s">
        <v>851</v>
      </c>
      <c r="U44" s="49" t="s">
        <v>851</v>
      </c>
      <c r="V44" s="49" t="s">
        <v>851</v>
      </c>
      <c r="W44" s="49" t="s">
        <v>851</v>
      </c>
      <c r="X44" s="49" t="s">
        <v>848</v>
      </c>
      <c r="Y44" s="49" t="s">
        <v>851</v>
      </c>
      <c r="Z44" s="49" t="s">
        <v>1010</v>
      </c>
      <c r="AA44" s="49" t="s">
        <v>848</v>
      </c>
      <c r="AB44" s="49" t="s">
        <v>851</v>
      </c>
      <c r="AC44" s="49" t="s">
        <v>851</v>
      </c>
      <c r="AD44" s="49" t="s">
        <v>851</v>
      </c>
      <c r="AE44" s="49" t="s">
        <v>851</v>
      </c>
      <c r="AF44" s="49" t="s">
        <v>851</v>
      </c>
      <c r="AG44" s="49" t="s">
        <v>851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1020</v>
      </c>
      <c r="F45" s="41" t="s">
        <v>935</v>
      </c>
      <c r="G45" s="50" t="s">
        <v>26</v>
      </c>
      <c r="H45" s="41" t="s">
        <v>961</v>
      </c>
      <c r="I45" s="43">
        <v>44197</v>
      </c>
      <c r="J45" s="41" t="s">
        <v>818</v>
      </c>
      <c r="K45" s="41" t="s">
        <v>819</v>
      </c>
      <c r="L45" s="41" t="s">
        <v>823</v>
      </c>
      <c r="M45" s="47" t="s">
        <v>985</v>
      </c>
      <c r="N45" s="41" t="s">
        <v>1013</v>
      </c>
      <c r="O45" s="48">
        <v>1</v>
      </c>
      <c r="P45" s="41" t="s">
        <v>844</v>
      </c>
      <c r="Q45" s="41" t="s">
        <v>1015</v>
      </c>
      <c r="R45" s="41" t="s">
        <v>1016</v>
      </c>
      <c r="S45" s="41" t="s">
        <v>851</v>
      </c>
      <c r="T45" s="41" t="s">
        <v>851</v>
      </c>
      <c r="U45" s="41" t="s">
        <v>858</v>
      </c>
      <c r="V45" s="41" t="s">
        <v>858</v>
      </c>
      <c r="W45" s="49" t="s">
        <v>873</v>
      </c>
      <c r="X45" s="49" t="s">
        <v>876</v>
      </c>
      <c r="Y45" s="49" t="s">
        <v>874</v>
      </c>
      <c r="Z45" s="49" t="s">
        <v>876</v>
      </c>
      <c r="AA45" s="49" t="s">
        <v>848</v>
      </c>
      <c r="AB45" s="49" t="s">
        <v>999</v>
      </c>
      <c r="AC45" s="49" t="s">
        <v>999</v>
      </c>
      <c r="AD45" s="49" t="s">
        <v>999</v>
      </c>
      <c r="AE45" s="49" t="s">
        <v>999</v>
      </c>
      <c r="AF45" s="49" t="s">
        <v>860</v>
      </c>
      <c r="AG45" s="49" t="s">
        <v>858</v>
      </c>
    </row>
    <row r="46" spans="1:33" x14ac:dyDescent="0.25">
      <c r="A46" s="40">
        <v>2000045</v>
      </c>
      <c r="B46" s="40" t="s">
        <v>916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1020</v>
      </c>
      <c r="F46" s="41" t="s">
        <v>933</v>
      </c>
      <c r="G46" s="50" t="s">
        <v>26</v>
      </c>
      <c r="H46" s="41" t="s">
        <v>959</v>
      </c>
      <c r="I46" s="43">
        <v>44197</v>
      </c>
      <c r="J46" s="41" t="s">
        <v>818</v>
      </c>
      <c r="K46" s="41" t="s">
        <v>822</v>
      </c>
      <c r="L46" s="41" t="s">
        <v>823</v>
      </c>
      <c r="M46" s="47" t="s">
        <v>986</v>
      </c>
      <c r="N46" s="41" t="s">
        <v>842</v>
      </c>
      <c r="O46" s="48">
        <v>0</v>
      </c>
      <c r="P46" s="41" t="s">
        <v>843</v>
      </c>
      <c r="Q46" s="41" t="s">
        <v>1018</v>
      </c>
      <c r="R46" s="41" t="s">
        <v>903</v>
      </c>
      <c r="S46" s="41" t="s">
        <v>851</v>
      </c>
      <c r="T46" s="41" t="s">
        <v>851</v>
      </c>
      <c r="U46" s="49" t="s">
        <v>851</v>
      </c>
      <c r="V46" s="49" t="s">
        <v>851</v>
      </c>
      <c r="W46" s="49" t="s">
        <v>866</v>
      </c>
      <c r="X46" s="49" t="s">
        <v>868</v>
      </c>
      <c r="Y46" s="49" t="s">
        <v>868</v>
      </c>
      <c r="Z46" s="49" t="s">
        <v>898</v>
      </c>
      <c r="AA46" s="49" t="s">
        <v>848</v>
      </c>
      <c r="AB46" s="49" t="s">
        <v>854</v>
      </c>
      <c r="AC46" s="49" t="s">
        <v>854</v>
      </c>
      <c r="AD46" s="49" t="s">
        <v>854</v>
      </c>
      <c r="AE46" s="49" t="s">
        <v>854</v>
      </c>
      <c r="AF46" s="49" t="s">
        <v>858</v>
      </c>
      <c r="AG46" s="49" t="s">
        <v>858</v>
      </c>
    </row>
    <row r="47" spans="1:33" x14ac:dyDescent="0.25">
      <c r="A47" s="40">
        <v>2000046</v>
      </c>
      <c r="B47" s="40" t="s">
        <v>4467</v>
      </c>
      <c r="C47" s="41" t="s">
        <v>904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1019</v>
      </c>
      <c r="F47" s="41" t="s">
        <v>962</v>
      </c>
      <c r="G47" s="50" t="s">
        <v>26</v>
      </c>
      <c r="H47" s="41" t="s">
        <v>963</v>
      </c>
      <c r="I47" s="43">
        <v>44197</v>
      </c>
      <c r="J47" s="41" t="s">
        <v>818</v>
      </c>
      <c r="K47" s="41" t="s">
        <v>822</v>
      </c>
      <c r="L47" s="41" t="s">
        <v>823</v>
      </c>
      <c r="M47" s="47" t="s">
        <v>987</v>
      </c>
      <c r="N47" s="41" t="s">
        <v>842</v>
      </c>
      <c r="O47" s="48">
        <v>1</v>
      </c>
      <c r="P47" s="41" t="s">
        <v>843</v>
      </c>
      <c r="Q47" s="41" t="s">
        <v>1018</v>
      </c>
      <c r="R47" s="41" t="s">
        <v>910</v>
      </c>
      <c r="S47" s="41" t="s">
        <v>1025</v>
      </c>
      <c r="T47" s="41" t="s">
        <v>855</v>
      </c>
      <c r="U47" s="49" t="s">
        <v>851</v>
      </c>
      <c r="V47" s="41" t="s">
        <v>853</v>
      </c>
      <c r="W47" s="49" t="s">
        <v>851</v>
      </c>
      <c r="X47" s="49" t="s">
        <v>848</v>
      </c>
      <c r="Y47" s="49" t="s">
        <v>851</v>
      </c>
      <c r="Z47" s="49" t="s">
        <v>851</v>
      </c>
      <c r="AA47" s="49" t="s">
        <v>848</v>
      </c>
      <c r="AB47" s="49" t="s">
        <v>869</v>
      </c>
      <c r="AC47" s="49" t="s">
        <v>869</v>
      </c>
      <c r="AD47" s="49" t="s">
        <v>869</v>
      </c>
      <c r="AE47" s="49" t="s">
        <v>869</v>
      </c>
      <c r="AF47" s="49" t="s">
        <v>851</v>
      </c>
      <c r="AG47" s="49" t="s">
        <v>851</v>
      </c>
    </row>
    <row r="48" spans="1:33" x14ac:dyDescent="0.25">
      <c r="A48" s="40">
        <v>2000047</v>
      </c>
      <c r="B48" s="40" t="s">
        <v>917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1020</v>
      </c>
      <c r="F48" s="41" t="s">
        <v>936</v>
      </c>
      <c r="G48" s="50" t="s">
        <v>26</v>
      </c>
      <c r="H48" s="41" t="s">
        <v>964</v>
      </c>
      <c r="I48" s="43">
        <v>44197</v>
      </c>
      <c r="J48" s="41" t="s">
        <v>818</v>
      </c>
      <c r="K48" s="41" t="s">
        <v>822</v>
      </c>
      <c r="L48" s="41" t="s">
        <v>823</v>
      </c>
      <c r="M48" s="47" t="s">
        <v>988</v>
      </c>
      <c r="N48" s="41" t="s">
        <v>842</v>
      </c>
      <c r="O48" s="48">
        <v>0</v>
      </c>
      <c r="P48" s="41" t="s">
        <v>843</v>
      </c>
      <c r="Q48" s="41" t="s">
        <v>1018</v>
      </c>
      <c r="R48" s="41" t="s">
        <v>903</v>
      </c>
      <c r="S48" s="41" t="s">
        <v>851</v>
      </c>
      <c r="T48" s="41" t="s">
        <v>851</v>
      </c>
      <c r="U48" s="49" t="s">
        <v>851</v>
      </c>
      <c r="V48" s="41" t="s">
        <v>851</v>
      </c>
      <c r="W48" s="41" t="s">
        <v>851</v>
      </c>
      <c r="X48" s="41" t="s">
        <v>851</v>
      </c>
      <c r="Y48" s="41" t="s">
        <v>851</v>
      </c>
      <c r="Z48" s="41" t="s">
        <v>1001</v>
      </c>
      <c r="AA48" s="49" t="s">
        <v>848</v>
      </c>
      <c r="AB48" s="49" t="s">
        <v>1008</v>
      </c>
      <c r="AC48" s="49" t="s">
        <v>1008</v>
      </c>
      <c r="AD48" s="49" t="s">
        <v>1008</v>
      </c>
      <c r="AE48" s="49" t="s">
        <v>1008</v>
      </c>
      <c r="AF48" s="49" t="s">
        <v>851</v>
      </c>
      <c r="AG48" s="49" t="s">
        <v>851</v>
      </c>
    </row>
    <row r="49" spans="1:33" x14ac:dyDescent="0.25">
      <c r="A49" s="40">
        <v>2000048</v>
      </c>
      <c r="B49" s="40" t="s">
        <v>4468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1020</v>
      </c>
      <c r="F49" s="41" t="s">
        <v>937</v>
      </c>
      <c r="G49" s="50" t="s">
        <v>26</v>
      </c>
      <c r="H49" s="41" t="s">
        <v>965</v>
      </c>
      <c r="I49" s="43">
        <v>44197</v>
      </c>
      <c r="J49" s="41" t="s">
        <v>818</v>
      </c>
      <c r="K49" s="41" t="s">
        <v>819</v>
      </c>
      <c r="L49" s="41" t="s">
        <v>823</v>
      </c>
      <c r="M49" s="47" t="s">
        <v>989</v>
      </c>
      <c r="N49" s="41" t="s">
        <v>1013</v>
      </c>
      <c r="O49" s="48">
        <v>1</v>
      </c>
      <c r="P49" s="41" t="s">
        <v>843</v>
      </c>
      <c r="Q49" s="41" t="s">
        <v>1015</v>
      </c>
      <c r="R49" s="41" t="s">
        <v>1016</v>
      </c>
      <c r="S49" s="41" t="s">
        <v>851</v>
      </c>
      <c r="T49" s="41" t="s">
        <v>851</v>
      </c>
      <c r="U49" s="49" t="s">
        <v>851</v>
      </c>
      <c r="V49" s="41" t="s">
        <v>851</v>
      </c>
      <c r="W49" s="49" t="s">
        <v>854</v>
      </c>
      <c r="X49" s="49" t="s">
        <v>888</v>
      </c>
      <c r="Y49" s="49" t="s">
        <v>1001</v>
      </c>
      <c r="Z49" s="49" t="s">
        <v>900</v>
      </c>
      <c r="AA49" s="49" t="s">
        <v>848</v>
      </c>
      <c r="AB49" s="49" t="s">
        <v>869</v>
      </c>
      <c r="AC49" s="49" t="s">
        <v>851</v>
      </c>
      <c r="AD49" s="49" t="s">
        <v>869</v>
      </c>
      <c r="AE49" s="49" t="s">
        <v>851</v>
      </c>
      <c r="AF49" s="49" t="s">
        <v>855</v>
      </c>
      <c r="AG49" s="49" t="s">
        <v>851</v>
      </c>
    </row>
    <row r="50" spans="1:33" x14ac:dyDescent="0.25">
      <c r="A50" s="40">
        <v>2000049</v>
      </c>
      <c r="B50" s="40" t="s">
        <v>4469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1020</v>
      </c>
      <c r="F50" s="41" t="s">
        <v>938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819</v>
      </c>
      <c r="L50" s="41" t="s">
        <v>823</v>
      </c>
      <c r="M50" s="47" t="s">
        <v>990</v>
      </c>
      <c r="N50" s="41" t="s">
        <v>1013</v>
      </c>
      <c r="O50" s="48">
        <v>1</v>
      </c>
      <c r="P50" s="41" t="s">
        <v>844</v>
      </c>
      <c r="Q50" s="41" t="s">
        <v>1015</v>
      </c>
      <c r="R50" s="41" t="s">
        <v>1016</v>
      </c>
      <c r="S50" s="41" t="s">
        <v>851</v>
      </c>
      <c r="T50" s="41" t="s">
        <v>851</v>
      </c>
      <c r="U50" s="41" t="s">
        <v>858</v>
      </c>
      <c r="V50" s="41" t="s">
        <v>858</v>
      </c>
      <c r="W50" s="41" t="s">
        <v>997</v>
      </c>
      <c r="X50" s="49" t="s">
        <v>876</v>
      </c>
      <c r="Y50" s="49" t="s">
        <v>1004</v>
      </c>
      <c r="Z50" s="49" t="s">
        <v>876</v>
      </c>
      <c r="AA50" s="49" t="s">
        <v>848</v>
      </c>
      <c r="AB50" s="49" t="s">
        <v>997</v>
      </c>
      <c r="AC50" s="49" t="s">
        <v>997</v>
      </c>
      <c r="AD50" s="49" t="s">
        <v>997</v>
      </c>
      <c r="AE50" s="49" t="s">
        <v>997</v>
      </c>
      <c r="AF50" s="49" t="s">
        <v>858</v>
      </c>
      <c r="AG50" s="49" t="s">
        <v>858</v>
      </c>
    </row>
    <row r="51" spans="1:33" x14ac:dyDescent="0.25">
      <c r="A51" s="40">
        <v>2000050</v>
      </c>
      <c r="B51" s="40" t="s">
        <v>4470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1020</v>
      </c>
      <c r="F51" s="41" t="s">
        <v>939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819</v>
      </c>
      <c r="L51" s="41" t="s">
        <v>823</v>
      </c>
      <c r="M51" s="47" t="s">
        <v>991</v>
      </c>
      <c r="N51" s="41" t="s">
        <v>1013</v>
      </c>
      <c r="O51" s="48">
        <v>1</v>
      </c>
      <c r="P51" s="41" t="s">
        <v>844</v>
      </c>
      <c r="Q51" s="41" t="s">
        <v>1015</v>
      </c>
      <c r="R51" s="41" t="s">
        <v>1016</v>
      </c>
      <c r="S51" s="41" t="s">
        <v>851</v>
      </c>
      <c r="T51" s="41" t="s">
        <v>851</v>
      </c>
      <c r="U51" s="41" t="s">
        <v>858</v>
      </c>
      <c r="V51" s="41" t="s">
        <v>858</v>
      </c>
      <c r="W51" s="41" t="s">
        <v>997</v>
      </c>
      <c r="X51" s="49" t="s">
        <v>876</v>
      </c>
      <c r="Y51" s="49" t="s">
        <v>1004</v>
      </c>
      <c r="Z51" s="49" t="s">
        <v>876</v>
      </c>
      <c r="AA51" s="49" t="s">
        <v>848</v>
      </c>
      <c r="AB51" s="49" t="s">
        <v>997</v>
      </c>
      <c r="AC51" s="49" t="s">
        <v>997</v>
      </c>
      <c r="AD51" s="49" t="s">
        <v>997</v>
      </c>
      <c r="AE51" s="49" t="s">
        <v>997</v>
      </c>
      <c r="AF51" s="49" t="s">
        <v>858</v>
      </c>
      <c r="AG51" s="49" t="s">
        <v>858</v>
      </c>
    </row>
    <row r="52" spans="1:33" x14ac:dyDescent="0.25">
      <c r="A52" s="40">
        <v>2000051</v>
      </c>
      <c r="B52" s="40" t="s">
        <v>918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1020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819</v>
      </c>
      <c r="L52" s="41" t="s">
        <v>823</v>
      </c>
      <c r="M52" s="47" t="s">
        <v>992</v>
      </c>
      <c r="N52" s="41" t="s">
        <v>1013</v>
      </c>
      <c r="O52" s="48">
        <v>0.7</v>
      </c>
      <c r="P52" s="41" t="s">
        <v>843</v>
      </c>
      <c r="Q52" s="41" t="s">
        <v>847</v>
      </c>
      <c r="R52" s="41" t="s">
        <v>1016</v>
      </c>
      <c r="S52" s="41" t="s">
        <v>851</v>
      </c>
      <c r="T52" s="41" t="s">
        <v>851</v>
      </c>
      <c r="U52" s="41" t="s">
        <v>884</v>
      </c>
      <c r="V52" s="41" t="s">
        <v>851</v>
      </c>
      <c r="W52" s="49" t="s">
        <v>854</v>
      </c>
      <c r="X52" s="49" t="s">
        <v>891</v>
      </c>
      <c r="Y52" s="49" t="s">
        <v>870</v>
      </c>
      <c r="Z52" s="49" t="s">
        <v>1001</v>
      </c>
      <c r="AA52" s="49" t="s">
        <v>848</v>
      </c>
      <c r="AB52" s="49" t="s">
        <v>851</v>
      </c>
      <c r="AC52" s="49" t="s">
        <v>851</v>
      </c>
      <c r="AD52" s="49" t="s">
        <v>851</v>
      </c>
      <c r="AE52" s="49" t="s">
        <v>851</v>
      </c>
      <c r="AF52" s="49" t="s">
        <v>851</v>
      </c>
      <c r="AG52" s="49" t="s">
        <v>851</v>
      </c>
    </row>
    <row r="53" spans="1:33" x14ac:dyDescent="0.25">
      <c r="A53" s="40">
        <v>2000052</v>
      </c>
      <c r="B53" s="40" t="s">
        <v>919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1020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819</v>
      </c>
      <c r="L53" s="41" t="s">
        <v>823</v>
      </c>
      <c r="M53" s="47" t="s">
        <v>993</v>
      </c>
      <c r="N53" s="41" t="s">
        <v>1013</v>
      </c>
      <c r="O53" s="48">
        <v>1</v>
      </c>
      <c r="P53" s="41" t="s">
        <v>844</v>
      </c>
      <c r="Q53" s="41" t="s">
        <v>847</v>
      </c>
      <c r="R53" s="41" t="s">
        <v>1016</v>
      </c>
      <c r="S53" s="41" t="s">
        <v>851</v>
      </c>
      <c r="T53" s="41" t="s">
        <v>851</v>
      </c>
      <c r="U53" s="41" t="s">
        <v>858</v>
      </c>
      <c r="V53" s="41" t="s">
        <v>858</v>
      </c>
      <c r="W53" s="41" t="s">
        <v>858</v>
      </c>
      <c r="X53" s="41" t="s">
        <v>858</v>
      </c>
      <c r="Y53" s="41" t="s">
        <v>858</v>
      </c>
      <c r="Z53" s="41" t="s">
        <v>858</v>
      </c>
      <c r="AA53" s="49" t="s">
        <v>848</v>
      </c>
      <c r="AB53" s="41" t="s">
        <v>858</v>
      </c>
      <c r="AC53" s="41" t="s">
        <v>858</v>
      </c>
      <c r="AD53" s="41" t="s">
        <v>858</v>
      </c>
      <c r="AE53" s="41" t="s">
        <v>858</v>
      </c>
      <c r="AF53" s="41" t="s">
        <v>858</v>
      </c>
      <c r="AG53" s="41" t="s">
        <v>858</v>
      </c>
    </row>
    <row r="54" spans="1:33" x14ac:dyDescent="0.25">
      <c r="A54" s="40">
        <v>2000053</v>
      </c>
      <c r="B54" s="40" t="s">
        <v>4471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1020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819</v>
      </c>
      <c r="L54" s="41" t="s">
        <v>823</v>
      </c>
      <c r="M54" s="47" t="s">
        <v>994</v>
      </c>
      <c r="N54" s="41" t="s">
        <v>1013</v>
      </c>
      <c r="O54" s="48">
        <v>1</v>
      </c>
      <c r="P54" s="41" t="s">
        <v>844</v>
      </c>
      <c r="Q54" s="41" t="s">
        <v>847</v>
      </c>
      <c r="R54" s="41" t="s">
        <v>1017</v>
      </c>
      <c r="S54" s="41" t="s">
        <v>851</v>
      </c>
      <c r="T54" s="41" t="s">
        <v>851</v>
      </c>
      <c r="U54" s="41" t="s">
        <v>858</v>
      </c>
      <c r="V54" s="41" t="s">
        <v>858</v>
      </c>
      <c r="W54" s="41" t="s">
        <v>858</v>
      </c>
      <c r="X54" s="41" t="s">
        <v>858</v>
      </c>
      <c r="Y54" s="41" t="s">
        <v>858</v>
      </c>
      <c r="Z54" s="41" t="s">
        <v>858</v>
      </c>
      <c r="AA54" s="49" t="s">
        <v>848</v>
      </c>
      <c r="AB54" s="41" t="s">
        <v>858</v>
      </c>
      <c r="AC54" s="41" t="s">
        <v>858</v>
      </c>
      <c r="AD54" s="41" t="s">
        <v>858</v>
      </c>
      <c r="AE54" s="41" t="s">
        <v>858</v>
      </c>
      <c r="AF54" s="41" t="s">
        <v>858</v>
      </c>
      <c r="AG54" s="41" t="s">
        <v>858</v>
      </c>
    </row>
    <row r="55" spans="1:33" x14ac:dyDescent="0.25">
      <c r="A55" s="40">
        <v>2000054</v>
      </c>
      <c r="B55" s="40" t="s">
        <v>4472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1020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819</v>
      </c>
      <c r="L55" s="41" t="s">
        <v>823</v>
      </c>
      <c r="M55" s="47" t="s">
        <v>995</v>
      </c>
      <c r="N55" s="41" t="s">
        <v>1013</v>
      </c>
      <c r="O55" s="48">
        <v>1</v>
      </c>
      <c r="P55" s="41" t="s">
        <v>844</v>
      </c>
      <c r="Q55" s="41" t="s">
        <v>847</v>
      </c>
      <c r="R55" s="41" t="s">
        <v>1016</v>
      </c>
      <c r="S55" s="41" t="s">
        <v>851</v>
      </c>
      <c r="T55" s="41" t="s">
        <v>851</v>
      </c>
      <c r="U55" s="41" t="s">
        <v>858</v>
      </c>
      <c r="V55" s="41" t="s">
        <v>858</v>
      </c>
      <c r="W55" s="49" t="s">
        <v>858</v>
      </c>
      <c r="X55" s="49" t="s">
        <v>1000</v>
      </c>
      <c r="Y55" s="49" t="s">
        <v>1000</v>
      </c>
      <c r="Z55" s="49" t="s">
        <v>1000</v>
      </c>
      <c r="AA55" s="49" t="s">
        <v>848</v>
      </c>
      <c r="AB55" s="49" t="s">
        <v>862</v>
      </c>
      <c r="AC55" s="49" t="s">
        <v>862</v>
      </c>
      <c r="AD55" s="49" t="s">
        <v>862</v>
      </c>
      <c r="AE55" s="49" t="s">
        <v>862</v>
      </c>
      <c r="AF55" s="49" t="s">
        <v>860</v>
      </c>
      <c r="AG55" s="49" t="s">
        <v>858</v>
      </c>
    </row>
    <row r="56" spans="1:33" x14ac:dyDescent="0.25">
      <c r="A56" s="40">
        <v>2000055</v>
      </c>
      <c r="B56" s="40" t="s">
        <v>4473</v>
      </c>
      <c r="C56" s="41" t="s">
        <v>904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1019</v>
      </c>
      <c r="F56" s="41" t="s">
        <v>940</v>
      </c>
      <c r="G56" s="50" t="s">
        <v>967</v>
      </c>
      <c r="H56" s="41" t="s">
        <v>966</v>
      </c>
      <c r="I56" s="43">
        <v>44197</v>
      </c>
      <c r="J56" s="41" t="s">
        <v>818</v>
      </c>
      <c r="K56" s="41" t="s">
        <v>820</v>
      </c>
      <c r="L56" s="41" t="s">
        <v>823</v>
      </c>
      <c r="M56" s="47" t="s">
        <v>996</v>
      </c>
      <c r="N56" s="41" t="s">
        <v>842</v>
      </c>
      <c r="O56" s="48">
        <v>1</v>
      </c>
      <c r="P56" s="41" t="s">
        <v>844</v>
      </c>
      <c r="Q56" s="41" t="s">
        <v>845</v>
      </c>
      <c r="R56" s="41" t="s">
        <v>1016</v>
      </c>
      <c r="S56" s="41" t="s">
        <v>999</v>
      </c>
      <c r="T56" s="41" t="s">
        <v>999</v>
      </c>
      <c r="U56" s="41" t="s">
        <v>858</v>
      </c>
      <c r="V56" s="41" t="s">
        <v>858</v>
      </c>
      <c r="W56" s="49" t="s">
        <v>858</v>
      </c>
      <c r="X56" s="49" t="s">
        <v>1006</v>
      </c>
      <c r="Y56" s="49" t="s">
        <v>1011</v>
      </c>
      <c r="Z56" s="49" t="s">
        <v>1011</v>
      </c>
      <c r="AA56" s="49" t="s">
        <v>848</v>
      </c>
      <c r="AB56" s="49" t="s">
        <v>858</v>
      </c>
      <c r="AC56" s="49" t="s">
        <v>1009</v>
      </c>
      <c r="AD56" s="41" t="s">
        <v>858</v>
      </c>
      <c r="AE56" s="41" t="s">
        <v>859</v>
      </c>
      <c r="AF56" s="49" t="s">
        <v>896</v>
      </c>
      <c r="AG56" s="49" t="s">
        <v>858</v>
      </c>
    </row>
    <row r="57" spans="1:33" x14ac:dyDescent="0.25">
      <c r="A57" s="40">
        <v>2000056</v>
      </c>
      <c r="B57" s="40" t="s">
        <v>4474</v>
      </c>
      <c r="C57" s="41" t="s">
        <v>904</v>
      </c>
      <c r="D57" s="44">
        <f>SUMIF(CREANCES!$B$2:$B$99999,'INFO CLIENTS'!B57,CREANCES!$J$2:$J$99999) - SUMIF(CREANCES!$B$2:$B$99999,'INFO CLIENTS'!B57,CREANCES!$K$2:$K$99999)</f>
        <v>0</v>
      </c>
      <c r="E57" s="41" t="s">
        <v>1020</v>
      </c>
      <c r="F57" s="41" t="s">
        <v>940</v>
      </c>
      <c r="G57" s="50" t="s">
        <v>967</v>
      </c>
      <c r="H57" s="41"/>
      <c r="I57" s="43">
        <v>44197</v>
      </c>
      <c r="J57" s="41" t="s">
        <v>818</v>
      </c>
      <c r="K57" s="41" t="s">
        <v>822</v>
      </c>
      <c r="L57" s="41" t="s">
        <v>823</v>
      </c>
      <c r="M57" s="47" t="s">
        <v>1048</v>
      </c>
      <c r="N57" s="41" t="s">
        <v>842</v>
      </c>
      <c r="O57" s="48">
        <v>1</v>
      </c>
      <c r="P57" s="41" t="s">
        <v>843</v>
      </c>
      <c r="Q57" s="41" t="s">
        <v>1018</v>
      </c>
      <c r="R57" s="41" t="s">
        <v>910</v>
      </c>
      <c r="S57" s="41" t="s">
        <v>851</v>
      </c>
      <c r="T57" s="41" t="s">
        <v>851</v>
      </c>
      <c r="U57" s="41" t="s">
        <v>848</v>
      </c>
      <c r="V57" s="41" t="s">
        <v>851</v>
      </c>
      <c r="W57" s="49" t="s">
        <v>851</v>
      </c>
      <c r="X57" s="49" t="s">
        <v>1001</v>
      </c>
      <c r="Y57" s="49" t="s">
        <v>891</v>
      </c>
      <c r="Z57" s="49" t="s">
        <v>888</v>
      </c>
      <c r="AA57" s="49" t="s">
        <v>848</v>
      </c>
      <c r="AB57" s="41" t="s">
        <v>851</v>
      </c>
      <c r="AC57" s="41" t="s">
        <v>851</v>
      </c>
      <c r="AD57" s="41" t="s">
        <v>851</v>
      </c>
      <c r="AE57" s="41" t="s">
        <v>851</v>
      </c>
      <c r="AF57" s="49" t="s">
        <v>855</v>
      </c>
      <c r="AG57" s="41" t="s">
        <v>851</v>
      </c>
    </row>
    <row r="58" spans="1:33" x14ac:dyDescent="0.25">
      <c r="A58" s="40">
        <v>2000057</v>
      </c>
      <c r="B58" s="40" t="s">
        <v>1040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1020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822</v>
      </c>
      <c r="L58" s="41" t="s">
        <v>823</v>
      </c>
      <c r="M58" s="47" t="s">
        <v>26</v>
      </c>
      <c r="N58" s="41" t="s">
        <v>1012</v>
      </c>
      <c r="O58" s="48">
        <v>0</v>
      </c>
      <c r="P58" s="41" t="s">
        <v>1041</v>
      </c>
      <c r="Q58" s="41" t="s">
        <v>1015</v>
      </c>
      <c r="R58" s="41" t="s">
        <v>903</v>
      </c>
      <c r="S58" s="41" t="s">
        <v>858</v>
      </c>
      <c r="T58" s="41" t="s">
        <v>858</v>
      </c>
      <c r="U58" s="41" t="s">
        <v>858</v>
      </c>
      <c r="V58" s="41" t="s">
        <v>858</v>
      </c>
      <c r="W58" s="41" t="s">
        <v>858</v>
      </c>
      <c r="X58" s="41" t="s">
        <v>858</v>
      </c>
      <c r="Y58" s="41" t="s">
        <v>858</v>
      </c>
      <c r="Z58" s="41" t="s">
        <v>858</v>
      </c>
      <c r="AA58" s="49" t="s">
        <v>848</v>
      </c>
      <c r="AB58" s="41" t="s">
        <v>858</v>
      </c>
      <c r="AC58" s="41" t="s">
        <v>858</v>
      </c>
      <c r="AD58" s="41" t="s">
        <v>858</v>
      </c>
      <c r="AE58" s="41" t="s">
        <v>858</v>
      </c>
      <c r="AF58" s="41" t="s">
        <v>858</v>
      </c>
      <c r="AG58" s="41" t="s">
        <v>858</v>
      </c>
    </row>
    <row r="59" spans="1:33" x14ac:dyDescent="0.25">
      <c r="A59" s="40">
        <v>2000058</v>
      </c>
      <c r="B59" s="40" t="s">
        <v>4491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1020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822</v>
      </c>
      <c r="L59" s="41" t="s">
        <v>823</v>
      </c>
      <c r="M59" s="47" t="s">
        <v>1049</v>
      </c>
      <c r="N59" s="41" t="s">
        <v>1013</v>
      </c>
      <c r="O59" s="48">
        <v>0</v>
      </c>
      <c r="P59" s="41" t="s">
        <v>843</v>
      </c>
      <c r="Q59" s="41" t="s">
        <v>1015</v>
      </c>
      <c r="R59" s="41" t="s">
        <v>903</v>
      </c>
      <c r="S59" s="41" t="s">
        <v>851</v>
      </c>
      <c r="T59" s="41" t="s">
        <v>851</v>
      </c>
      <c r="U59" s="41" t="s">
        <v>858</v>
      </c>
      <c r="V59" s="41" t="s">
        <v>858</v>
      </c>
      <c r="W59" s="49" t="s">
        <v>854</v>
      </c>
      <c r="X59" s="49" t="s">
        <v>876</v>
      </c>
      <c r="Y59" s="49" t="s">
        <v>876</v>
      </c>
      <c r="Z59" s="49" t="s">
        <v>876</v>
      </c>
      <c r="AA59" s="49" t="s">
        <v>848</v>
      </c>
      <c r="AB59" s="41" t="s">
        <v>851</v>
      </c>
      <c r="AC59" s="41" t="s">
        <v>1008</v>
      </c>
      <c r="AD59" s="41" t="s">
        <v>850</v>
      </c>
      <c r="AE59" s="41" t="s">
        <v>850</v>
      </c>
      <c r="AF59" s="49" t="s">
        <v>860</v>
      </c>
      <c r="AG59" s="41" t="s">
        <v>851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1020</v>
      </c>
      <c r="F60" s="41" t="s">
        <v>1042</v>
      </c>
      <c r="G60" s="50" t="s">
        <v>1043</v>
      </c>
      <c r="H60" s="41" t="s">
        <v>1044</v>
      </c>
      <c r="I60" s="43">
        <v>44927</v>
      </c>
      <c r="J60" s="41" t="s">
        <v>818</v>
      </c>
      <c r="K60" s="41" t="s">
        <v>822</v>
      </c>
      <c r="L60" s="41" t="s">
        <v>823</v>
      </c>
      <c r="M60" s="47" t="s">
        <v>1050</v>
      </c>
      <c r="N60" s="41" t="s">
        <v>842</v>
      </c>
      <c r="O60" s="48">
        <v>0</v>
      </c>
      <c r="P60" s="41" t="s">
        <v>843</v>
      </c>
      <c r="Q60" s="41" t="s">
        <v>1018</v>
      </c>
      <c r="R60" s="41" t="s">
        <v>903</v>
      </c>
      <c r="S60" s="41" t="s">
        <v>851</v>
      </c>
      <c r="T60" s="41" t="s">
        <v>851</v>
      </c>
      <c r="U60" s="41" t="s">
        <v>858</v>
      </c>
      <c r="V60" s="41" t="s">
        <v>858</v>
      </c>
      <c r="W60" s="41" t="s">
        <v>999</v>
      </c>
      <c r="X60" s="41" t="s">
        <v>1006</v>
      </c>
      <c r="Y60" s="41" t="s">
        <v>1045</v>
      </c>
      <c r="Z60" s="41" t="s">
        <v>1045</v>
      </c>
      <c r="AA60" s="49" t="s">
        <v>848</v>
      </c>
      <c r="AB60" s="41" t="s">
        <v>878</v>
      </c>
      <c r="AC60" s="41" t="s">
        <v>878</v>
      </c>
      <c r="AD60" s="41" t="s">
        <v>878</v>
      </c>
      <c r="AE60" s="41" t="s">
        <v>878</v>
      </c>
      <c r="AF60" s="41" t="s">
        <v>858</v>
      </c>
      <c r="AG60" s="41" t="s">
        <v>858</v>
      </c>
    </row>
    <row r="61" spans="1:33" x14ac:dyDescent="0.25">
      <c r="A61" s="40">
        <v>2000060</v>
      </c>
      <c r="B61" s="40" t="s">
        <v>4475</v>
      </c>
      <c r="C61" s="41" t="s">
        <v>904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822</v>
      </c>
      <c r="L61" s="41" t="s">
        <v>823</v>
      </c>
      <c r="M61" s="47" t="s">
        <v>1051</v>
      </c>
      <c r="N61" s="41" t="s">
        <v>842</v>
      </c>
      <c r="O61" s="48">
        <v>1</v>
      </c>
      <c r="P61" s="41" t="s">
        <v>843</v>
      </c>
      <c r="Q61" s="41" t="s">
        <v>845</v>
      </c>
      <c r="R61" s="41" t="s">
        <v>903</v>
      </c>
      <c r="S61" s="41" t="s">
        <v>1046</v>
      </c>
      <c r="T61" s="41" t="s">
        <v>1047</v>
      </c>
      <c r="U61" s="41" t="s">
        <v>851</v>
      </c>
      <c r="V61" s="41" t="s">
        <v>848</v>
      </c>
      <c r="W61" s="41" t="s">
        <v>851</v>
      </c>
      <c r="X61" s="41" t="s">
        <v>851</v>
      </c>
      <c r="Y61" s="41" t="s">
        <v>851</v>
      </c>
      <c r="Z61" s="41" t="s">
        <v>851</v>
      </c>
      <c r="AA61" s="49" t="s">
        <v>848</v>
      </c>
      <c r="AB61" s="41" t="s">
        <v>851</v>
      </c>
      <c r="AC61" s="41" t="s">
        <v>851</v>
      </c>
      <c r="AD61" s="41" t="s">
        <v>851</v>
      </c>
      <c r="AE61" s="41" t="s">
        <v>851</v>
      </c>
      <c r="AF61" s="41" t="s">
        <v>851</v>
      </c>
      <c r="AG61" s="41" t="s">
        <v>851</v>
      </c>
    </row>
    <row r="62" spans="1:33" x14ac:dyDescent="0.25">
      <c r="A62" s="40">
        <v>2000061</v>
      </c>
      <c r="B62" s="40" t="s">
        <v>4449</v>
      </c>
      <c r="C62" s="41" t="s">
        <v>904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1020</v>
      </c>
      <c r="F62" s="41" t="s">
        <v>4448</v>
      </c>
      <c r="G62" s="50" t="s">
        <v>4447</v>
      </c>
      <c r="H62" s="41" t="s">
        <v>26</v>
      </c>
      <c r="I62" s="43">
        <v>45658</v>
      </c>
      <c r="J62" s="41" t="s">
        <v>818</v>
      </c>
      <c r="K62" s="41" t="s">
        <v>822</v>
      </c>
      <c r="L62" s="44">
        <f>D62</f>
        <v>-15784.416000000001</v>
      </c>
      <c r="M62" s="47" t="s">
        <v>4450</v>
      </c>
      <c r="N62" s="41" t="s">
        <v>842</v>
      </c>
      <c r="O62" s="48">
        <v>1</v>
      </c>
      <c r="P62" s="41" t="s">
        <v>843</v>
      </c>
      <c r="Q62" s="41" t="s">
        <v>845</v>
      </c>
      <c r="R62" s="41" t="s">
        <v>910</v>
      </c>
      <c r="S62" s="41" t="s">
        <v>851</v>
      </c>
      <c r="T62" s="41" t="s">
        <v>851</v>
      </c>
      <c r="U62" s="41" t="s">
        <v>851</v>
      </c>
      <c r="V62" s="41" t="s">
        <v>851</v>
      </c>
      <c r="W62" s="41" t="s">
        <v>851</v>
      </c>
      <c r="X62" s="41" t="s">
        <v>868</v>
      </c>
      <c r="Y62" s="41" t="s">
        <v>851</v>
      </c>
      <c r="Z62" s="41" t="s">
        <v>898</v>
      </c>
      <c r="AA62" s="49" t="s">
        <v>848</v>
      </c>
      <c r="AB62" s="41" t="s">
        <v>851</v>
      </c>
      <c r="AC62" s="41" t="s">
        <v>851</v>
      </c>
      <c r="AD62" s="41" t="s">
        <v>851</v>
      </c>
      <c r="AE62" s="41" t="s">
        <v>851</v>
      </c>
      <c r="AF62" s="41" t="s">
        <v>851</v>
      </c>
      <c r="AG62" s="41" t="s">
        <v>851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1020</v>
      </c>
      <c r="F63" s="41" t="s">
        <v>6166</v>
      </c>
      <c r="G63" s="50" t="s">
        <v>26</v>
      </c>
      <c r="H63" s="41" t="s">
        <v>6167</v>
      </c>
      <c r="I63" s="43">
        <v>44927</v>
      </c>
      <c r="J63" s="41" t="s">
        <v>818</v>
      </c>
      <c r="K63" s="41" t="s">
        <v>822</v>
      </c>
      <c r="L63" s="41" t="s">
        <v>823</v>
      </c>
      <c r="M63" s="47" t="s">
        <v>6168</v>
      </c>
      <c r="N63" s="41" t="s">
        <v>842</v>
      </c>
      <c r="O63" s="48">
        <v>0</v>
      </c>
      <c r="P63" s="41" t="s">
        <v>1041</v>
      </c>
      <c r="Q63" s="41" t="s">
        <v>845</v>
      </c>
      <c r="R63" s="41" t="s">
        <v>903</v>
      </c>
      <c r="S63" s="41" t="s">
        <v>858</v>
      </c>
      <c r="T63" s="41" t="s">
        <v>858</v>
      </c>
      <c r="U63" s="41" t="s">
        <v>858</v>
      </c>
      <c r="V63" s="41" t="s">
        <v>858</v>
      </c>
      <c r="W63" s="41" t="s">
        <v>858</v>
      </c>
      <c r="X63" s="41" t="s">
        <v>6169</v>
      </c>
      <c r="Y63" s="41" t="s">
        <v>1006</v>
      </c>
      <c r="Z63" s="41" t="s">
        <v>858</v>
      </c>
      <c r="AA63" s="49" t="s">
        <v>848</v>
      </c>
      <c r="AB63" s="41" t="s">
        <v>858</v>
      </c>
      <c r="AC63" s="41" t="s">
        <v>858</v>
      </c>
      <c r="AD63" s="41" t="s">
        <v>858</v>
      </c>
      <c r="AE63" s="41" t="s">
        <v>858</v>
      </c>
      <c r="AF63" s="41" t="s">
        <v>860</v>
      </c>
      <c r="AG63" s="41" t="s">
        <v>858</v>
      </c>
    </row>
    <row r="64" spans="1:33" x14ac:dyDescent="0.25">
      <c r="A64" s="40">
        <v>2000063</v>
      </c>
      <c r="B64" s="40" t="s">
        <v>6170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1020</v>
      </c>
      <c r="F64" s="41" t="s">
        <v>6171</v>
      </c>
      <c r="G64" s="50" t="s">
        <v>26</v>
      </c>
      <c r="H64" s="41" t="s">
        <v>6172</v>
      </c>
      <c r="I64" s="43">
        <v>45292</v>
      </c>
      <c r="J64" s="41" t="s">
        <v>818</v>
      </c>
      <c r="K64" s="41" t="s">
        <v>822</v>
      </c>
      <c r="L64" s="41" t="s">
        <v>823</v>
      </c>
      <c r="M64" s="47" t="s">
        <v>6173</v>
      </c>
      <c r="N64" s="41" t="s">
        <v>842</v>
      </c>
      <c r="O64" s="48">
        <v>0</v>
      </c>
      <c r="P64" s="41" t="s">
        <v>843</v>
      </c>
      <c r="Q64" s="41" t="s">
        <v>845</v>
      </c>
      <c r="R64" s="41" t="s">
        <v>903</v>
      </c>
      <c r="S64" s="41" t="s">
        <v>851</v>
      </c>
      <c r="T64" s="41" t="s">
        <v>851</v>
      </c>
      <c r="U64" s="41" t="s">
        <v>851</v>
      </c>
      <c r="V64" s="41" t="s">
        <v>851</v>
      </c>
      <c r="W64" s="41" t="s">
        <v>851</v>
      </c>
      <c r="X64" s="41" t="s">
        <v>851</v>
      </c>
      <c r="Y64" s="41" t="s">
        <v>851</v>
      </c>
      <c r="Z64" s="41" t="s">
        <v>851</v>
      </c>
      <c r="AA64" s="49" t="s">
        <v>848</v>
      </c>
      <c r="AB64" s="41" t="s">
        <v>851</v>
      </c>
      <c r="AC64" s="41" t="s">
        <v>854</v>
      </c>
      <c r="AD64" s="41" t="s">
        <v>854</v>
      </c>
      <c r="AE64" s="41" t="s">
        <v>851</v>
      </c>
      <c r="AF64" s="41" t="s">
        <v>851</v>
      </c>
      <c r="AG64" s="41" t="s">
        <v>851</v>
      </c>
    </row>
    <row r="65" spans="1:33" x14ac:dyDescent="0.25">
      <c r="A65" s="40">
        <v>2000064</v>
      </c>
      <c r="B65" s="40" t="s">
        <v>6174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1020</v>
      </c>
      <c r="F65" s="41" t="s">
        <v>6175</v>
      </c>
      <c r="G65" s="50" t="s">
        <v>26</v>
      </c>
      <c r="H65" s="41" t="s">
        <v>6176</v>
      </c>
      <c r="I65" s="43">
        <v>44927</v>
      </c>
      <c r="J65" s="44">
        <v>20000</v>
      </c>
      <c r="K65" s="41" t="s">
        <v>819</v>
      </c>
      <c r="L65" s="80">
        <f>J65</f>
        <v>20000</v>
      </c>
      <c r="M65" s="47" t="s">
        <v>6177</v>
      </c>
      <c r="N65" s="41" t="s">
        <v>842</v>
      </c>
      <c r="O65" s="48">
        <v>1</v>
      </c>
      <c r="P65" s="41" t="s">
        <v>1041</v>
      </c>
      <c r="Q65" s="41" t="s">
        <v>6178</v>
      </c>
      <c r="R65" s="41" t="s">
        <v>1017</v>
      </c>
      <c r="S65" s="41" t="s">
        <v>858</v>
      </c>
      <c r="T65" s="41" t="s">
        <v>858</v>
      </c>
      <c r="U65" s="41" t="s">
        <v>858</v>
      </c>
      <c r="V65" s="41" t="s">
        <v>858</v>
      </c>
      <c r="W65" s="41" t="s">
        <v>997</v>
      </c>
      <c r="X65" s="41" t="s">
        <v>874</v>
      </c>
      <c r="Y65" s="41" t="s">
        <v>1004</v>
      </c>
      <c r="Z65" s="41" t="s">
        <v>876</v>
      </c>
      <c r="AA65" s="49" t="s">
        <v>848</v>
      </c>
      <c r="AB65" s="41" t="s">
        <v>858</v>
      </c>
      <c r="AC65" s="41" t="s">
        <v>858</v>
      </c>
      <c r="AD65" s="41" t="s">
        <v>858</v>
      </c>
      <c r="AE65" s="41" t="s">
        <v>858</v>
      </c>
      <c r="AF65" s="41" t="s">
        <v>858</v>
      </c>
      <c r="AG65" s="41" t="s">
        <v>858</v>
      </c>
    </row>
    <row r="66" spans="1:33" x14ac:dyDescent="0.25">
      <c r="A66" s="40">
        <v>2000065</v>
      </c>
      <c r="B66" s="40" t="s">
        <v>4489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1020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821</v>
      </c>
      <c r="L66" s="80" t="s">
        <v>823</v>
      </c>
      <c r="M66" s="47" t="s">
        <v>6682</v>
      </c>
      <c r="N66" s="41" t="s">
        <v>1012</v>
      </c>
      <c r="O66" s="48" t="s">
        <v>26</v>
      </c>
      <c r="P66" s="41" t="s">
        <v>843</v>
      </c>
      <c r="Q66" s="41" t="s">
        <v>1018</v>
      </c>
      <c r="R66" s="41" t="s">
        <v>26</v>
      </c>
      <c r="S66" s="41" t="s">
        <v>851</v>
      </c>
      <c r="T66" s="41" t="s">
        <v>851</v>
      </c>
      <c r="U66" s="41" t="s">
        <v>851</v>
      </c>
      <c r="V66" s="41" t="s">
        <v>851</v>
      </c>
      <c r="W66" s="41" t="s">
        <v>851</v>
      </c>
      <c r="X66" s="41" t="s">
        <v>851</v>
      </c>
      <c r="Y66" s="41" t="s">
        <v>851</v>
      </c>
      <c r="Z66" s="41" t="s">
        <v>851</v>
      </c>
      <c r="AA66" s="49" t="s">
        <v>848</v>
      </c>
      <c r="AB66" s="41" t="s">
        <v>901</v>
      </c>
      <c r="AC66" s="41" t="s">
        <v>901</v>
      </c>
      <c r="AD66" s="41" t="s">
        <v>901</v>
      </c>
      <c r="AE66" s="41" t="s">
        <v>901</v>
      </c>
      <c r="AF66" s="41" t="s">
        <v>6683</v>
      </c>
      <c r="AG66" s="41" t="s">
        <v>851</v>
      </c>
    </row>
    <row r="67" spans="1:33" x14ac:dyDescent="0.25">
      <c r="A67" s="40">
        <v>2000066</v>
      </c>
      <c r="B67" s="40" t="s">
        <v>4490</v>
      </c>
      <c r="C67" s="41" t="s">
        <v>6677</v>
      </c>
      <c r="D67" s="44">
        <f>SUMIF(CREANCES!$B$2:$B$99999,'INFO CLIENTS'!B67,CREANCES!$J$2:$J$99999) - SUMIF(CREANCES!$B$2:$B$99999,'INFO CLIENTS'!B67,CREANCES!$K$2:$K$99999)</f>
        <v>0</v>
      </c>
      <c r="E67" s="41" t="s">
        <v>1020</v>
      </c>
      <c r="F67" s="41" t="s">
        <v>6678</v>
      </c>
      <c r="G67" s="50" t="s">
        <v>6679</v>
      </c>
      <c r="H67" s="41" t="s">
        <v>6680</v>
      </c>
      <c r="I67" s="43">
        <v>42736</v>
      </c>
      <c r="J67" s="44" t="s">
        <v>818</v>
      </c>
      <c r="K67" s="41" t="s">
        <v>821</v>
      </c>
      <c r="L67" s="80" t="s">
        <v>823</v>
      </c>
      <c r="M67" s="47" t="s">
        <v>6681</v>
      </c>
      <c r="N67" s="41" t="s">
        <v>842</v>
      </c>
      <c r="O67" s="48">
        <v>0</v>
      </c>
      <c r="P67" s="41" t="s">
        <v>1041</v>
      </c>
      <c r="Q67" s="41" t="s">
        <v>6178</v>
      </c>
      <c r="R67" s="41" t="s">
        <v>903</v>
      </c>
      <c r="S67" s="41" t="s">
        <v>858</v>
      </c>
      <c r="T67" s="41" t="s">
        <v>858</v>
      </c>
      <c r="U67" s="41" t="s">
        <v>858</v>
      </c>
      <c r="V67" s="41" t="s">
        <v>999</v>
      </c>
      <c r="W67" s="41" t="s">
        <v>858</v>
      </c>
      <c r="X67" s="41" t="s">
        <v>876</v>
      </c>
      <c r="Y67" s="41" t="s">
        <v>876</v>
      </c>
      <c r="Z67" s="41" t="s">
        <v>876</v>
      </c>
      <c r="AA67" s="49" t="s">
        <v>848</v>
      </c>
      <c r="AB67" s="41" t="s">
        <v>997</v>
      </c>
      <c r="AC67" s="41" t="s">
        <v>997</v>
      </c>
      <c r="AD67" s="41" t="s">
        <v>997</v>
      </c>
      <c r="AE67" s="41" t="s">
        <v>997</v>
      </c>
      <c r="AF67" s="41" t="s">
        <v>860</v>
      </c>
      <c r="AG67" s="41" t="s">
        <v>858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I2" sqref="I2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6783</v>
      </c>
      <c r="B1" s="39" t="s">
        <v>6784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6305</v>
      </c>
      <c r="N1" s="39" t="s">
        <v>56</v>
      </c>
      <c r="O1" s="39" t="s">
        <v>550</v>
      </c>
    </row>
    <row r="2" spans="1:16" x14ac:dyDescent="0.25">
      <c r="A2" s="12" t="s">
        <v>6786</v>
      </c>
      <c r="B2" s="11" t="s">
        <v>6785</v>
      </c>
      <c r="C2" s="29">
        <v>40</v>
      </c>
      <c r="D2" s="29">
        <v>30</v>
      </c>
      <c r="E2" s="29">
        <v>20</v>
      </c>
      <c r="F2" s="29">
        <v>35</v>
      </c>
      <c r="G2" s="29">
        <v>36</v>
      </c>
      <c r="H2" s="29">
        <v>31</v>
      </c>
      <c r="I2" s="29">
        <v>31</v>
      </c>
      <c r="J2" s="29">
        <v>25</v>
      </c>
      <c r="K2" s="29">
        <v>25</v>
      </c>
      <c r="L2" s="29">
        <v>25</v>
      </c>
      <c r="M2" s="29">
        <v>25</v>
      </c>
      <c r="N2" s="29">
        <v>15</v>
      </c>
      <c r="O2" s="29">
        <v>30</v>
      </c>
    </row>
    <row r="3" spans="1:16" x14ac:dyDescent="0.25">
      <c r="A3" s="12" t="s">
        <v>6787</v>
      </c>
      <c r="B3" s="11" t="s">
        <v>1041</v>
      </c>
      <c r="C3" s="88">
        <f>C2*1.5</f>
        <v>60</v>
      </c>
      <c r="D3" s="88">
        <f t="shared" ref="D3:G3" si="0">D2*1.5</f>
        <v>45</v>
      </c>
      <c r="E3" s="88">
        <f t="shared" si="0"/>
        <v>30</v>
      </c>
      <c r="F3" s="88">
        <f t="shared" si="0"/>
        <v>52.5</v>
      </c>
      <c r="G3" s="88">
        <f t="shared" si="0"/>
        <v>54</v>
      </c>
      <c r="H3" s="88">
        <f>H2*1.6</f>
        <v>49.6</v>
      </c>
      <c r="I3" s="88">
        <f>I2*1.6</f>
        <v>49.6</v>
      </c>
      <c r="J3" s="88">
        <f>J2*1.5</f>
        <v>37.5</v>
      </c>
      <c r="K3" s="88">
        <f t="shared" ref="K3:O3" si="1">K2*1.5</f>
        <v>37.5</v>
      </c>
      <c r="L3" s="88">
        <f t="shared" si="1"/>
        <v>37.5</v>
      </c>
      <c r="M3" s="88">
        <f t="shared" si="1"/>
        <v>37.5</v>
      </c>
      <c r="N3" s="88">
        <f t="shared" si="1"/>
        <v>22.5</v>
      </c>
      <c r="O3" s="88">
        <f t="shared" si="1"/>
        <v>45</v>
      </c>
      <c r="P3" s="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2025-03-04T00:00:36Z</dcterms:modified>
</cp:coreProperties>
</file>